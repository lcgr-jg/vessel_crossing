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vessel_crossing/inventory_soh_residual/"/>
    </mc:Choice>
  </mc:AlternateContent>
  <xr:revisionPtr revIDLastSave="16" documentId="8_{FC3A3587-D02E-4309-9F3D-68EC022B6EF8}" xr6:coauthVersionLast="47" xr6:coauthVersionMax="47" xr10:uidLastSave="{4B0012A6-6B12-4E34-B160-BCFEEC5CB4E6}"/>
  <bookViews>
    <workbookView xWindow="390" yWindow="390" windowWidth="23100" windowHeight="17145" activeTab="2" xr2:uid="{82F3992E-DE6A-479A-B378-9DC7688CC263}"/>
  </bookViews>
  <sheets>
    <sheet name="das_tank_inventories_daily" sheetId="1" r:id="rId1"/>
    <sheet name="calculations" sheetId="2" r:id="rId2"/>
    <sheet name="table_compare" sheetId="4" r:id="rId3"/>
  </sheets>
  <definedNames>
    <definedName name="_xlnm._FilterDatabase" localSheetId="1" hidden="1">calculations!$B$1:$U$225</definedName>
    <definedName name="_xlnm._FilterDatabase" localSheetId="0" hidden="1">das_tank_inventories_daily!$A$1:$N$1</definedName>
    <definedName name="_xlnm._FilterDatabase" localSheetId="2" hidden="1">table_compare!$C$1:$F$1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2" i="4"/>
  <c r="AD223" i="2"/>
  <c r="AC223" i="2"/>
  <c r="AD222" i="2"/>
  <c r="AC222" i="2"/>
  <c r="AD220" i="2"/>
  <c r="AC220" i="2"/>
  <c r="AD219" i="2"/>
  <c r="AC219" i="2"/>
  <c r="AD217" i="2"/>
  <c r="AC217" i="2"/>
  <c r="AD216" i="2"/>
  <c r="AC216" i="2"/>
  <c r="AD214" i="2"/>
  <c r="AC214" i="2"/>
  <c r="AD213" i="2"/>
  <c r="AC213" i="2"/>
  <c r="AD211" i="2"/>
  <c r="AC211" i="2"/>
  <c r="AD210" i="2"/>
  <c r="AC210" i="2"/>
  <c r="AD208" i="2"/>
  <c r="AC208" i="2"/>
  <c r="AD207" i="2"/>
  <c r="AC207" i="2"/>
  <c r="AD205" i="2"/>
  <c r="AC205" i="2"/>
  <c r="AD204" i="2"/>
  <c r="AC204" i="2"/>
  <c r="AD202" i="2"/>
  <c r="AC202" i="2"/>
  <c r="AD201" i="2"/>
  <c r="AC201" i="2"/>
  <c r="AD199" i="2"/>
  <c r="AC199" i="2"/>
  <c r="AD198" i="2"/>
  <c r="AC198" i="2"/>
  <c r="AD196" i="2"/>
  <c r="AC196" i="2"/>
  <c r="AD195" i="2"/>
  <c r="AC195" i="2"/>
  <c r="AD193" i="2"/>
  <c r="AC193" i="2"/>
  <c r="AD192" i="2"/>
  <c r="AC192" i="2"/>
  <c r="AD190" i="2"/>
  <c r="AC190" i="2"/>
  <c r="AD189" i="2"/>
  <c r="AC189" i="2"/>
  <c r="AD187" i="2"/>
  <c r="AC187" i="2"/>
  <c r="AD186" i="2"/>
  <c r="AC186" i="2"/>
  <c r="AD184" i="2"/>
  <c r="AC184" i="2"/>
  <c r="AD183" i="2"/>
  <c r="AC183" i="2"/>
  <c r="AD181" i="2"/>
  <c r="AC181" i="2"/>
  <c r="AD180" i="2"/>
  <c r="AC180" i="2"/>
  <c r="AD178" i="2"/>
  <c r="AC178" i="2"/>
  <c r="AD177" i="2"/>
  <c r="AC177" i="2"/>
  <c r="AC175" i="2"/>
  <c r="AD174" i="2"/>
  <c r="AC174" i="2"/>
  <c r="AD173" i="2"/>
  <c r="AC173" i="2"/>
  <c r="AD171" i="2"/>
  <c r="AC171" i="2"/>
  <c r="AD170" i="2"/>
  <c r="AC170" i="2"/>
  <c r="AD168" i="2"/>
  <c r="AC168" i="2"/>
  <c r="AD166" i="2"/>
  <c r="AC166" i="2"/>
  <c r="AD165" i="2"/>
  <c r="AC165" i="2"/>
  <c r="AD162" i="2"/>
  <c r="AC162" i="2"/>
  <c r="AD161" i="2"/>
  <c r="AC161" i="2"/>
  <c r="AD159" i="2"/>
  <c r="AC159" i="2"/>
  <c r="AD156" i="2"/>
  <c r="AC156" i="2"/>
  <c r="AD153" i="2"/>
  <c r="AC153" i="2"/>
  <c r="AD152" i="2"/>
  <c r="AC152" i="2"/>
  <c r="AD150" i="2"/>
  <c r="AC150" i="2"/>
  <c r="AD149" i="2"/>
  <c r="AC149" i="2"/>
  <c r="AD147" i="2"/>
  <c r="AC147" i="2"/>
  <c r="AD144" i="2"/>
  <c r="AC144" i="2"/>
  <c r="AD141" i="2"/>
  <c r="AC141" i="2"/>
  <c r="AD138" i="2"/>
  <c r="AC138" i="2"/>
  <c r="AD137" i="2"/>
  <c r="AC137" i="2"/>
  <c r="AD135" i="2"/>
  <c r="AC135" i="2"/>
  <c r="AD132" i="2"/>
  <c r="AC132" i="2"/>
  <c r="AD129" i="2"/>
  <c r="AC129" i="2"/>
  <c r="AD126" i="2"/>
  <c r="AC126" i="2"/>
  <c r="AD125" i="2"/>
  <c r="AC125" i="2"/>
  <c r="AD123" i="2"/>
  <c r="AC123" i="2"/>
  <c r="AD122" i="2"/>
  <c r="AC122" i="2"/>
  <c r="AD120" i="2"/>
  <c r="AC120" i="2"/>
  <c r="AD119" i="2"/>
  <c r="AC119" i="2"/>
  <c r="AD117" i="2"/>
  <c r="AC117" i="2"/>
  <c r="AD116" i="2"/>
  <c r="AC116" i="2"/>
  <c r="AD114" i="2"/>
  <c r="AC114" i="2"/>
  <c r="AD113" i="2"/>
  <c r="AC113" i="2"/>
  <c r="AD111" i="2"/>
  <c r="AC111" i="2"/>
  <c r="AD110" i="2"/>
  <c r="AC110" i="2"/>
  <c r="AD108" i="2"/>
  <c r="AC108" i="2"/>
  <c r="AD107" i="2"/>
  <c r="AC107" i="2"/>
  <c r="AD105" i="2"/>
  <c r="AC105" i="2"/>
  <c r="AD104" i="2"/>
  <c r="AC104" i="2"/>
  <c r="AD102" i="2"/>
  <c r="AC102" i="2"/>
  <c r="AD101" i="2"/>
  <c r="AC101" i="2"/>
  <c r="AD99" i="2"/>
  <c r="AC99" i="2"/>
  <c r="AD98" i="2"/>
  <c r="AC98" i="2"/>
  <c r="AD96" i="2"/>
  <c r="AC96" i="2"/>
  <c r="AD95" i="2"/>
  <c r="AC95" i="2"/>
  <c r="AD93" i="2"/>
  <c r="AC93" i="2"/>
  <c r="AD92" i="2"/>
  <c r="AC92" i="2"/>
  <c r="AD90" i="2"/>
  <c r="AC90" i="2"/>
  <c r="AD89" i="2"/>
  <c r="AC89" i="2"/>
  <c r="AD87" i="2"/>
  <c r="AC87" i="2"/>
  <c r="AD86" i="2"/>
  <c r="AC86" i="2"/>
  <c r="AD84" i="2"/>
  <c r="AC84" i="2"/>
  <c r="AD83" i="2"/>
  <c r="AC83" i="2"/>
  <c r="AD81" i="2"/>
  <c r="AC81" i="2"/>
  <c r="AD80" i="2"/>
  <c r="AC80" i="2"/>
  <c r="AD78" i="2"/>
  <c r="AC78" i="2"/>
  <c r="AD77" i="2"/>
  <c r="AC77" i="2"/>
  <c r="AD75" i="2"/>
  <c r="AC75" i="2"/>
  <c r="AD74" i="2"/>
  <c r="AC74" i="2"/>
  <c r="AD72" i="2"/>
  <c r="AC72" i="2"/>
  <c r="AD71" i="2"/>
  <c r="AC71" i="2"/>
  <c r="AD69" i="2"/>
  <c r="AC69" i="2"/>
  <c r="AD68" i="2"/>
  <c r="AC68" i="2"/>
  <c r="AD66" i="2"/>
  <c r="AC66" i="2"/>
  <c r="AD65" i="2"/>
  <c r="AC65" i="2"/>
  <c r="AD63" i="2"/>
  <c r="AC63" i="2"/>
  <c r="AD62" i="2"/>
  <c r="AC62" i="2"/>
  <c r="AD60" i="2"/>
  <c r="AC60" i="2"/>
  <c r="AD59" i="2"/>
  <c r="AC59" i="2"/>
  <c r="AD57" i="2"/>
  <c r="AC57" i="2"/>
  <c r="AD56" i="2"/>
  <c r="AC56" i="2"/>
  <c r="AD54" i="2"/>
  <c r="AC54" i="2"/>
  <c r="AD53" i="2"/>
  <c r="AC53" i="2"/>
  <c r="AD51" i="2"/>
  <c r="AC51" i="2"/>
  <c r="AD50" i="2"/>
  <c r="AC50" i="2"/>
  <c r="AD48" i="2"/>
  <c r="AC48" i="2"/>
  <c r="AD47" i="2"/>
  <c r="AC47" i="2"/>
  <c r="AD45" i="2"/>
  <c r="AC45" i="2"/>
  <c r="AD44" i="2"/>
  <c r="AC44" i="2"/>
  <c r="AD42" i="2"/>
  <c r="AC42" i="2"/>
  <c r="AD41" i="2"/>
  <c r="AC41" i="2"/>
  <c r="AD39" i="2"/>
  <c r="AC39" i="2"/>
  <c r="AD38" i="2"/>
  <c r="AC38" i="2"/>
  <c r="AD36" i="2"/>
  <c r="AC36" i="2"/>
  <c r="AD35" i="2"/>
  <c r="AC35" i="2"/>
  <c r="AD33" i="2"/>
  <c r="AC33" i="2"/>
  <c r="AD32" i="2"/>
  <c r="AC32" i="2"/>
  <c r="AD30" i="2"/>
  <c r="AC30" i="2"/>
  <c r="AD29" i="2"/>
  <c r="AC29" i="2"/>
  <c r="AD27" i="2"/>
  <c r="AC27" i="2"/>
  <c r="AD26" i="2"/>
  <c r="AC26" i="2"/>
  <c r="AD24" i="2"/>
  <c r="AC24" i="2"/>
  <c r="AD23" i="2"/>
  <c r="AC23" i="2"/>
  <c r="AD21" i="2"/>
  <c r="AC21" i="2"/>
  <c r="AD20" i="2"/>
  <c r="AC20" i="2"/>
  <c r="AD18" i="2"/>
  <c r="AC18" i="2"/>
  <c r="AD17" i="2"/>
  <c r="AC17" i="2"/>
  <c r="AD15" i="2"/>
  <c r="AC15" i="2"/>
  <c r="AD14" i="2"/>
  <c r="AC14" i="2"/>
  <c r="AD12" i="2"/>
  <c r="AC12" i="2"/>
  <c r="AD11" i="2"/>
  <c r="AC11" i="2"/>
  <c r="AD9" i="2"/>
  <c r="AC9" i="2"/>
  <c r="AD8" i="2"/>
  <c r="AC8" i="2"/>
  <c r="W224" i="2"/>
  <c r="W221" i="2"/>
  <c r="W218" i="2"/>
  <c r="W215" i="2"/>
  <c r="W212" i="2"/>
  <c r="W209" i="2"/>
  <c r="W206" i="2"/>
  <c r="W203" i="2"/>
  <c r="W200" i="2"/>
  <c r="W197" i="2"/>
  <c r="W194" i="2"/>
  <c r="W191" i="2"/>
  <c r="W188" i="2"/>
  <c r="W185" i="2"/>
  <c r="W182" i="2"/>
  <c r="W179" i="2"/>
  <c r="W176" i="2"/>
  <c r="W172" i="2"/>
  <c r="W169" i="2"/>
  <c r="W167" i="2"/>
  <c r="W164" i="2"/>
  <c r="W160" i="2"/>
  <c r="W157" i="2"/>
  <c r="W155" i="2"/>
  <c r="W154" i="2"/>
  <c r="W151" i="2"/>
  <c r="W148" i="2"/>
  <c r="W145" i="2"/>
  <c r="W143" i="2"/>
  <c r="W142" i="2"/>
  <c r="W140" i="2"/>
  <c r="W139" i="2"/>
  <c r="W136" i="2"/>
  <c r="W133" i="2"/>
  <c r="W131" i="2"/>
  <c r="W128" i="2"/>
  <c r="W127" i="2"/>
  <c r="W124" i="2"/>
  <c r="W121" i="2"/>
  <c r="W118" i="2"/>
  <c r="W115" i="2"/>
  <c r="W112" i="2"/>
  <c r="W109" i="2"/>
  <c r="W106" i="2"/>
  <c r="W103" i="2"/>
  <c r="W100" i="2"/>
  <c r="W97" i="2"/>
  <c r="W94" i="2"/>
  <c r="W91" i="2"/>
  <c r="W88" i="2"/>
  <c r="W85" i="2"/>
  <c r="W82" i="2"/>
  <c r="W79" i="2"/>
  <c r="W76" i="2"/>
  <c r="W73" i="2"/>
  <c r="W70" i="2"/>
  <c r="W67" i="2"/>
  <c r="W64" i="2"/>
  <c r="W61" i="2"/>
  <c r="W58" i="2"/>
  <c r="W55" i="2"/>
  <c r="W52" i="2"/>
  <c r="W49" i="2"/>
  <c r="W46" i="2"/>
  <c r="W43" i="2"/>
  <c r="W40" i="2"/>
  <c r="W37" i="2"/>
  <c r="W34" i="2"/>
  <c r="W31" i="2"/>
  <c r="W28" i="2"/>
  <c r="W25" i="2"/>
  <c r="W19" i="2"/>
  <c r="W16" i="2"/>
  <c r="W13" i="2"/>
  <c r="W10" i="2"/>
  <c r="W7" i="2"/>
  <c r="W4" i="2"/>
  <c r="Y78" i="2"/>
  <c r="X78" i="2"/>
  <c r="W78" i="2"/>
  <c r="Y77" i="2"/>
  <c r="X77" i="2"/>
  <c r="W77" i="2"/>
  <c r="Y75" i="2"/>
  <c r="X75" i="2"/>
  <c r="W75" i="2"/>
  <c r="Y74" i="2"/>
  <c r="X74" i="2"/>
  <c r="W74" i="2"/>
  <c r="Y72" i="2"/>
  <c r="Z72" i="2" s="1"/>
  <c r="X72" i="2"/>
  <c r="W72" i="2"/>
  <c r="Y71" i="2"/>
  <c r="Z71" i="2" s="1"/>
  <c r="X71" i="2"/>
  <c r="W71" i="2"/>
  <c r="Y69" i="2"/>
  <c r="Z69" i="2" s="1"/>
  <c r="X69" i="2"/>
  <c r="W69" i="2"/>
  <c r="Y68" i="2"/>
  <c r="Z68" i="2" s="1"/>
  <c r="X68" i="2"/>
  <c r="W68" i="2"/>
  <c r="Y66" i="2"/>
  <c r="X66" i="2"/>
  <c r="W66" i="2"/>
  <c r="Y65" i="2"/>
  <c r="Z65" i="2" s="1"/>
  <c r="X65" i="2"/>
  <c r="W65" i="2"/>
  <c r="Y63" i="2"/>
  <c r="Z63" i="2" s="1"/>
  <c r="X63" i="2"/>
  <c r="W63" i="2"/>
  <c r="Y62" i="2"/>
  <c r="X62" i="2"/>
  <c r="W62" i="2"/>
  <c r="Y60" i="2"/>
  <c r="X60" i="2"/>
  <c r="W60" i="2"/>
  <c r="Y59" i="2"/>
  <c r="Z59" i="2" s="1"/>
  <c r="X59" i="2"/>
  <c r="W59" i="2"/>
  <c r="Y57" i="2"/>
  <c r="Z57" i="2" s="1"/>
  <c r="X57" i="2"/>
  <c r="W57" i="2"/>
  <c r="Y56" i="2"/>
  <c r="Z56" i="2" s="1"/>
  <c r="X56" i="2"/>
  <c r="W56" i="2"/>
  <c r="Y54" i="2"/>
  <c r="Z54" i="2" s="1"/>
  <c r="X54" i="2"/>
  <c r="W54" i="2"/>
  <c r="Y53" i="2"/>
  <c r="Z53" i="2" s="1"/>
  <c r="X53" i="2"/>
  <c r="W53" i="2"/>
  <c r="Y51" i="2"/>
  <c r="X51" i="2"/>
  <c r="W51" i="2"/>
  <c r="Y50" i="2"/>
  <c r="X50" i="2"/>
  <c r="W50" i="2"/>
  <c r="Y48" i="2"/>
  <c r="X48" i="2"/>
  <c r="W48" i="2"/>
  <c r="Y47" i="2"/>
  <c r="Z47" i="2" s="1"/>
  <c r="X47" i="2"/>
  <c r="W47" i="2"/>
  <c r="Y45" i="2"/>
  <c r="Z45" i="2" s="1"/>
  <c r="X45" i="2"/>
  <c r="W45" i="2"/>
  <c r="Y44" i="2"/>
  <c r="X44" i="2"/>
  <c r="W44" i="2"/>
  <c r="Y42" i="2"/>
  <c r="X42" i="2"/>
  <c r="W42" i="2"/>
  <c r="Y41" i="2"/>
  <c r="Z41" i="2" s="1"/>
  <c r="X41" i="2"/>
  <c r="W41" i="2"/>
  <c r="Y39" i="2"/>
  <c r="Z39" i="2" s="1"/>
  <c r="X39" i="2"/>
  <c r="W39" i="2"/>
  <c r="Y38" i="2"/>
  <c r="Z38" i="2" s="1"/>
  <c r="X38" i="2"/>
  <c r="W38" i="2"/>
  <c r="Y36" i="2"/>
  <c r="X36" i="2"/>
  <c r="W36" i="2"/>
  <c r="Y35" i="2"/>
  <c r="X35" i="2"/>
  <c r="W35" i="2"/>
  <c r="Z33" i="2"/>
  <c r="Y33" i="2"/>
  <c r="X33" i="2"/>
  <c r="W33" i="2"/>
  <c r="Y32" i="2"/>
  <c r="Z32" i="2" s="1"/>
  <c r="X32" i="2"/>
  <c r="W32" i="2"/>
  <c r="Y30" i="2"/>
  <c r="Z30" i="2" s="1"/>
  <c r="X30" i="2"/>
  <c r="W30" i="2"/>
  <c r="Y29" i="2"/>
  <c r="X29" i="2"/>
  <c r="W29" i="2"/>
  <c r="Y27" i="2"/>
  <c r="X27" i="2"/>
  <c r="W27" i="2"/>
  <c r="Y26" i="2"/>
  <c r="X26" i="2"/>
  <c r="W26" i="2"/>
  <c r="AH36" i="2"/>
  <c r="AH38" i="2"/>
  <c r="AH44" i="2"/>
  <c r="AH47" i="2"/>
  <c r="AH48" i="2"/>
  <c r="AH50" i="2"/>
  <c r="AH53" i="2"/>
  <c r="AH54" i="2"/>
  <c r="AH57" i="2"/>
  <c r="AH60" i="2"/>
  <c r="AH68" i="2"/>
  <c r="AH74" i="2"/>
  <c r="AH75" i="2"/>
  <c r="AH78" i="2"/>
  <c r="AH84" i="2"/>
  <c r="AH86" i="2"/>
  <c r="AH92" i="2"/>
  <c r="AH95" i="2"/>
  <c r="AH96" i="2"/>
  <c r="AH98" i="2"/>
  <c r="AH101" i="2"/>
  <c r="AH102" i="2"/>
  <c r="AH105" i="2"/>
  <c r="AH108" i="2"/>
  <c r="AH116" i="2"/>
  <c r="AH122" i="2"/>
  <c r="AH123" i="2"/>
  <c r="AH126" i="2"/>
  <c r="AH134" i="2"/>
  <c r="AH135" i="2"/>
  <c r="AH141" i="2"/>
  <c r="AH144" i="2"/>
  <c r="AH147" i="2"/>
  <c r="AH149" i="2"/>
  <c r="AH150" i="2"/>
  <c r="AH153" i="2"/>
  <c r="AH156" i="2"/>
  <c r="AH159" i="2"/>
  <c r="AH170" i="2"/>
  <c r="AH173" i="2"/>
  <c r="AH175" i="2"/>
  <c r="AH177" i="2"/>
  <c r="AH178" i="2"/>
  <c r="AH180" i="2"/>
  <c r="AH186" i="2"/>
  <c r="AH187" i="2"/>
  <c r="AH192" i="2"/>
  <c r="AH193" i="2"/>
  <c r="AH196" i="2"/>
  <c r="AH198" i="2"/>
  <c r="AH199" i="2"/>
  <c r="AH202" i="2"/>
  <c r="AH204" i="2"/>
  <c r="AH207" i="2"/>
  <c r="AH217" i="2"/>
  <c r="AH223" i="2"/>
  <c r="AH225" i="2"/>
  <c r="AH222" i="2"/>
  <c r="AH219" i="2"/>
  <c r="AH220" i="2"/>
  <c r="AH216" i="2"/>
  <c r="AH213" i="2"/>
  <c r="AH214" i="2"/>
  <c r="AH210" i="2"/>
  <c r="AH211" i="2"/>
  <c r="AH208" i="2"/>
  <c r="AH205" i="2"/>
  <c r="AH201" i="2"/>
  <c r="AH195" i="2"/>
  <c r="AH189" i="2"/>
  <c r="AH190" i="2"/>
  <c r="AH183" i="2"/>
  <c r="AH184" i="2"/>
  <c r="AH181" i="2"/>
  <c r="AH174" i="2"/>
  <c r="AH171" i="2"/>
  <c r="AH168" i="2"/>
  <c r="AH165" i="2"/>
  <c r="AH166" i="2"/>
  <c r="AH161" i="2"/>
  <c r="AH162" i="2"/>
  <c r="AH163" i="2"/>
  <c r="AH158" i="2"/>
  <c r="AH152" i="2"/>
  <c r="AH146" i="2"/>
  <c r="AH137" i="2"/>
  <c r="AH138" i="2"/>
  <c r="AH132" i="2"/>
  <c r="AH129" i="2"/>
  <c r="AH130" i="2"/>
  <c r="AH125" i="2"/>
  <c r="AH119" i="2"/>
  <c r="AH120" i="2"/>
  <c r="AH117" i="2"/>
  <c r="AH113" i="2"/>
  <c r="AH114" i="2"/>
  <c r="AH110" i="2"/>
  <c r="AH111" i="2"/>
  <c r="AH107" i="2"/>
  <c r="AH104" i="2"/>
  <c r="AH99" i="2"/>
  <c r="AH93" i="2"/>
  <c r="AH89" i="2"/>
  <c r="AH90" i="2"/>
  <c r="AH87" i="2"/>
  <c r="AH83" i="2"/>
  <c r="AH80" i="2"/>
  <c r="AH81" i="2"/>
  <c r="AH77" i="2"/>
  <c r="AH71" i="2"/>
  <c r="AH72" i="2"/>
  <c r="AH69" i="2"/>
  <c r="AH65" i="2"/>
  <c r="AH66" i="2"/>
  <c r="AH62" i="2"/>
  <c r="AH63" i="2"/>
  <c r="AH59" i="2"/>
  <c r="AH56" i="2"/>
  <c r="AH51" i="2"/>
  <c r="AH45" i="2"/>
  <c r="AH41" i="2"/>
  <c r="AH42" i="2"/>
  <c r="AH39" i="2"/>
  <c r="AH35" i="2"/>
  <c r="AH32" i="2"/>
  <c r="AH33" i="2"/>
  <c r="AH167" i="2"/>
  <c r="AB224" i="2"/>
  <c r="AH224" i="2" s="1"/>
  <c r="AB221" i="2"/>
  <c r="AH221" i="2" s="1"/>
  <c r="AB218" i="2"/>
  <c r="AH218" i="2" s="1"/>
  <c r="AB215" i="2"/>
  <c r="AH215" i="2" s="1"/>
  <c r="AB212" i="2"/>
  <c r="AH212" i="2" s="1"/>
  <c r="AB209" i="2"/>
  <c r="AH209" i="2" s="1"/>
  <c r="AB206" i="2"/>
  <c r="AH206" i="2" s="1"/>
  <c r="AB203" i="2"/>
  <c r="AH203" i="2" s="1"/>
  <c r="AB200" i="2"/>
  <c r="AH200" i="2" s="1"/>
  <c r="AB197" i="2"/>
  <c r="AH197" i="2" s="1"/>
  <c r="AB194" i="2"/>
  <c r="AH194" i="2" s="1"/>
  <c r="AB191" i="2"/>
  <c r="AH191" i="2" s="1"/>
  <c r="AB188" i="2"/>
  <c r="AH188" i="2" s="1"/>
  <c r="AB185" i="2"/>
  <c r="AH185" i="2" s="1"/>
  <c r="AB182" i="2"/>
  <c r="AH182" i="2" s="1"/>
  <c r="AB179" i="2"/>
  <c r="AH179" i="2" s="1"/>
  <c r="AB176" i="2"/>
  <c r="AH176" i="2" s="1"/>
  <c r="AB172" i="2"/>
  <c r="AH172" i="2" s="1"/>
  <c r="AB169" i="2"/>
  <c r="AH169" i="2" s="1"/>
  <c r="AB167" i="2"/>
  <c r="AB164" i="2"/>
  <c r="AH164" i="2" s="1"/>
  <c r="AB160" i="2"/>
  <c r="AH160" i="2" s="1"/>
  <c r="AB157" i="2"/>
  <c r="AH157" i="2" s="1"/>
  <c r="AB155" i="2"/>
  <c r="AH155" i="2" s="1"/>
  <c r="AB154" i="2"/>
  <c r="AH154" i="2" s="1"/>
  <c r="AB151" i="2"/>
  <c r="AH151" i="2" s="1"/>
  <c r="AB148" i="2"/>
  <c r="AH148" i="2" s="1"/>
  <c r="AB145" i="2"/>
  <c r="AH145" i="2" s="1"/>
  <c r="AB143" i="2"/>
  <c r="AH143" i="2" s="1"/>
  <c r="AB142" i="2"/>
  <c r="AH142" i="2" s="1"/>
  <c r="AB140" i="2"/>
  <c r="AH140" i="2" s="1"/>
  <c r="AB139" i="2"/>
  <c r="AH139" i="2" s="1"/>
  <c r="AB136" i="2"/>
  <c r="AH136" i="2" s="1"/>
  <c r="AB133" i="2"/>
  <c r="AH133" i="2" s="1"/>
  <c r="AB131" i="2"/>
  <c r="AH131" i="2" s="1"/>
  <c r="AB128" i="2"/>
  <c r="AH128" i="2" s="1"/>
  <c r="AB127" i="2"/>
  <c r="AH127" i="2" s="1"/>
  <c r="AB124" i="2"/>
  <c r="AH124" i="2" s="1"/>
  <c r="AB121" i="2"/>
  <c r="AH121" i="2" s="1"/>
  <c r="AB118" i="2"/>
  <c r="AH118" i="2" s="1"/>
  <c r="AB115" i="2"/>
  <c r="AH115" i="2" s="1"/>
  <c r="AB112" i="2"/>
  <c r="AH112" i="2" s="1"/>
  <c r="AB109" i="2"/>
  <c r="AH109" i="2" s="1"/>
  <c r="AB106" i="2"/>
  <c r="AH106" i="2" s="1"/>
  <c r="AB103" i="2"/>
  <c r="AH103" i="2" s="1"/>
  <c r="AB100" i="2"/>
  <c r="AH100" i="2" s="1"/>
  <c r="AB97" i="2"/>
  <c r="AH97" i="2" s="1"/>
  <c r="AB94" i="2"/>
  <c r="AH94" i="2" s="1"/>
  <c r="AB91" i="2"/>
  <c r="AH91" i="2" s="1"/>
  <c r="AB88" i="2"/>
  <c r="AH88" i="2" s="1"/>
  <c r="AB85" i="2"/>
  <c r="AH85" i="2" s="1"/>
  <c r="AB82" i="2"/>
  <c r="AH82" i="2" s="1"/>
  <c r="AB79" i="2"/>
  <c r="AH79" i="2" s="1"/>
  <c r="AB76" i="2"/>
  <c r="AH76" i="2" s="1"/>
  <c r="AB73" i="2"/>
  <c r="AH73" i="2" s="1"/>
  <c r="AB70" i="2"/>
  <c r="AH70" i="2" s="1"/>
  <c r="AB67" i="2"/>
  <c r="AH67" i="2" s="1"/>
  <c r="AB64" i="2"/>
  <c r="AH64" i="2" s="1"/>
  <c r="AB61" i="2"/>
  <c r="AH61" i="2" s="1"/>
  <c r="AB58" i="2"/>
  <c r="AH58" i="2" s="1"/>
  <c r="AB55" i="2"/>
  <c r="AH55" i="2" s="1"/>
  <c r="AB52" i="2"/>
  <c r="AH52" i="2" s="1"/>
  <c r="AB49" i="2"/>
  <c r="AH49" i="2" s="1"/>
  <c r="AB46" i="2"/>
  <c r="AH46" i="2" s="1"/>
  <c r="AB43" i="2"/>
  <c r="AH43" i="2" s="1"/>
  <c r="AB40" i="2"/>
  <c r="AH40" i="2" s="1"/>
  <c r="AB37" i="2"/>
  <c r="AH37" i="2" s="1"/>
  <c r="AB34" i="2"/>
  <c r="AH34" i="2" s="1"/>
  <c r="AB31" i="2"/>
  <c r="AH31" i="2" s="1"/>
  <c r="AB28" i="2"/>
  <c r="AB25" i="2"/>
  <c r="AB19" i="2"/>
  <c r="AD22" i="2" s="1"/>
  <c r="AB16" i="2"/>
  <c r="AB13" i="2"/>
  <c r="AB10" i="2"/>
  <c r="AB7" i="2"/>
  <c r="AB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U218" i="2"/>
  <c r="T218" i="2"/>
  <c r="S218" i="2"/>
  <c r="R218" i="2"/>
  <c r="Q218" i="2"/>
  <c r="P218" i="2"/>
  <c r="O218" i="2"/>
  <c r="N218" i="2"/>
  <c r="M218" i="2"/>
  <c r="L218" i="2"/>
  <c r="K218" i="2"/>
  <c r="AC218" i="2" s="1"/>
  <c r="J218" i="2"/>
  <c r="I218" i="2"/>
  <c r="H218" i="2"/>
  <c r="G218" i="2"/>
  <c r="F218" i="2"/>
  <c r="E218" i="2"/>
  <c r="D218" i="2"/>
  <c r="C218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D215" i="2" s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X203" i="2" s="1"/>
  <c r="I203" i="2"/>
  <c r="H203" i="2"/>
  <c r="G203" i="2"/>
  <c r="F203" i="2"/>
  <c r="E203" i="2"/>
  <c r="D203" i="2"/>
  <c r="C203" i="2"/>
  <c r="Y203" i="2" s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Y197" i="2" s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Y194" i="2" s="1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D179" i="2" s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AD172" i="2" s="1"/>
  <c r="G172" i="2"/>
  <c r="F172" i="2"/>
  <c r="E172" i="2"/>
  <c r="D172" i="2"/>
  <c r="C172" i="2"/>
  <c r="Y172" i="2" s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Y164" i="2" s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Y142" i="2" s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C115" i="2" s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Y112" i="2" s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Y109" i="2" s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Y88" i="2" s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Y82" i="2" s="1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Y79" i="2" s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Y52" i="2" s="1"/>
  <c r="F52" i="2"/>
  <c r="E52" i="2"/>
  <c r="D52" i="2"/>
  <c r="C52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Y13" i="2" s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Y10" i="2" s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D37" i="2" l="1"/>
  <c r="AC131" i="2"/>
  <c r="Y218" i="2"/>
  <c r="AD19" i="2"/>
  <c r="AD118" i="2"/>
  <c r="X131" i="2"/>
  <c r="X218" i="2"/>
  <c r="X172" i="2"/>
  <c r="AD4" i="2"/>
  <c r="AD103" i="2"/>
  <c r="Y188" i="2"/>
  <c r="AC88" i="2"/>
  <c r="X73" i="2"/>
  <c r="X157" i="2"/>
  <c r="AD88" i="2"/>
  <c r="Y58" i="2"/>
  <c r="Z58" i="2" s="1"/>
  <c r="AD145" i="2"/>
  <c r="X118" i="2"/>
  <c r="Y43" i="2"/>
  <c r="Y136" i="2"/>
  <c r="AD224" i="2"/>
  <c r="Y118" i="2"/>
  <c r="AD209" i="2"/>
  <c r="Z26" i="2"/>
  <c r="Z27" i="2"/>
  <c r="Z42" i="2"/>
  <c r="AD218" i="2"/>
  <c r="AD151" i="2"/>
  <c r="Z74" i="2"/>
  <c r="AD100" i="2"/>
  <c r="Z60" i="2"/>
  <c r="AD175" i="2"/>
  <c r="AD85" i="2"/>
  <c r="Z29" i="2"/>
  <c r="AD70" i="2"/>
  <c r="Y155" i="2"/>
  <c r="Z77" i="2"/>
  <c r="X142" i="2"/>
  <c r="Z142" i="2" s="1"/>
  <c r="AC154" i="2"/>
  <c r="AD34" i="2"/>
  <c r="AD55" i="2"/>
  <c r="Z62" i="2"/>
  <c r="AD154" i="2"/>
  <c r="AD133" i="2"/>
  <c r="AC221" i="2"/>
  <c r="Z78" i="2"/>
  <c r="X82" i="2"/>
  <c r="AC203" i="2"/>
  <c r="Y106" i="2"/>
  <c r="Y191" i="2"/>
  <c r="AC158" i="2"/>
  <c r="X16" i="2"/>
  <c r="X55" i="2"/>
  <c r="AC58" i="2"/>
  <c r="Y64" i="2"/>
  <c r="Z64" i="2" s="1"/>
  <c r="AC73" i="2"/>
  <c r="AC79" i="2"/>
  <c r="Y85" i="2"/>
  <c r="AC91" i="2"/>
  <c r="AC94" i="2"/>
  <c r="AC100" i="2"/>
  <c r="AC106" i="2"/>
  <c r="AD109" i="2"/>
  <c r="X115" i="2"/>
  <c r="Z115" i="2" s="1"/>
  <c r="AC121" i="2"/>
  <c r="AC124" i="2"/>
  <c r="AD128" i="2"/>
  <c r="Y133" i="2"/>
  <c r="AC136" i="2"/>
  <c r="Y140" i="2"/>
  <c r="AD143" i="2"/>
  <c r="X145" i="2"/>
  <c r="Y151" i="2"/>
  <c r="AD155" i="2"/>
  <c r="AD157" i="2"/>
  <c r="X169" i="2"/>
  <c r="Y176" i="2"/>
  <c r="Y179" i="2"/>
  <c r="Y185" i="2"/>
  <c r="Z185" i="2" s="1"/>
  <c r="AD191" i="2"/>
  <c r="X200" i="2"/>
  <c r="AC206" i="2"/>
  <c r="Y209" i="2"/>
  <c r="Y215" i="2"/>
  <c r="Y221" i="2"/>
  <c r="Z48" i="2"/>
  <c r="AD158" i="2"/>
  <c r="AC172" i="2"/>
  <c r="AD49" i="2"/>
  <c r="Y76" i="2"/>
  <c r="Y160" i="2"/>
  <c r="X25" i="2"/>
  <c r="Z25" i="2" s="1"/>
  <c r="AC148" i="2"/>
  <c r="X88" i="2"/>
  <c r="Z88" i="2" s="1"/>
  <c r="AC10" i="2"/>
  <c r="Y139" i="2"/>
  <c r="Z50" i="2"/>
  <c r="Z75" i="2"/>
  <c r="AC28" i="2"/>
  <c r="AC40" i="2"/>
  <c r="Y61" i="2"/>
  <c r="Y46" i="2"/>
  <c r="AD31" i="2"/>
  <c r="AJ31" i="2" s="1"/>
  <c r="Y127" i="2"/>
  <c r="Z127" i="2" s="1"/>
  <c r="AC212" i="2"/>
  <c r="Z35" i="2"/>
  <c r="X52" i="2"/>
  <c r="AC43" i="2"/>
  <c r="X112" i="2"/>
  <c r="X197" i="2"/>
  <c r="Z44" i="2"/>
  <c r="AD7" i="2"/>
  <c r="Y34" i="2"/>
  <c r="Z34" i="2" s="1"/>
  <c r="X13" i="2"/>
  <c r="Z13" i="2" s="1"/>
  <c r="AD97" i="2"/>
  <c r="AD182" i="2"/>
  <c r="Z51" i="2"/>
  <c r="Z66" i="2"/>
  <c r="X19" i="2"/>
  <c r="AC82" i="2"/>
  <c r="AD167" i="2"/>
  <c r="Z36" i="2"/>
  <c r="Y19" i="2"/>
  <c r="Z19" i="2" s="1"/>
  <c r="X167" i="2"/>
  <c r="AD163" i="2"/>
  <c r="Y67" i="2"/>
  <c r="Y167" i="2"/>
  <c r="Z167" i="2" s="1"/>
  <c r="Y154" i="2"/>
  <c r="Z154" i="2" s="1"/>
  <c r="AC52" i="2"/>
  <c r="AC142" i="2"/>
  <c r="AD40" i="2"/>
  <c r="Y16" i="2"/>
  <c r="AD25" i="2"/>
  <c r="AD121" i="2"/>
  <c r="Y169" i="2"/>
  <c r="AD10" i="2"/>
  <c r="AD106" i="2"/>
  <c r="Y25" i="2"/>
  <c r="X58" i="2"/>
  <c r="Y121" i="2"/>
  <c r="Y206" i="2"/>
  <c r="AD28" i="2"/>
  <c r="AD76" i="2"/>
  <c r="AD124" i="2"/>
  <c r="AD140" i="2"/>
  <c r="AD188" i="2"/>
  <c r="X91" i="2"/>
  <c r="Z91" i="2" s="1"/>
  <c r="Y145" i="2"/>
  <c r="Z145" i="2" s="1"/>
  <c r="X176" i="2"/>
  <c r="Z176" i="2" s="1"/>
  <c r="AC13" i="2"/>
  <c r="AC61" i="2"/>
  <c r="AC109" i="2"/>
  <c r="AC157" i="2"/>
  <c r="X140" i="2"/>
  <c r="Z140" i="2" s="1"/>
  <c r="AC169" i="2"/>
  <c r="AC155" i="2"/>
  <c r="Y49" i="2"/>
  <c r="Z49" i="2" s="1"/>
  <c r="AD169" i="2"/>
  <c r="X28" i="2"/>
  <c r="X182" i="2"/>
  <c r="AD16" i="2"/>
  <c r="X67" i="2"/>
  <c r="X4" i="2"/>
  <c r="Y37" i="2"/>
  <c r="X70" i="2"/>
  <c r="Y131" i="2"/>
  <c r="X155" i="2"/>
  <c r="AD82" i="2"/>
  <c r="AD130" i="2"/>
  <c r="AD146" i="2"/>
  <c r="AD194" i="2"/>
  <c r="AD142" i="2"/>
  <c r="AC143" i="2"/>
  <c r="Y4" i="2"/>
  <c r="Z4" i="2" s="1"/>
  <c r="Y70" i="2"/>
  <c r="Z70" i="2" s="1"/>
  <c r="X103" i="2"/>
  <c r="X188" i="2"/>
  <c r="Z188" i="2" s="1"/>
  <c r="AC19" i="2"/>
  <c r="AC67" i="2"/>
  <c r="AC163" i="2"/>
  <c r="AC179" i="2"/>
  <c r="AC185" i="2"/>
  <c r="AD185" i="2"/>
  <c r="AC188" i="2"/>
  <c r="AC139" i="2"/>
  <c r="AD203" i="2"/>
  <c r="Y212" i="2"/>
  <c r="Z212" i="2" s="1"/>
  <c r="AC16" i="2"/>
  <c r="AD176" i="2"/>
  <c r="AC146" i="2"/>
  <c r="AD67" i="2"/>
  <c r="X7" i="2"/>
  <c r="Y73" i="2"/>
  <c r="X106" i="2"/>
  <c r="Y157" i="2"/>
  <c r="X191" i="2"/>
  <c r="AD52" i="2"/>
  <c r="AD148" i="2"/>
  <c r="AD164" i="2"/>
  <c r="AD212" i="2"/>
  <c r="AD136" i="2"/>
  <c r="Y115" i="2"/>
  <c r="Y200" i="2"/>
  <c r="AD73" i="2"/>
  <c r="AD58" i="2"/>
  <c r="X206" i="2"/>
  <c r="AC76" i="2"/>
  <c r="AC140" i="2"/>
  <c r="X124" i="2"/>
  <c r="X209" i="2"/>
  <c r="Z209" i="2" s="1"/>
  <c r="AD61" i="2"/>
  <c r="AD221" i="2"/>
  <c r="Y28" i="2"/>
  <c r="Y124" i="2"/>
  <c r="Z124" i="2" s="1"/>
  <c r="X148" i="2"/>
  <c r="AC46" i="2"/>
  <c r="X97" i="2"/>
  <c r="AC128" i="2"/>
  <c r="AC160" i="2"/>
  <c r="AC176" i="2"/>
  <c r="X215" i="2"/>
  <c r="Z215" i="2" s="1"/>
  <c r="AD64" i="2"/>
  <c r="AC49" i="2"/>
  <c r="AC97" i="2"/>
  <c r="AC145" i="2"/>
  <c r="X185" i="2"/>
  <c r="X37" i="2"/>
  <c r="AC194" i="2"/>
  <c r="X40" i="2"/>
  <c r="X221" i="2"/>
  <c r="AC164" i="2"/>
  <c r="Y7" i="2"/>
  <c r="Z7" i="2" s="1"/>
  <c r="X43" i="2"/>
  <c r="X136" i="2"/>
  <c r="X224" i="2"/>
  <c r="AC37" i="2"/>
  <c r="AC85" i="2"/>
  <c r="AC133" i="2"/>
  <c r="AC197" i="2"/>
  <c r="X143" i="2"/>
  <c r="Y143" i="2"/>
  <c r="AD91" i="2"/>
  <c r="AD139" i="2"/>
  <c r="X94" i="2"/>
  <c r="Y148" i="2"/>
  <c r="AD46" i="2"/>
  <c r="AD94" i="2"/>
  <c r="AD206" i="2"/>
  <c r="Y94" i="2"/>
  <c r="X212" i="2"/>
  <c r="AC31" i="2"/>
  <c r="AI31" i="2" s="1"/>
  <c r="AC127" i="2"/>
  <c r="AC191" i="2"/>
  <c r="X34" i="2"/>
  <c r="Y97" i="2"/>
  <c r="Z97" i="2" s="1"/>
  <c r="Y182" i="2"/>
  <c r="AD160" i="2"/>
  <c r="AC209" i="2"/>
  <c r="Y100" i="2"/>
  <c r="Y40" i="2"/>
  <c r="X76" i="2"/>
  <c r="X160" i="2"/>
  <c r="Y224" i="2"/>
  <c r="AD197" i="2"/>
  <c r="X49" i="2"/>
  <c r="AC200" i="2"/>
  <c r="X85" i="2"/>
  <c r="Y55" i="2"/>
  <c r="AD43" i="2"/>
  <c r="X61" i="2"/>
  <c r="Z61" i="2" s="1"/>
  <c r="X179" i="2"/>
  <c r="Z179" i="2" s="1"/>
  <c r="X151" i="2"/>
  <c r="Z151" i="2" s="1"/>
  <c r="AC64" i="2"/>
  <c r="X100" i="2"/>
  <c r="Z100" i="2" s="1"/>
  <c r="AC34" i="2"/>
  <c r="AC130" i="2"/>
  <c r="Y103" i="2"/>
  <c r="Z103" i="2" s="1"/>
  <c r="AD131" i="2"/>
  <c r="X10" i="2"/>
  <c r="Z10" i="2" s="1"/>
  <c r="X109" i="2"/>
  <c r="Z109" i="2" s="1"/>
  <c r="X194" i="2"/>
  <c r="Z194" i="2" s="1"/>
  <c r="AC4" i="2"/>
  <c r="AC22" i="2"/>
  <c r="AC70" i="2"/>
  <c r="AC118" i="2"/>
  <c r="AC134" i="2"/>
  <c r="AC182" i="2"/>
  <c r="X121" i="2"/>
  <c r="Y91" i="2"/>
  <c r="AD13" i="2"/>
  <c r="AD127" i="2"/>
  <c r="AD112" i="2"/>
  <c r="X46" i="2"/>
  <c r="Z46" i="2" s="1"/>
  <c r="X139" i="2"/>
  <c r="AD134" i="2"/>
  <c r="AD200" i="2"/>
  <c r="AC25" i="2"/>
  <c r="X127" i="2"/>
  <c r="X64" i="2"/>
  <c r="AD79" i="2"/>
  <c r="Y128" i="2"/>
  <c r="X133" i="2"/>
  <c r="Z133" i="2" s="1"/>
  <c r="AD115" i="2"/>
  <c r="X79" i="2"/>
  <c r="Z79" i="2" s="1"/>
  <c r="X164" i="2"/>
  <c r="Z164" i="2" s="1"/>
  <c r="AC7" i="2"/>
  <c r="AC55" i="2"/>
  <c r="AC103" i="2"/>
  <c r="AC151" i="2"/>
  <c r="AC167" i="2"/>
  <c r="AC215" i="2"/>
  <c r="X31" i="2"/>
  <c r="Y31" i="2"/>
  <c r="Z31" i="2" s="1"/>
  <c r="AC112" i="2"/>
  <c r="AC224" i="2"/>
  <c r="X128" i="2"/>
  <c r="X154" i="2"/>
  <c r="Z82" i="2"/>
  <c r="Z112" i="2"/>
  <c r="Z203" i="2"/>
  <c r="Z182" i="2"/>
  <c r="Z37" i="2"/>
  <c r="Z131" i="2"/>
  <c r="Z218" i="2"/>
  <c r="Z155" i="2"/>
  <c r="Z52" i="2"/>
  <c r="Z169" i="2"/>
  <c r="Z197" i="2"/>
  <c r="Z172" i="2"/>
  <c r="Z73" i="2"/>
  <c r="Z157" i="2"/>
  <c r="Z121" i="2"/>
  <c r="Z118" i="2"/>
  <c r="Z143" i="2"/>
  <c r="Z28" i="2" l="1"/>
  <c r="Z128" i="2"/>
  <c r="Z43" i="2"/>
  <c r="Z221" i="2"/>
  <c r="Z206" i="2"/>
  <c r="Z160" i="2"/>
  <c r="Z191" i="2"/>
  <c r="Z16" i="2"/>
  <c r="Z85" i="2"/>
  <c r="Z136" i="2"/>
  <c r="Z76" i="2"/>
  <c r="Z106" i="2"/>
  <c r="Z67" i="2"/>
  <c r="Z148" i="2"/>
  <c r="Z55" i="2"/>
  <c r="Z200" i="2"/>
  <c r="Z40" i="2"/>
  <c r="Z139" i="2"/>
  <c r="AI32" i="2"/>
  <c r="AI33" i="2" s="1"/>
  <c r="AI34" i="2"/>
  <c r="Z224" i="2"/>
  <c r="Z94" i="2"/>
  <c r="AE10" i="2"/>
  <c r="AJ32" i="2"/>
  <c r="AJ33" i="2" s="1"/>
  <c r="AJ34" i="2" s="1"/>
  <c r="AE4" i="2"/>
  <c r="AE7" i="2"/>
  <c r="AE106" i="2"/>
  <c r="AE142" i="2"/>
  <c r="AE31" i="2"/>
  <c r="AK31" i="2" s="1"/>
  <c r="AK32" i="2" s="1"/>
  <c r="AK33" i="2" s="1"/>
  <c r="AE79" i="2"/>
  <c r="AE206" i="2"/>
  <c r="AE55" i="2"/>
  <c r="AE148" i="2"/>
  <c r="AE143" i="2"/>
  <c r="AE13" i="2"/>
  <c r="AE176" i="2"/>
  <c r="AE19" i="2"/>
  <c r="AE215" i="2"/>
  <c r="AE131" i="2"/>
  <c r="AE136" i="2"/>
  <c r="AE164" i="2"/>
  <c r="AE191" i="2"/>
  <c r="AE221" i="2"/>
  <c r="AE212" i="2"/>
  <c r="AE88" i="2"/>
  <c r="AE172" i="2"/>
  <c r="AE73" i="2"/>
  <c r="AE70" i="2"/>
  <c r="AE224" i="2"/>
  <c r="AE76" i="2"/>
  <c r="AE167" i="2"/>
  <c r="AE124" i="2"/>
  <c r="AE49" i="2"/>
  <c r="AE58" i="2"/>
  <c r="AE127" i="2"/>
  <c r="AE179" i="2"/>
  <c r="AE133" i="2"/>
  <c r="AE188" i="2"/>
  <c r="AE103" i="2"/>
  <c r="AE140" i="2"/>
  <c r="AE218" i="2"/>
  <c r="AE194" i="2"/>
  <c r="AE160" i="2"/>
  <c r="AE139" i="2"/>
  <c r="AE43" i="2"/>
  <c r="AE157" i="2"/>
  <c r="AE85" i="2"/>
  <c r="AE200" i="2"/>
  <c r="AE37" i="2"/>
  <c r="AE100" i="2"/>
  <c r="AE145" i="2"/>
  <c r="AE128" i="2"/>
  <c r="AE64" i="2"/>
  <c r="AE61" i="2"/>
  <c r="AE112" i="2"/>
  <c r="AE25" i="2"/>
  <c r="AE40" i="2"/>
  <c r="AE16" i="2"/>
  <c r="AE82" i="2"/>
  <c r="AE151" i="2"/>
  <c r="AE154" i="2"/>
  <c r="AE97" i="2"/>
  <c r="AE67" i="2"/>
  <c r="AE28" i="2"/>
  <c r="AE203" i="2"/>
  <c r="AE109" i="2"/>
  <c r="AE209" i="2"/>
  <c r="AE34" i="2"/>
  <c r="AE94" i="2"/>
  <c r="AE115" i="2"/>
  <c r="AE182" i="2"/>
  <c r="AE169" i="2"/>
  <c r="AE197" i="2"/>
  <c r="AE118" i="2"/>
  <c r="AE52" i="2"/>
  <c r="AE155" i="2"/>
  <c r="AE46" i="2"/>
  <c r="AE91" i="2"/>
  <c r="AE121" i="2"/>
  <c r="AE185" i="2"/>
  <c r="AJ35" i="2" l="1"/>
  <c r="AJ36" i="2" s="1"/>
  <c r="AJ37" i="2" s="1"/>
  <c r="AI35" i="2"/>
  <c r="AI36" i="2" s="1"/>
  <c r="AI37" i="2" s="1"/>
  <c r="AK34" i="2"/>
  <c r="AI38" i="2" l="1"/>
  <c r="AI39" i="2" s="1"/>
  <c r="AI40" i="2" s="1"/>
  <c r="AK35" i="2"/>
  <c r="AK36" i="2" s="1"/>
  <c r="AK37" i="2" s="1"/>
  <c r="AJ38" i="2"/>
  <c r="AJ39" i="2" s="1"/>
  <c r="AJ40" i="2" s="1"/>
  <c r="AK38" i="2" l="1"/>
  <c r="AK39" i="2" s="1"/>
  <c r="AK40" i="2" s="1"/>
  <c r="AJ41" i="2"/>
  <c r="AJ42" i="2" s="1"/>
  <c r="AJ43" i="2" s="1"/>
  <c r="AI41" i="2"/>
  <c r="AI42" i="2" s="1"/>
  <c r="AI43" i="2" s="1"/>
  <c r="AJ44" i="2" l="1"/>
  <c r="AJ45" i="2" s="1"/>
  <c r="AJ46" i="2" s="1"/>
  <c r="AI44" i="2"/>
  <c r="AI45" i="2" s="1"/>
  <c r="AI46" i="2" s="1"/>
  <c r="AK41" i="2"/>
  <c r="AK42" i="2" s="1"/>
  <c r="AK43" i="2" s="1"/>
  <c r="AI47" i="2" l="1"/>
  <c r="AI48" i="2" s="1"/>
  <c r="AI49" i="2" s="1"/>
  <c r="AK44" i="2"/>
  <c r="AK45" i="2" s="1"/>
  <c r="AK46" i="2" s="1"/>
  <c r="AJ47" i="2"/>
  <c r="AJ48" i="2" s="1"/>
  <c r="AJ49" i="2" s="1"/>
  <c r="AK47" i="2" l="1"/>
  <c r="AK48" i="2" s="1"/>
  <c r="AK49" i="2" s="1"/>
  <c r="AJ50" i="2"/>
  <c r="AJ51" i="2" s="1"/>
  <c r="AJ52" i="2" s="1"/>
  <c r="AI50" i="2"/>
  <c r="AI51" i="2" s="1"/>
  <c r="AI52" i="2" s="1"/>
  <c r="AJ53" i="2" l="1"/>
  <c r="AJ54" i="2" s="1"/>
  <c r="AJ55" i="2" s="1"/>
  <c r="AI53" i="2"/>
  <c r="AI54" i="2" s="1"/>
  <c r="AI55" i="2" s="1"/>
  <c r="AK50" i="2"/>
  <c r="AK51" i="2" s="1"/>
  <c r="AK52" i="2" s="1"/>
  <c r="AK53" i="2" l="1"/>
  <c r="AK54" i="2" s="1"/>
  <c r="AK55" i="2" s="1"/>
  <c r="AI56" i="2"/>
  <c r="AI57" i="2" s="1"/>
  <c r="AI58" i="2" s="1"/>
  <c r="AJ56" i="2"/>
  <c r="AJ57" i="2" s="1"/>
  <c r="AJ58" i="2" s="1"/>
  <c r="AI59" i="2" l="1"/>
  <c r="AI60" i="2" s="1"/>
  <c r="AI61" i="2" s="1"/>
  <c r="AJ59" i="2"/>
  <c r="AJ60" i="2" s="1"/>
  <c r="AJ61" i="2" s="1"/>
  <c r="AK56" i="2"/>
  <c r="AK57" i="2" s="1"/>
  <c r="AK58" i="2" s="1"/>
  <c r="AK59" i="2" l="1"/>
  <c r="AK60" i="2" s="1"/>
  <c r="AK61" i="2" s="1"/>
  <c r="AJ62" i="2"/>
  <c r="AJ63" i="2" s="1"/>
  <c r="AJ64" i="2" s="1"/>
  <c r="AI62" i="2"/>
  <c r="AI63" i="2" s="1"/>
  <c r="AI64" i="2" s="1"/>
  <c r="AI65" i="2" l="1"/>
  <c r="AI66" i="2" s="1"/>
  <c r="AI67" i="2" s="1"/>
  <c r="AJ65" i="2"/>
  <c r="AJ66" i="2" s="1"/>
  <c r="AJ67" i="2" s="1"/>
  <c r="AK62" i="2"/>
  <c r="AK63" i="2" s="1"/>
  <c r="AK64" i="2" s="1"/>
  <c r="AJ68" i="2" l="1"/>
  <c r="AJ69" i="2" s="1"/>
  <c r="AJ70" i="2" s="1"/>
  <c r="AK65" i="2"/>
  <c r="AK66" i="2" s="1"/>
  <c r="AK67" i="2" s="1"/>
  <c r="AI68" i="2"/>
  <c r="AI69" i="2" s="1"/>
  <c r="AI70" i="2" s="1"/>
  <c r="AK68" i="2" l="1"/>
  <c r="AK69" i="2" s="1"/>
  <c r="AK70" i="2" s="1"/>
  <c r="AI71" i="2"/>
  <c r="AI72" i="2" s="1"/>
  <c r="AI73" i="2" s="1"/>
  <c r="AJ71" i="2"/>
  <c r="AJ72" i="2" s="1"/>
  <c r="AJ73" i="2" s="1"/>
  <c r="AI74" i="2" l="1"/>
  <c r="AI75" i="2" s="1"/>
  <c r="AI76" i="2" s="1"/>
  <c r="AJ74" i="2"/>
  <c r="AJ75" i="2" s="1"/>
  <c r="AJ76" i="2" s="1"/>
  <c r="AK71" i="2"/>
  <c r="AK72" i="2" s="1"/>
  <c r="AK73" i="2" s="1"/>
  <c r="AJ77" i="2" l="1"/>
  <c r="AJ78" i="2" s="1"/>
  <c r="AJ79" i="2" s="1"/>
  <c r="AK74" i="2"/>
  <c r="AK75" i="2" s="1"/>
  <c r="AK76" i="2" s="1"/>
  <c r="AI77" i="2"/>
  <c r="AI78" i="2" s="1"/>
  <c r="AI79" i="2" s="1"/>
  <c r="AK77" i="2" l="1"/>
  <c r="AK78" i="2" s="1"/>
  <c r="AK79" i="2" s="1"/>
  <c r="AJ80" i="2"/>
  <c r="AJ81" i="2" s="1"/>
  <c r="AJ82" i="2" s="1"/>
  <c r="AI80" i="2"/>
  <c r="AI81" i="2" s="1"/>
  <c r="AI82" i="2" s="1"/>
  <c r="AJ83" i="2" l="1"/>
  <c r="AJ84" i="2" s="1"/>
  <c r="AJ85" i="2" s="1"/>
  <c r="AI83" i="2"/>
  <c r="AI84" i="2" s="1"/>
  <c r="AI85" i="2" s="1"/>
  <c r="AK80" i="2"/>
  <c r="AK81" i="2" s="1"/>
  <c r="AK82" i="2" s="1"/>
  <c r="AI86" i="2" l="1"/>
  <c r="AI87" i="2" s="1"/>
  <c r="AI88" i="2" s="1"/>
  <c r="AK83" i="2"/>
  <c r="AK84" i="2" s="1"/>
  <c r="AK85" i="2" s="1"/>
  <c r="AJ86" i="2"/>
  <c r="AJ87" i="2" s="1"/>
  <c r="AJ88" i="2" s="1"/>
  <c r="AK86" i="2" l="1"/>
  <c r="AK87" i="2" s="1"/>
  <c r="AK88" i="2" s="1"/>
  <c r="AJ89" i="2"/>
  <c r="AJ90" i="2" s="1"/>
  <c r="AJ91" i="2" s="1"/>
  <c r="AI89" i="2"/>
  <c r="AI90" i="2" s="1"/>
  <c r="AI91" i="2" s="1"/>
  <c r="AJ92" i="2" l="1"/>
  <c r="AJ93" i="2" s="1"/>
  <c r="AJ94" i="2" s="1"/>
  <c r="AI92" i="2"/>
  <c r="AI93" i="2" s="1"/>
  <c r="AI94" i="2" s="1"/>
  <c r="AK89" i="2"/>
  <c r="AK90" i="2" s="1"/>
  <c r="AK91" i="2" s="1"/>
  <c r="AK92" i="2" l="1"/>
  <c r="AK93" i="2" s="1"/>
  <c r="AK94" i="2" s="1"/>
  <c r="AI95" i="2"/>
  <c r="AI96" i="2" s="1"/>
  <c r="AI97" i="2" s="1"/>
  <c r="AJ95" i="2"/>
  <c r="AJ96" i="2" s="1"/>
  <c r="AJ97" i="2" s="1"/>
  <c r="AI98" i="2" l="1"/>
  <c r="AI99" i="2" s="1"/>
  <c r="AI100" i="2" s="1"/>
  <c r="AJ98" i="2"/>
  <c r="AJ99" i="2" s="1"/>
  <c r="AJ100" i="2" s="1"/>
  <c r="AK95" i="2"/>
  <c r="AK96" i="2" s="1"/>
  <c r="AK97" i="2" s="1"/>
  <c r="AK98" i="2" l="1"/>
  <c r="AK99" i="2" s="1"/>
  <c r="AK100" i="2" s="1"/>
  <c r="AJ101" i="2"/>
  <c r="AJ102" i="2" s="1"/>
  <c r="AJ103" i="2" s="1"/>
  <c r="AI101" i="2"/>
  <c r="AI102" i="2" s="1"/>
  <c r="AI103" i="2" s="1"/>
  <c r="AK101" i="2" l="1"/>
  <c r="AK102" i="2" s="1"/>
  <c r="AK103" i="2" s="1"/>
  <c r="AI104" i="2"/>
  <c r="AI105" i="2" s="1"/>
  <c r="AI106" i="2" s="1"/>
  <c r="AJ104" i="2"/>
  <c r="AJ105" i="2" s="1"/>
  <c r="AJ106" i="2" s="1"/>
  <c r="AJ107" i="2" l="1"/>
  <c r="AJ108" i="2" s="1"/>
  <c r="AJ109" i="2" s="1"/>
  <c r="AI107" i="2"/>
  <c r="AI108" i="2" s="1"/>
  <c r="AI109" i="2" s="1"/>
  <c r="AK104" i="2"/>
  <c r="AK105" i="2" s="1"/>
  <c r="AK106" i="2" s="1"/>
  <c r="AK107" i="2" l="1"/>
  <c r="AK108" i="2" s="1"/>
  <c r="AK109" i="2" s="1"/>
  <c r="AI110" i="2"/>
  <c r="AI111" i="2" s="1"/>
  <c r="AI112" i="2" s="1"/>
  <c r="AJ110" i="2"/>
  <c r="AJ111" i="2" s="1"/>
  <c r="AJ112" i="2" s="1"/>
  <c r="AJ113" i="2" l="1"/>
  <c r="AJ114" i="2" s="1"/>
  <c r="AJ115" i="2" s="1"/>
  <c r="AK110" i="2"/>
  <c r="AK111" i="2" s="1"/>
  <c r="AK112" i="2" s="1"/>
  <c r="AI113" i="2"/>
  <c r="AI114" i="2" s="1"/>
  <c r="AI115" i="2" s="1"/>
  <c r="AK113" i="2" l="1"/>
  <c r="AK114" i="2" s="1"/>
  <c r="AK115" i="2" s="1"/>
  <c r="AI116" i="2"/>
  <c r="AI117" i="2" s="1"/>
  <c r="AI118" i="2" s="1"/>
  <c r="AJ116" i="2"/>
  <c r="AJ117" i="2" s="1"/>
  <c r="AJ118" i="2" s="1"/>
  <c r="AJ119" i="2" l="1"/>
  <c r="AJ120" i="2" s="1"/>
  <c r="AJ121" i="2" s="1"/>
  <c r="AI119" i="2"/>
  <c r="AI120" i="2" s="1"/>
  <c r="AI121" i="2" s="1"/>
  <c r="AK116" i="2"/>
  <c r="AK117" i="2" s="1"/>
  <c r="AK118" i="2" s="1"/>
  <c r="AK119" i="2" l="1"/>
  <c r="AK120" i="2" s="1"/>
  <c r="AK121" i="2" s="1"/>
  <c r="AI122" i="2"/>
  <c r="AI123" i="2" s="1"/>
  <c r="AI124" i="2" s="1"/>
  <c r="AJ122" i="2"/>
  <c r="AJ123" i="2" s="1"/>
  <c r="AJ124" i="2" s="1"/>
  <c r="AJ125" i="2" l="1"/>
  <c r="AJ126" i="2" s="1"/>
  <c r="AJ127" i="2" s="1"/>
  <c r="AJ128" i="2" s="1"/>
  <c r="AI125" i="2"/>
  <c r="AI126" i="2" s="1"/>
  <c r="AI127" i="2" s="1"/>
  <c r="AI128" i="2" s="1"/>
  <c r="AK122" i="2"/>
  <c r="AK123" i="2" s="1"/>
  <c r="AK124" i="2" s="1"/>
  <c r="AK125" i="2" l="1"/>
  <c r="AK126" i="2" s="1"/>
  <c r="AK127" i="2" s="1"/>
  <c r="AK128" i="2" s="1"/>
  <c r="AI129" i="2"/>
  <c r="AI130" i="2" s="1"/>
  <c r="AI131" i="2" s="1"/>
  <c r="AJ129" i="2"/>
  <c r="AJ130" i="2" s="1"/>
  <c r="AJ131" i="2" s="1"/>
  <c r="AJ132" i="2" l="1"/>
  <c r="AJ133" i="2" s="1"/>
  <c r="AI132" i="2"/>
  <c r="AI133" i="2" s="1"/>
  <c r="AK129" i="2"/>
  <c r="AK130" i="2" s="1"/>
  <c r="AK131" i="2" s="1"/>
  <c r="AK132" i="2" l="1"/>
  <c r="AK133" i="2" s="1"/>
  <c r="AI134" i="2"/>
  <c r="AI135" i="2" s="1"/>
  <c r="AI136" i="2" s="1"/>
  <c r="AJ134" i="2"/>
  <c r="AJ135" i="2" s="1"/>
  <c r="AJ136" i="2" s="1"/>
  <c r="AI137" i="2" l="1"/>
  <c r="AI138" i="2" s="1"/>
  <c r="AI139" i="2" s="1"/>
  <c r="AI140" i="2" s="1"/>
  <c r="AK134" i="2"/>
  <c r="AK135" i="2" s="1"/>
  <c r="AK136" i="2" s="1"/>
  <c r="AJ137" i="2"/>
  <c r="AJ138" i="2" s="1"/>
  <c r="AJ139" i="2" s="1"/>
  <c r="AJ140" i="2" s="1"/>
  <c r="AK137" i="2" l="1"/>
  <c r="AK138" i="2" s="1"/>
  <c r="AK139" i="2" s="1"/>
  <c r="AK140" i="2" s="1"/>
  <c r="AJ141" i="2"/>
  <c r="AJ142" i="2" s="1"/>
  <c r="AJ143" i="2" s="1"/>
  <c r="AI141" i="2"/>
  <c r="AI142" i="2" s="1"/>
  <c r="AI143" i="2" s="1"/>
  <c r="AI144" i="2" l="1"/>
  <c r="AI145" i="2" s="1"/>
  <c r="AJ144" i="2"/>
  <c r="AJ145" i="2" s="1"/>
  <c r="AK141" i="2"/>
  <c r="AK142" i="2" s="1"/>
  <c r="AK143" i="2" s="1"/>
  <c r="AK144" i="2" l="1"/>
  <c r="AK145" i="2" s="1"/>
  <c r="AJ146" i="2"/>
  <c r="AJ147" i="2" s="1"/>
  <c r="AJ148" i="2" s="1"/>
  <c r="AI146" i="2"/>
  <c r="AI147" i="2" s="1"/>
  <c r="AI148" i="2" s="1"/>
  <c r="AI149" i="2" l="1"/>
  <c r="AI150" i="2" s="1"/>
  <c r="AI151" i="2" s="1"/>
  <c r="AJ149" i="2"/>
  <c r="AJ150" i="2" s="1"/>
  <c r="AJ151" i="2" s="1"/>
  <c r="AK146" i="2"/>
  <c r="AK147" i="2" s="1"/>
  <c r="AK148" i="2" s="1"/>
  <c r="AJ152" i="2" l="1"/>
  <c r="AJ153" i="2" s="1"/>
  <c r="AJ154" i="2" s="1"/>
  <c r="AJ155" i="2" s="1"/>
  <c r="AK149" i="2"/>
  <c r="AK150" i="2" s="1"/>
  <c r="AK151" i="2" s="1"/>
  <c r="AI152" i="2"/>
  <c r="AI153" i="2" s="1"/>
  <c r="AI154" i="2" s="1"/>
  <c r="AI155" i="2" s="1"/>
  <c r="AI156" i="2" l="1"/>
  <c r="AI157" i="2" s="1"/>
  <c r="AK152" i="2"/>
  <c r="AK153" i="2" s="1"/>
  <c r="AK154" i="2" s="1"/>
  <c r="AK155" i="2" s="1"/>
  <c r="AJ156" i="2"/>
  <c r="AJ157" i="2" s="1"/>
  <c r="AJ158" i="2" l="1"/>
  <c r="AJ159" i="2" s="1"/>
  <c r="AJ160" i="2" s="1"/>
  <c r="AK156" i="2"/>
  <c r="AK157" i="2" s="1"/>
  <c r="AI158" i="2"/>
  <c r="AI159" i="2" s="1"/>
  <c r="AI160" i="2" s="1"/>
  <c r="AI161" i="2" l="1"/>
  <c r="AI162" i="2" s="1"/>
  <c r="AI163" i="2" s="1"/>
  <c r="AI164" i="2" s="1"/>
  <c r="AK158" i="2"/>
  <c r="AK159" i="2" s="1"/>
  <c r="AK160" i="2" s="1"/>
  <c r="AJ161" i="2"/>
  <c r="AJ162" i="2" s="1"/>
  <c r="AJ163" i="2" s="1"/>
  <c r="AJ164" i="2" s="1"/>
  <c r="AK161" i="2" l="1"/>
  <c r="AK162" i="2" s="1"/>
  <c r="AK163" i="2" s="1"/>
  <c r="AK164" i="2" s="1"/>
  <c r="AI165" i="2"/>
  <c r="AI166" i="2" s="1"/>
  <c r="AI167" i="2" s="1"/>
  <c r="AJ165" i="2"/>
  <c r="AJ166" i="2" s="1"/>
  <c r="AJ167" i="2" s="1"/>
  <c r="AK165" i="2" l="1"/>
  <c r="AK166" i="2" s="1"/>
  <c r="AK167" i="2" s="1"/>
  <c r="AJ168" i="2"/>
  <c r="AJ169" i="2" s="1"/>
  <c r="AI168" i="2"/>
  <c r="AI169" i="2" s="1"/>
  <c r="AI170" i="2" l="1"/>
  <c r="AI171" i="2" s="1"/>
  <c r="AI172" i="2" s="1"/>
  <c r="AJ170" i="2"/>
  <c r="AJ171" i="2" s="1"/>
  <c r="AJ172" i="2" s="1"/>
  <c r="AK168" i="2"/>
  <c r="AK169" i="2" s="1"/>
  <c r="AK170" i="2" l="1"/>
  <c r="AK171" i="2" s="1"/>
  <c r="AK172" i="2" s="1"/>
  <c r="AJ173" i="2"/>
  <c r="AJ174" i="2" s="1"/>
  <c r="AJ175" i="2" s="1"/>
  <c r="AJ176" i="2" s="1"/>
  <c r="AI173" i="2"/>
  <c r="AI174" i="2" s="1"/>
  <c r="AI175" i="2" s="1"/>
  <c r="AI176" i="2" s="1"/>
  <c r="AI177" i="2" l="1"/>
  <c r="AI178" i="2" s="1"/>
  <c r="AI179" i="2" s="1"/>
  <c r="AJ177" i="2"/>
  <c r="AJ178" i="2" s="1"/>
  <c r="AJ179" i="2" s="1"/>
  <c r="AK173" i="2"/>
  <c r="AK174" i="2" s="1"/>
  <c r="AK175" i="2" s="1"/>
  <c r="AK176" i="2" s="1"/>
  <c r="AK177" i="2" l="1"/>
  <c r="AK178" i="2" s="1"/>
  <c r="AK179" i="2" s="1"/>
  <c r="AJ180" i="2"/>
  <c r="AJ181" i="2" s="1"/>
  <c r="AJ182" i="2" s="1"/>
  <c r="AI180" i="2"/>
  <c r="AI181" i="2" s="1"/>
  <c r="AI182" i="2" s="1"/>
  <c r="AI183" i="2" l="1"/>
  <c r="AI184" i="2" s="1"/>
  <c r="AI185" i="2" s="1"/>
  <c r="AJ183" i="2"/>
  <c r="AJ184" i="2" s="1"/>
  <c r="AJ185" i="2" s="1"/>
  <c r="AK180" i="2"/>
  <c r="AK181" i="2" s="1"/>
  <c r="AK182" i="2" s="1"/>
  <c r="AK183" i="2" l="1"/>
  <c r="AK184" i="2" s="1"/>
  <c r="AK185" i="2" s="1"/>
  <c r="AJ186" i="2"/>
  <c r="AJ187" i="2" s="1"/>
  <c r="AJ188" i="2" s="1"/>
  <c r="AI186" i="2"/>
  <c r="AI187" i="2" s="1"/>
  <c r="AI188" i="2" s="1"/>
  <c r="AI189" i="2" l="1"/>
  <c r="AI190" i="2" s="1"/>
  <c r="AI191" i="2" s="1"/>
  <c r="AJ189" i="2"/>
  <c r="AJ190" i="2" s="1"/>
  <c r="AJ191" i="2" s="1"/>
  <c r="AK186" i="2"/>
  <c r="AK187" i="2" s="1"/>
  <c r="AK188" i="2" s="1"/>
  <c r="AK189" i="2" l="1"/>
  <c r="AK190" i="2" s="1"/>
  <c r="AK191" i="2" s="1"/>
  <c r="AJ192" i="2"/>
  <c r="AJ193" i="2" s="1"/>
  <c r="AJ194" i="2" s="1"/>
  <c r="AI192" i="2"/>
  <c r="AI193" i="2" s="1"/>
  <c r="AI194" i="2" s="1"/>
  <c r="AI195" i="2" l="1"/>
  <c r="AI196" i="2" s="1"/>
  <c r="AI197" i="2" s="1"/>
  <c r="AJ195" i="2"/>
  <c r="AJ196" i="2" s="1"/>
  <c r="AJ197" i="2" s="1"/>
  <c r="AK192" i="2"/>
  <c r="AK193" i="2" s="1"/>
  <c r="AK194" i="2" s="1"/>
  <c r="AK195" i="2" l="1"/>
  <c r="AK196" i="2" s="1"/>
  <c r="AK197" i="2" s="1"/>
  <c r="AJ198" i="2"/>
  <c r="AJ199" i="2" s="1"/>
  <c r="AJ200" i="2" s="1"/>
  <c r="AI198" i="2"/>
  <c r="AI199" i="2" s="1"/>
  <c r="AI200" i="2" s="1"/>
  <c r="AI201" i="2" l="1"/>
  <c r="AI202" i="2" s="1"/>
  <c r="AI203" i="2" s="1"/>
  <c r="AK198" i="2"/>
  <c r="AK199" i="2" s="1"/>
  <c r="AK200" i="2" s="1"/>
  <c r="AJ201" i="2"/>
  <c r="AJ202" i="2" s="1"/>
  <c r="AJ203" i="2" s="1"/>
  <c r="AJ204" i="2" l="1"/>
  <c r="AJ205" i="2" s="1"/>
  <c r="AJ206" i="2" s="1"/>
  <c r="AK201" i="2"/>
  <c r="AK202" i="2" s="1"/>
  <c r="AK203" i="2" s="1"/>
  <c r="AI204" i="2"/>
  <c r="AI205" i="2" s="1"/>
  <c r="AI206" i="2" s="1"/>
  <c r="AI207" i="2" l="1"/>
  <c r="AI208" i="2" s="1"/>
  <c r="AI209" i="2" s="1"/>
  <c r="AK204" i="2"/>
  <c r="AK205" i="2" s="1"/>
  <c r="AK206" i="2" s="1"/>
  <c r="AJ207" i="2"/>
  <c r="AJ208" i="2" s="1"/>
  <c r="AJ209" i="2" s="1"/>
  <c r="AK207" i="2" l="1"/>
  <c r="AK208" i="2" s="1"/>
  <c r="AK209" i="2" s="1"/>
  <c r="AJ210" i="2"/>
  <c r="AJ211" i="2" s="1"/>
  <c r="AJ212" i="2" s="1"/>
  <c r="AI210" i="2"/>
  <c r="AI211" i="2" s="1"/>
  <c r="AI212" i="2" s="1"/>
  <c r="AI213" i="2" l="1"/>
  <c r="AI214" i="2" s="1"/>
  <c r="AI215" i="2" s="1"/>
  <c r="AJ213" i="2"/>
  <c r="AJ214" i="2" s="1"/>
  <c r="AJ215" i="2" s="1"/>
  <c r="AK210" i="2"/>
  <c r="AK211" i="2" s="1"/>
  <c r="AK212" i="2" s="1"/>
  <c r="AK213" i="2" l="1"/>
  <c r="AK214" i="2" s="1"/>
  <c r="AK215" i="2" s="1"/>
  <c r="AJ216" i="2"/>
  <c r="AJ217" i="2" s="1"/>
  <c r="AJ218" i="2" s="1"/>
  <c r="AI216" i="2"/>
  <c r="AI217" i="2" s="1"/>
  <c r="AI218" i="2" s="1"/>
  <c r="AI219" i="2" l="1"/>
  <c r="AI220" i="2" s="1"/>
  <c r="AI221" i="2" s="1"/>
  <c r="AK216" i="2"/>
  <c r="AK217" i="2" s="1"/>
  <c r="AK218" i="2" s="1"/>
  <c r="AJ219" i="2"/>
  <c r="AJ220" i="2" s="1"/>
  <c r="AJ221" i="2" s="1"/>
  <c r="AJ222" i="2" l="1"/>
  <c r="AJ223" i="2" s="1"/>
  <c r="AJ224" i="2" s="1"/>
  <c r="AJ225" i="2" s="1"/>
  <c r="AK219" i="2"/>
  <c r="AK220" i="2" s="1"/>
  <c r="AK221" i="2" s="1"/>
  <c r="AI222" i="2"/>
  <c r="AI223" i="2" s="1"/>
  <c r="AI224" i="2" s="1"/>
  <c r="AI225" i="2" s="1"/>
  <c r="AK222" i="2" l="1"/>
  <c r="AK223" i="2" s="1"/>
  <c r="AK224" i="2" s="1"/>
  <c r="AK225" i="2" s="1"/>
</calcChain>
</file>

<file path=xl/sharedStrings.xml><?xml version="1.0" encoding="utf-8"?>
<sst xmlns="http://schemas.openxmlformats.org/spreadsheetml/2006/main" count="17068" uniqueCount="42">
  <si>
    <t>destruction_date</t>
  </si>
  <si>
    <t>location</t>
  </si>
  <si>
    <t>value_date</t>
  </si>
  <si>
    <t>latitude</t>
  </si>
  <si>
    <t>stock</t>
  </si>
  <si>
    <t>acquisition_date</t>
  </si>
  <si>
    <t>longitude</t>
  </si>
  <si>
    <t>tank_id</t>
  </si>
  <si>
    <t>creation_date</t>
  </si>
  <si>
    <t>shape</t>
  </si>
  <si>
    <t>capacity</t>
  </si>
  <si>
    <t>tank_type</t>
  </si>
  <si>
    <t>stock_change</t>
  </si>
  <si>
    <t>utilization</t>
  </si>
  <si>
    <t>dasIslandTerminal_adnoc</t>
  </si>
  <si>
    <t>dasIsland_9</t>
  </si>
  <si>
    <t>ADNOC - Das Island terminal</t>
  </si>
  <si>
    <t>C</t>
  </si>
  <si>
    <t>dasIsland_8</t>
  </si>
  <si>
    <t>dasIsland_7</t>
  </si>
  <si>
    <t>dasIsland_6</t>
  </si>
  <si>
    <t>dasIsland_5</t>
  </si>
  <si>
    <t>dasIsland_4</t>
  </si>
  <si>
    <t>dasIsland_3</t>
  </si>
  <si>
    <t>dasIsland_2</t>
  </si>
  <si>
    <t>dasIsland_1</t>
  </si>
  <si>
    <t>dasIsland_18</t>
  </si>
  <si>
    <t>dasIsland_17</t>
  </si>
  <si>
    <t>dasIsland_16</t>
  </si>
  <si>
    <t>dasIsland_15</t>
  </si>
  <si>
    <t>dasIsland_14</t>
  </si>
  <si>
    <t>dasIsland_13</t>
  </si>
  <si>
    <t>dasIsland_12</t>
  </si>
  <si>
    <t>dasIsland_11</t>
  </si>
  <si>
    <t>dasIsland_10</t>
  </si>
  <si>
    <t>dasIsland_0</t>
  </si>
  <si>
    <t>tank_draw</t>
  </si>
  <si>
    <t>tank_builds</t>
  </si>
  <si>
    <t>date</t>
  </si>
  <si>
    <t>Date</t>
  </si>
  <si>
    <t>tank_draw_kb</t>
  </si>
  <si>
    <t>tanker_tracking_kb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</si>
</sst>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calculations!$AC$1</c:f>
              <c:strCache>
                <c:ptCount val="1"/>
                <c:pt idx="0">
                  <c:v>tank_draw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calculations!$AB$2:$AB$225</c:f>
              <c:numCache>
                <c:formatCode>m/d/yyyy</c:formatCode>
                <c:ptCount val="224"/>
                <c:pt idx="2">
                  <c:v>46025.999988425923</c:v>
                </c:pt>
                <c:pt idx="5">
                  <c:v>46028.999988425923</c:v>
                </c:pt>
                <c:pt idx="8">
                  <c:v>46031.999988425923</c:v>
                </c:pt>
                <c:pt idx="11">
                  <c:v>46034.999988425923</c:v>
                </c:pt>
                <c:pt idx="14">
                  <c:v>46037.999988425923</c:v>
                </c:pt>
                <c:pt idx="17">
                  <c:v>46040.999988425923</c:v>
                </c:pt>
                <c:pt idx="23">
                  <c:v>46046.999988425923</c:v>
                </c:pt>
                <c:pt idx="26">
                  <c:v>46049.999988425923</c:v>
                </c:pt>
                <c:pt idx="29">
                  <c:v>46052.999988425923</c:v>
                </c:pt>
                <c:pt idx="32">
                  <c:v>46055.999988425923</c:v>
                </c:pt>
                <c:pt idx="35">
                  <c:v>46058.999988425923</c:v>
                </c:pt>
                <c:pt idx="38">
                  <c:v>46061.999988425923</c:v>
                </c:pt>
                <c:pt idx="41">
                  <c:v>46064.999988425923</c:v>
                </c:pt>
                <c:pt idx="44">
                  <c:v>46067.999988425923</c:v>
                </c:pt>
                <c:pt idx="47">
                  <c:v>46070.999988425923</c:v>
                </c:pt>
                <c:pt idx="50">
                  <c:v>46073.999988425923</c:v>
                </c:pt>
                <c:pt idx="53">
                  <c:v>46076.999988425923</c:v>
                </c:pt>
                <c:pt idx="56">
                  <c:v>46079.999988425923</c:v>
                </c:pt>
                <c:pt idx="59">
                  <c:v>46082.999988425923</c:v>
                </c:pt>
                <c:pt idx="62">
                  <c:v>46085.999988425923</c:v>
                </c:pt>
                <c:pt idx="65">
                  <c:v>46088.999988425923</c:v>
                </c:pt>
                <c:pt idx="68">
                  <c:v>46091.999988425923</c:v>
                </c:pt>
                <c:pt idx="71">
                  <c:v>46094.999988425923</c:v>
                </c:pt>
                <c:pt idx="74">
                  <c:v>46097.999988425923</c:v>
                </c:pt>
                <c:pt idx="77">
                  <c:v>46100.999988425923</c:v>
                </c:pt>
                <c:pt idx="80">
                  <c:v>46103.999988425923</c:v>
                </c:pt>
                <c:pt idx="83">
                  <c:v>46106.999988425923</c:v>
                </c:pt>
                <c:pt idx="86">
                  <c:v>46109.999988425923</c:v>
                </c:pt>
                <c:pt idx="89">
                  <c:v>46112.999988425923</c:v>
                </c:pt>
                <c:pt idx="92">
                  <c:v>46115.999988425923</c:v>
                </c:pt>
                <c:pt idx="95">
                  <c:v>46118.999988425923</c:v>
                </c:pt>
                <c:pt idx="98">
                  <c:v>46121.999988425923</c:v>
                </c:pt>
                <c:pt idx="101">
                  <c:v>46124.999988425923</c:v>
                </c:pt>
                <c:pt idx="104">
                  <c:v>46127.999988425923</c:v>
                </c:pt>
                <c:pt idx="107">
                  <c:v>46130.999988425923</c:v>
                </c:pt>
                <c:pt idx="110">
                  <c:v>46133.999988425923</c:v>
                </c:pt>
                <c:pt idx="113">
                  <c:v>46136.999988425923</c:v>
                </c:pt>
                <c:pt idx="116">
                  <c:v>46139.999988425923</c:v>
                </c:pt>
                <c:pt idx="119">
                  <c:v>46142.999988425923</c:v>
                </c:pt>
                <c:pt idx="122">
                  <c:v>46145.999988425923</c:v>
                </c:pt>
                <c:pt idx="125">
                  <c:v>46148.999988425923</c:v>
                </c:pt>
                <c:pt idx="126">
                  <c:v>46149.999988425923</c:v>
                </c:pt>
                <c:pt idx="129">
                  <c:v>46152.999988425923</c:v>
                </c:pt>
                <c:pt idx="131">
                  <c:v>46154.999988425923</c:v>
                </c:pt>
                <c:pt idx="134">
                  <c:v>46157.999988425923</c:v>
                </c:pt>
                <c:pt idx="137">
                  <c:v>46160.999988425923</c:v>
                </c:pt>
                <c:pt idx="138">
                  <c:v>46161.999988425923</c:v>
                </c:pt>
                <c:pt idx="140">
                  <c:v>46163.999988425923</c:v>
                </c:pt>
                <c:pt idx="141">
                  <c:v>46164.999988425923</c:v>
                </c:pt>
                <c:pt idx="143">
                  <c:v>46166.999988425923</c:v>
                </c:pt>
                <c:pt idx="146">
                  <c:v>46169.999988425923</c:v>
                </c:pt>
                <c:pt idx="149">
                  <c:v>46172.999988425923</c:v>
                </c:pt>
                <c:pt idx="152">
                  <c:v>46175.999988425923</c:v>
                </c:pt>
                <c:pt idx="153">
                  <c:v>46176.999988425923</c:v>
                </c:pt>
                <c:pt idx="155">
                  <c:v>46178.999988425923</c:v>
                </c:pt>
                <c:pt idx="158">
                  <c:v>46181.999988425923</c:v>
                </c:pt>
                <c:pt idx="162">
                  <c:v>46185.999988425923</c:v>
                </c:pt>
                <c:pt idx="165">
                  <c:v>46188.999988425923</c:v>
                </c:pt>
                <c:pt idx="167">
                  <c:v>46190.999988425923</c:v>
                </c:pt>
                <c:pt idx="170">
                  <c:v>46193.999988425923</c:v>
                </c:pt>
                <c:pt idx="174">
                  <c:v>46197.999988425923</c:v>
                </c:pt>
                <c:pt idx="177">
                  <c:v>46200.999988425923</c:v>
                </c:pt>
                <c:pt idx="180">
                  <c:v>46203.999988425923</c:v>
                </c:pt>
                <c:pt idx="183">
                  <c:v>46206.999988425923</c:v>
                </c:pt>
                <c:pt idx="186">
                  <c:v>46209.999988425923</c:v>
                </c:pt>
                <c:pt idx="189">
                  <c:v>46212.999988425923</c:v>
                </c:pt>
                <c:pt idx="192">
                  <c:v>46215.999988425923</c:v>
                </c:pt>
                <c:pt idx="195">
                  <c:v>46218.999988425923</c:v>
                </c:pt>
                <c:pt idx="198">
                  <c:v>46221.999988425923</c:v>
                </c:pt>
                <c:pt idx="201">
                  <c:v>46224.999988425923</c:v>
                </c:pt>
                <c:pt idx="204">
                  <c:v>46227.999988425923</c:v>
                </c:pt>
                <c:pt idx="207">
                  <c:v>46230.999988425923</c:v>
                </c:pt>
                <c:pt idx="210">
                  <c:v>46233.999988425923</c:v>
                </c:pt>
                <c:pt idx="213">
                  <c:v>46236.999988425923</c:v>
                </c:pt>
                <c:pt idx="216">
                  <c:v>46239.999988425923</c:v>
                </c:pt>
                <c:pt idx="219">
                  <c:v>46242.999988425923</c:v>
                </c:pt>
                <c:pt idx="222">
                  <c:v>46245.999988425923</c:v>
                </c:pt>
              </c:numCache>
            </c:numRef>
          </c:cat>
          <c:val>
            <c:numRef>
              <c:f>calculations!$AC$2:$AC$225</c:f>
              <c:numCache>
                <c:formatCode>_-* #,##0_-;\-* #,##0_-;_-* "-"??_-;_-@_-</c:formatCode>
                <c:ptCount val="224"/>
                <c:pt idx="2">
                  <c:v>-403107.90704793896</c:v>
                </c:pt>
                <c:pt idx="5">
                  <c:v>-746072.26269064937</c:v>
                </c:pt>
                <c:pt idx="6">
                  <c:v>0</c:v>
                </c:pt>
                <c:pt idx="7">
                  <c:v>0</c:v>
                </c:pt>
                <c:pt idx="8">
                  <c:v>-210010.42385055544</c:v>
                </c:pt>
                <c:pt idx="9">
                  <c:v>0</c:v>
                </c:pt>
                <c:pt idx="10">
                  <c:v>0</c:v>
                </c:pt>
                <c:pt idx="11">
                  <c:v>-507931.75622266991</c:v>
                </c:pt>
                <c:pt idx="12">
                  <c:v>0</c:v>
                </c:pt>
                <c:pt idx="13">
                  <c:v>0</c:v>
                </c:pt>
                <c:pt idx="14">
                  <c:v>-246832.57104550142</c:v>
                </c:pt>
                <c:pt idx="15">
                  <c:v>0</c:v>
                </c:pt>
                <c:pt idx="16">
                  <c:v>0</c:v>
                </c:pt>
                <c:pt idx="17">
                  <c:v>-762750.76632670464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-20.095885082618278</c:v>
                </c:pt>
                <c:pt idx="24">
                  <c:v>0</c:v>
                </c:pt>
                <c:pt idx="25">
                  <c:v>0</c:v>
                </c:pt>
                <c:pt idx="26">
                  <c:v>-316932.17677328753</c:v>
                </c:pt>
                <c:pt idx="27">
                  <c:v>0</c:v>
                </c:pt>
                <c:pt idx="28">
                  <c:v>0</c:v>
                </c:pt>
                <c:pt idx="29">
                  <c:v>-641969.95369689667</c:v>
                </c:pt>
                <c:pt idx="30">
                  <c:v>0</c:v>
                </c:pt>
                <c:pt idx="31">
                  <c:v>0</c:v>
                </c:pt>
                <c:pt idx="32">
                  <c:v>-521202.18977231439</c:v>
                </c:pt>
                <c:pt idx="33">
                  <c:v>0</c:v>
                </c:pt>
                <c:pt idx="34">
                  <c:v>0</c:v>
                </c:pt>
                <c:pt idx="35">
                  <c:v>-638429.27198807872</c:v>
                </c:pt>
                <c:pt idx="36">
                  <c:v>0</c:v>
                </c:pt>
                <c:pt idx="37">
                  <c:v>0</c:v>
                </c:pt>
                <c:pt idx="38">
                  <c:v>-509246.61650289578</c:v>
                </c:pt>
                <c:pt idx="39">
                  <c:v>0</c:v>
                </c:pt>
                <c:pt idx="40">
                  <c:v>0</c:v>
                </c:pt>
                <c:pt idx="41">
                  <c:v>-509775.77918860497</c:v>
                </c:pt>
                <c:pt idx="42">
                  <c:v>0</c:v>
                </c:pt>
                <c:pt idx="43">
                  <c:v>0</c:v>
                </c:pt>
                <c:pt idx="44">
                  <c:v>-578802.96180213441</c:v>
                </c:pt>
                <c:pt idx="45">
                  <c:v>0</c:v>
                </c:pt>
                <c:pt idx="46">
                  <c:v>0</c:v>
                </c:pt>
                <c:pt idx="47">
                  <c:v>-590765.62283124647</c:v>
                </c:pt>
                <c:pt idx="48">
                  <c:v>0</c:v>
                </c:pt>
                <c:pt idx="49">
                  <c:v>0</c:v>
                </c:pt>
                <c:pt idx="50">
                  <c:v>-435735.23159130517</c:v>
                </c:pt>
                <c:pt idx="51">
                  <c:v>0</c:v>
                </c:pt>
                <c:pt idx="52">
                  <c:v>0</c:v>
                </c:pt>
                <c:pt idx="53">
                  <c:v>-723709.1592672253</c:v>
                </c:pt>
                <c:pt idx="54">
                  <c:v>0</c:v>
                </c:pt>
                <c:pt idx="55">
                  <c:v>0</c:v>
                </c:pt>
                <c:pt idx="56">
                  <c:v>-293048.68670130352</c:v>
                </c:pt>
                <c:pt idx="57">
                  <c:v>0</c:v>
                </c:pt>
                <c:pt idx="58">
                  <c:v>0</c:v>
                </c:pt>
                <c:pt idx="59">
                  <c:v>-561541.74440815893</c:v>
                </c:pt>
                <c:pt idx="60">
                  <c:v>0</c:v>
                </c:pt>
                <c:pt idx="61">
                  <c:v>0</c:v>
                </c:pt>
                <c:pt idx="62">
                  <c:v>-431319.50618604658</c:v>
                </c:pt>
                <c:pt idx="63">
                  <c:v>0</c:v>
                </c:pt>
                <c:pt idx="64">
                  <c:v>0</c:v>
                </c:pt>
                <c:pt idx="65">
                  <c:v>-345864.51662536117</c:v>
                </c:pt>
                <c:pt idx="66">
                  <c:v>0</c:v>
                </c:pt>
                <c:pt idx="67">
                  <c:v>0</c:v>
                </c:pt>
                <c:pt idx="68">
                  <c:v>-137121.40419298969</c:v>
                </c:pt>
                <c:pt idx="69">
                  <c:v>0</c:v>
                </c:pt>
                <c:pt idx="70">
                  <c:v>0</c:v>
                </c:pt>
                <c:pt idx="71">
                  <c:v>-174526.66763599802</c:v>
                </c:pt>
                <c:pt idx="72">
                  <c:v>0</c:v>
                </c:pt>
                <c:pt idx="73">
                  <c:v>0</c:v>
                </c:pt>
                <c:pt idx="74">
                  <c:v>-70038.029755236712</c:v>
                </c:pt>
                <c:pt idx="75">
                  <c:v>0</c:v>
                </c:pt>
                <c:pt idx="76">
                  <c:v>0</c:v>
                </c:pt>
                <c:pt idx="77">
                  <c:v>-207778.06939515806</c:v>
                </c:pt>
                <c:pt idx="78">
                  <c:v>0</c:v>
                </c:pt>
                <c:pt idx="79">
                  <c:v>0</c:v>
                </c:pt>
                <c:pt idx="80">
                  <c:v>-275400.01973502897</c:v>
                </c:pt>
                <c:pt idx="81">
                  <c:v>0</c:v>
                </c:pt>
                <c:pt idx="82">
                  <c:v>0</c:v>
                </c:pt>
                <c:pt idx="83">
                  <c:v>-196243.31050141179</c:v>
                </c:pt>
                <c:pt idx="84">
                  <c:v>0</c:v>
                </c:pt>
                <c:pt idx="85">
                  <c:v>0</c:v>
                </c:pt>
                <c:pt idx="86">
                  <c:v>-168024.79764711746</c:v>
                </c:pt>
                <c:pt idx="87">
                  <c:v>0</c:v>
                </c:pt>
                <c:pt idx="88">
                  <c:v>0</c:v>
                </c:pt>
                <c:pt idx="89">
                  <c:v>-331403.15308381908</c:v>
                </c:pt>
                <c:pt idx="90">
                  <c:v>0</c:v>
                </c:pt>
                <c:pt idx="91">
                  <c:v>0</c:v>
                </c:pt>
                <c:pt idx="92">
                  <c:v>-44936.648707110318</c:v>
                </c:pt>
                <c:pt idx="93">
                  <c:v>0</c:v>
                </c:pt>
                <c:pt idx="94">
                  <c:v>0</c:v>
                </c:pt>
                <c:pt idx="95">
                  <c:v>-243076.13503109035</c:v>
                </c:pt>
                <c:pt idx="96">
                  <c:v>0</c:v>
                </c:pt>
                <c:pt idx="97">
                  <c:v>0</c:v>
                </c:pt>
                <c:pt idx="98">
                  <c:v>-166706.52284560981</c:v>
                </c:pt>
                <c:pt idx="99">
                  <c:v>0</c:v>
                </c:pt>
                <c:pt idx="100">
                  <c:v>0</c:v>
                </c:pt>
                <c:pt idx="101">
                  <c:v>-320631.37787957833</c:v>
                </c:pt>
                <c:pt idx="102">
                  <c:v>0</c:v>
                </c:pt>
                <c:pt idx="103">
                  <c:v>0</c:v>
                </c:pt>
                <c:pt idx="104">
                  <c:v>-176002.87380129544</c:v>
                </c:pt>
                <c:pt idx="105">
                  <c:v>0</c:v>
                </c:pt>
                <c:pt idx="106">
                  <c:v>0</c:v>
                </c:pt>
                <c:pt idx="107">
                  <c:v>-194231.37818053944</c:v>
                </c:pt>
                <c:pt idx="108">
                  <c:v>0</c:v>
                </c:pt>
                <c:pt idx="109">
                  <c:v>0</c:v>
                </c:pt>
                <c:pt idx="110">
                  <c:v>-383081.9332538782</c:v>
                </c:pt>
                <c:pt idx="111">
                  <c:v>0</c:v>
                </c:pt>
                <c:pt idx="112">
                  <c:v>0</c:v>
                </c:pt>
                <c:pt idx="113">
                  <c:v>-431710.70698465127</c:v>
                </c:pt>
                <c:pt idx="114">
                  <c:v>0</c:v>
                </c:pt>
                <c:pt idx="115">
                  <c:v>0</c:v>
                </c:pt>
                <c:pt idx="116">
                  <c:v>-518006.94335610274</c:v>
                </c:pt>
                <c:pt idx="117">
                  <c:v>0</c:v>
                </c:pt>
                <c:pt idx="118">
                  <c:v>0</c:v>
                </c:pt>
                <c:pt idx="119">
                  <c:v>-347855.81320624729</c:v>
                </c:pt>
                <c:pt idx="120">
                  <c:v>0</c:v>
                </c:pt>
                <c:pt idx="121">
                  <c:v>0</c:v>
                </c:pt>
                <c:pt idx="122">
                  <c:v>-450542.17791257793</c:v>
                </c:pt>
                <c:pt idx="123">
                  <c:v>0</c:v>
                </c:pt>
                <c:pt idx="124">
                  <c:v>0</c:v>
                </c:pt>
                <c:pt idx="125">
                  <c:v>-425486.09219182917</c:v>
                </c:pt>
                <c:pt idx="126">
                  <c:v>-5.0060628638295617</c:v>
                </c:pt>
                <c:pt idx="127">
                  <c:v>0</c:v>
                </c:pt>
                <c:pt idx="128">
                  <c:v>0</c:v>
                </c:pt>
                <c:pt idx="129">
                  <c:v>-192396.1938949723</c:v>
                </c:pt>
                <c:pt idx="130">
                  <c:v>0</c:v>
                </c:pt>
                <c:pt idx="131">
                  <c:v>-18.489401929409105</c:v>
                </c:pt>
                <c:pt idx="132">
                  <c:v>0</c:v>
                </c:pt>
                <c:pt idx="133">
                  <c:v>0</c:v>
                </c:pt>
                <c:pt idx="134">
                  <c:v>-235750.56499480584</c:v>
                </c:pt>
                <c:pt idx="135">
                  <c:v>0</c:v>
                </c:pt>
                <c:pt idx="136">
                  <c:v>0</c:v>
                </c:pt>
                <c:pt idx="137">
                  <c:v>-806752.8775703701</c:v>
                </c:pt>
                <c:pt idx="138">
                  <c:v>-18.726653848387436</c:v>
                </c:pt>
                <c:pt idx="139">
                  <c:v>0</c:v>
                </c:pt>
                <c:pt idx="140">
                  <c:v>-428334.4548677195</c:v>
                </c:pt>
                <c:pt idx="141">
                  <c:v>-149174.37676921225</c:v>
                </c:pt>
                <c:pt idx="142">
                  <c:v>0</c:v>
                </c:pt>
                <c:pt idx="143">
                  <c:v>-436669.6332550337</c:v>
                </c:pt>
                <c:pt idx="144">
                  <c:v>0</c:v>
                </c:pt>
                <c:pt idx="145">
                  <c:v>0</c:v>
                </c:pt>
                <c:pt idx="146">
                  <c:v>-319385.9641255968</c:v>
                </c:pt>
                <c:pt idx="147">
                  <c:v>0</c:v>
                </c:pt>
                <c:pt idx="148">
                  <c:v>0</c:v>
                </c:pt>
                <c:pt idx="149">
                  <c:v>-707620.64556535333</c:v>
                </c:pt>
                <c:pt idx="150">
                  <c:v>0</c:v>
                </c:pt>
                <c:pt idx="151">
                  <c:v>0</c:v>
                </c:pt>
                <c:pt idx="152">
                  <c:v>-393368.66686594865</c:v>
                </c:pt>
                <c:pt idx="153">
                  <c:v>-11.377232250142983</c:v>
                </c:pt>
                <c:pt idx="154">
                  <c:v>0</c:v>
                </c:pt>
                <c:pt idx="155">
                  <c:v>-641132.95571637747</c:v>
                </c:pt>
                <c:pt idx="156">
                  <c:v>0</c:v>
                </c:pt>
                <c:pt idx="157">
                  <c:v>0</c:v>
                </c:pt>
                <c:pt idx="158">
                  <c:v>-254594.09974185246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-21.67944757050811</c:v>
                </c:pt>
                <c:pt idx="163">
                  <c:v>0</c:v>
                </c:pt>
                <c:pt idx="164">
                  <c:v>0</c:v>
                </c:pt>
                <c:pt idx="165">
                  <c:v>-512135.80026015319</c:v>
                </c:pt>
                <c:pt idx="166">
                  <c:v>0</c:v>
                </c:pt>
                <c:pt idx="167">
                  <c:v>-21.764115563433933</c:v>
                </c:pt>
                <c:pt idx="168">
                  <c:v>0</c:v>
                </c:pt>
                <c:pt idx="169">
                  <c:v>0</c:v>
                </c:pt>
                <c:pt idx="170">
                  <c:v>-26058.314008677215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-11.635841974325482</c:v>
                </c:pt>
                <c:pt idx="175">
                  <c:v>0</c:v>
                </c:pt>
                <c:pt idx="176">
                  <c:v>0</c:v>
                </c:pt>
                <c:pt idx="177">
                  <c:v>-588699.77801277128</c:v>
                </c:pt>
                <c:pt idx="178">
                  <c:v>0</c:v>
                </c:pt>
                <c:pt idx="179">
                  <c:v>0</c:v>
                </c:pt>
                <c:pt idx="180">
                  <c:v>-52660.283799381956</c:v>
                </c:pt>
                <c:pt idx="181">
                  <c:v>0</c:v>
                </c:pt>
                <c:pt idx="182">
                  <c:v>0</c:v>
                </c:pt>
                <c:pt idx="183">
                  <c:v>-273842.09222714807</c:v>
                </c:pt>
                <c:pt idx="184">
                  <c:v>0</c:v>
                </c:pt>
                <c:pt idx="185">
                  <c:v>0</c:v>
                </c:pt>
                <c:pt idx="186">
                  <c:v>-392325.41103507159</c:v>
                </c:pt>
                <c:pt idx="187">
                  <c:v>0</c:v>
                </c:pt>
                <c:pt idx="188">
                  <c:v>0</c:v>
                </c:pt>
                <c:pt idx="189">
                  <c:v>-677038.82354058756</c:v>
                </c:pt>
                <c:pt idx="190">
                  <c:v>0</c:v>
                </c:pt>
                <c:pt idx="191">
                  <c:v>0</c:v>
                </c:pt>
                <c:pt idx="192">
                  <c:v>-304274.31038831058</c:v>
                </c:pt>
                <c:pt idx="193">
                  <c:v>0</c:v>
                </c:pt>
                <c:pt idx="194">
                  <c:v>0</c:v>
                </c:pt>
                <c:pt idx="195">
                  <c:v>-661801.43031102128</c:v>
                </c:pt>
                <c:pt idx="196">
                  <c:v>0</c:v>
                </c:pt>
                <c:pt idx="197">
                  <c:v>0</c:v>
                </c:pt>
                <c:pt idx="198">
                  <c:v>-479025.58665826899</c:v>
                </c:pt>
                <c:pt idx="199">
                  <c:v>0</c:v>
                </c:pt>
                <c:pt idx="200">
                  <c:v>0</c:v>
                </c:pt>
                <c:pt idx="201">
                  <c:v>-323811.76671581127</c:v>
                </c:pt>
                <c:pt idx="202">
                  <c:v>0</c:v>
                </c:pt>
                <c:pt idx="203">
                  <c:v>0</c:v>
                </c:pt>
                <c:pt idx="204">
                  <c:v>-349184.8959341353</c:v>
                </c:pt>
                <c:pt idx="205">
                  <c:v>0</c:v>
                </c:pt>
                <c:pt idx="206">
                  <c:v>0</c:v>
                </c:pt>
                <c:pt idx="207">
                  <c:v>-432775.36487141281</c:v>
                </c:pt>
                <c:pt idx="208">
                  <c:v>0</c:v>
                </c:pt>
                <c:pt idx="209">
                  <c:v>0</c:v>
                </c:pt>
                <c:pt idx="210">
                  <c:v>-70671.840436114129</c:v>
                </c:pt>
                <c:pt idx="211">
                  <c:v>0</c:v>
                </c:pt>
                <c:pt idx="212">
                  <c:v>0</c:v>
                </c:pt>
                <c:pt idx="213">
                  <c:v>-268881.41078130854</c:v>
                </c:pt>
                <c:pt idx="214">
                  <c:v>0</c:v>
                </c:pt>
                <c:pt idx="215">
                  <c:v>0</c:v>
                </c:pt>
                <c:pt idx="216">
                  <c:v>-456241.96118157799</c:v>
                </c:pt>
                <c:pt idx="217">
                  <c:v>0</c:v>
                </c:pt>
                <c:pt idx="218">
                  <c:v>0</c:v>
                </c:pt>
                <c:pt idx="219">
                  <c:v>-567075.0194067735</c:v>
                </c:pt>
                <c:pt idx="220">
                  <c:v>0</c:v>
                </c:pt>
                <c:pt idx="221">
                  <c:v>0</c:v>
                </c:pt>
                <c:pt idx="222">
                  <c:v>-701034.04497457587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A-4138-9E6B-99F7ED8D54BA}"/>
            </c:ext>
          </c:extLst>
        </c:ser>
        <c:ser>
          <c:idx val="1"/>
          <c:order val="1"/>
          <c:tx>
            <c:strRef>
              <c:f>calculations!$AD$1</c:f>
              <c:strCache>
                <c:ptCount val="1"/>
                <c:pt idx="0">
                  <c:v>tank_builds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calculations!$AB$2:$AB$225</c:f>
              <c:numCache>
                <c:formatCode>m/d/yyyy</c:formatCode>
                <c:ptCount val="224"/>
                <c:pt idx="2">
                  <c:v>46025.999988425923</c:v>
                </c:pt>
                <c:pt idx="5">
                  <c:v>46028.999988425923</c:v>
                </c:pt>
                <c:pt idx="8">
                  <c:v>46031.999988425923</c:v>
                </c:pt>
                <c:pt idx="11">
                  <c:v>46034.999988425923</c:v>
                </c:pt>
                <c:pt idx="14">
                  <c:v>46037.999988425923</c:v>
                </c:pt>
                <c:pt idx="17">
                  <c:v>46040.999988425923</c:v>
                </c:pt>
                <c:pt idx="23">
                  <c:v>46046.999988425923</c:v>
                </c:pt>
                <c:pt idx="26">
                  <c:v>46049.999988425923</c:v>
                </c:pt>
                <c:pt idx="29">
                  <c:v>46052.999988425923</c:v>
                </c:pt>
                <c:pt idx="32">
                  <c:v>46055.999988425923</c:v>
                </c:pt>
                <c:pt idx="35">
                  <c:v>46058.999988425923</c:v>
                </c:pt>
                <c:pt idx="38">
                  <c:v>46061.999988425923</c:v>
                </c:pt>
                <c:pt idx="41">
                  <c:v>46064.999988425923</c:v>
                </c:pt>
                <c:pt idx="44">
                  <c:v>46067.999988425923</c:v>
                </c:pt>
                <c:pt idx="47">
                  <c:v>46070.999988425923</c:v>
                </c:pt>
                <c:pt idx="50">
                  <c:v>46073.999988425923</c:v>
                </c:pt>
                <c:pt idx="53">
                  <c:v>46076.999988425923</c:v>
                </c:pt>
                <c:pt idx="56">
                  <c:v>46079.999988425923</c:v>
                </c:pt>
                <c:pt idx="59">
                  <c:v>46082.999988425923</c:v>
                </c:pt>
                <c:pt idx="62">
                  <c:v>46085.999988425923</c:v>
                </c:pt>
                <c:pt idx="65">
                  <c:v>46088.999988425923</c:v>
                </c:pt>
                <c:pt idx="68">
                  <c:v>46091.999988425923</c:v>
                </c:pt>
                <c:pt idx="71">
                  <c:v>46094.999988425923</c:v>
                </c:pt>
                <c:pt idx="74">
                  <c:v>46097.999988425923</c:v>
                </c:pt>
                <c:pt idx="77">
                  <c:v>46100.999988425923</c:v>
                </c:pt>
                <c:pt idx="80">
                  <c:v>46103.999988425923</c:v>
                </c:pt>
                <c:pt idx="83">
                  <c:v>46106.999988425923</c:v>
                </c:pt>
                <c:pt idx="86">
                  <c:v>46109.999988425923</c:v>
                </c:pt>
                <c:pt idx="89">
                  <c:v>46112.999988425923</c:v>
                </c:pt>
                <c:pt idx="92">
                  <c:v>46115.999988425923</c:v>
                </c:pt>
                <c:pt idx="95">
                  <c:v>46118.999988425923</c:v>
                </c:pt>
                <c:pt idx="98">
                  <c:v>46121.999988425923</c:v>
                </c:pt>
                <c:pt idx="101">
                  <c:v>46124.999988425923</c:v>
                </c:pt>
                <c:pt idx="104">
                  <c:v>46127.999988425923</c:v>
                </c:pt>
                <c:pt idx="107">
                  <c:v>46130.999988425923</c:v>
                </c:pt>
                <c:pt idx="110">
                  <c:v>46133.999988425923</c:v>
                </c:pt>
                <c:pt idx="113">
                  <c:v>46136.999988425923</c:v>
                </c:pt>
                <c:pt idx="116">
                  <c:v>46139.999988425923</c:v>
                </c:pt>
                <c:pt idx="119">
                  <c:v>46142.999988425923</c:v>
                </c:pt>
                <c:pt idx="122">
                  <c:v>46145.999988425923</c:v>
                </c:pt>
                <c:pt idx="125">
                  <c:v>46148.999988425923</c:v>
                </c:pt>
                <c:pt idx="126">
                  <c:v>46149.999988425923</c:v>
                </c:pt>
                <c:pt idx="129">
                  <c:v>46152.999988425923</c:v>
                </c:pt>
                <c:pt idx="131">
                  <c:v>46154.999988425923</c:v>
                </c:pt>
                <c:pt idx="134">
                  <c:v>46157.999988425923</c:v>
                </c:pt>
                <c:pt idx="137">
                  <c:v>46160.999988425923</c:v>
                </c:pt>
                <c:pt idx="138">
                  <c:v>46161.999988425923</c:v>
                </c:pt>
                <c:pt idx="140">
                  <c:v>46163.999988425923</c:v>
                </c:pt>
                <c:pt idx="141">
                  <c:v>46164.999988425923</c:v>
                </c:pt>
                <c:pt idx="143">
                  <c:v>46166.999988425923</c:v>
                </c:pt>
                <c:pt idx="146">
                  <c:v>46169.999988425923</c:v>
                </c:pt>
                <c:pt idx="149">
                  <c:v>46172.999988425923</c:v>
                </c:pt>
                <c:pt idx="152">
                  <c:v>46175.999988425923</c:v>
                </c:pt>
                <c:pt idx="153">
                  <c:v>46176.999988425923</c:v>
                </c:pt>
                <c:pt idx="155">
                  <c:v>46178.999988425923</c:v>
                </c:pt>
                <c:pt idx="158">
                  <c:v>46181.999988425923</c:v>
                </c:pt>
                <c:pt idx="162">
                  <c:v>46185.999988425923</c:v>
                </c:pt>
                <c:pt idx="165">
                  <c:v>46188.999988425923</c:v>
                </c:pt>
                <c:pt idx="167">
                  <c:v>46190.999988425923</c:v>
                </c:pt>
                <c:pt idx="170">
                  <c:v>46193.999988425923</c:v>
                </c:pt>
                <c:pt idx="174">
                  <c:v>46197.999988425923</c:v>
                </c:pt>
                <c:pt idx="177">
                  <c:v>46200.999988425923</c:v>
                </c:pt>
                <c:pt idx="180">
                  <c:v>46203.999988425923</c:v>
                </c:pt>
                <c:pt idx="183">
                  <c:v>46206.999988425923</c:v>
                </c:pt>
                <c:pt idx="186">
                  <c:v>46209.999988425923</c:v>
                </c:pt>
                <c:pt idx="189">
                  <c:v>46212.999988425923</c:v>
                </c:pt>
                <c:pt idx="192">
                  <c:v>46215.999988425923</c:v>
                </c:pt>
                <c:pt idx="195">
                  <c:v>46218.999988425923</c:v>
                </c:pt>
                <c:pt idx="198">
                  <c:v>46221.999988425923</c:v>
                </c:pt>
                <c:pt idx="201">
                  <c:v>46224.999988425923</c:v>
                </c:pt>
                <c:pt idx="204">
                  <c:v>46227.999988425923</c:v>
                </c:pt>
                <c:pt idx="207">
                  <c:v>46230.999988425923</c:v>
                </c:pt>
                <c:pt idx="210">
                  <c:v>46233.999988425923</c:v>
                </c:pt>
                <c:pt idx="213">
                  <c:v>46236.999988425923</c:v>
                </c:pt>
                <c:pt idx="216">
                  <c:v>46239.999988425923</c:v>
                </c:pt>
                <c:pt idx="219">
                  <c:v>46242.999988425923</c:v>
                </c:pt>
                <c:pt idx="222">
                  <c:v>46245.999988425923</c:v>
                </c:pt>
              </c:numCache>
            </c:numRef>
          </c:cat>
          <c:val>
            <c:numRef>
              <c:f>calculations!$AD$2:$AD$225</c:f>
              <c:numCache>
                <c:formatCode>_-* #,##0_-;\-* #,##0_-;_-* "-"??_-;_-@_-</c:formatCode>
                <c:ptCount val="224"/>
                <c:pt idx="2">
                  <c:v>733030.46809898561</c:v>
                </c:pt>
                <c:pt idx="5">
                  <c:v>450186.22241490363</c:v>
                </c:pt>
                <c:pt idx="6">
                  <c:v>0</c:v>
                </c:pt>
                <c:pt idx="7">
                  <c:v>0</c:v>
                </c:pt>
                <c:pt idx="8">
                  <c:v>533452.01547095075</c:v>
                </c:pt>
                <c:pt idx="9">
                  <c:v>0</c:v>
                </c:pt>
                <c:pt idx="10">
                  <c:v>0</c:v>
                </c:pt>
                <c:pt idx="11">
                  <c:v>323503.98935309699</c:v>
                </c:pt>
                <c:pt idx="12">
                  <c:v>0</c:v>
                </c:pt>
                <c:pt idx="13">
                  <c:v>0</c:v>
                </c:pt>
                <c:pt idx="14">
                  <c:v>621296.39836264413</c:v>
                </c:pt>
                <c:pt idx="15">
                  <c:v>0</c:v>
                </c:pt>
                <c:pt idx="16">
                  <c:v>0</c:v>
                </c:pt>
                <c:pt idx="17">
                  <c:v>108350.72141714404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22.018100238535862</c:v>
                </c:pt>
                <c:pt idx="24">
                  <c:v>0</c:v>
                </c:pt>
                <c:pt idx="25">
                  <c:v>0</c:v>
                </c:pt>
                <c:pt idx="26">
                  <c:v>466836.50441584527</c:v>
                </c:pt>
                <c:pt idx="27">
                  <c:v>0</c:v>
                </c:pt>
                <c:pt idx="28">
                  <c:v>0</c:v>
                </c:pt>
                <c:pt idx="29">
                  <c:v>477958.82803331735</c:v>
                </c:pt>
                <c:pt idx="30">
                  <c:v>0</c:v>
                </c:pt>
                <c:pt idx="31">
                  <c:v>0</c:v>
                </c:pt>
                <c:pt idx="32">
                  <c:v>781286.03607833618</c:v>
                </c:pt>
                <c:pt idx="33">
                  <c:v>0</c:v>
                </c:pt>
                <c:pt idx="34">
                  <c:v>0</c:v>
                </c:pt>
                <c:pt idx="35">
                  <c:v>474786.72729178116</c:v>
                </c:pt>
                <c:pt idx="36">
                  <c:v>0</c:v>
                </c:pt>
                <c:pt idx="37">
                  <c:v>0</c:v>
                </c:pt>
                <c:pt idx="38">
                  <c:v>670273.2097593972</c:v>
                </c:pt>
                <c:pt idx="39">
                  <c:v>0</c:v>
                </c:pt>
                <c:pt idx="40">
                  <c:v>0</c:v>
                </c:pt>
                <c:pt idx="41">
                  <c:v>557074.7656763104</c:v>
                </c:pt>
                <c:pt idx="42">
                  <c:v>0</c:v>
                </c:pt>
                <c:pt idx="43">
                  <c:v>0</c:v>
                </c:pt>
                <c:pt idx="44">
                  <c:v>590855.79053099512</c:v>
                </c:pt>
                <c:pt idx="45">
                  <c:v>0</c:v>
                </c:pt>
                <c:pt idx="46">
                  <c:v>0</c:v>
                </c:pt>
                <c:pt idx="47">
                  <c:v>412661.42614181829</c:v>
                </c:pt>
                <c:pt idx="48">
                  <c:v>0</c:v>
                </c:pt>
                <c:pt idx="49">
                  <c:v>0</c:v>
                </c:pt>
                <c:pt idx="50">
                  <c:v>768172.15277440276</c:v>
                </c:pt>
                <c:pt idx="51">
                  <c:v>0</c:v>
                </c:pt>
                <c:pt idx="52">
                  <c:v>0</c:v>
                </c:pt>
                <c:pt idx="53">
                  <c:v>130718.19992382168</c:v>
                </c:pt>
                <c:pt idx="54">
                  <c:v>0</c:v>
                </c:pt>
                <c:pt idx="55">
                  <c:v>0</c:v>
                </c:pt>
                <c:pt idx="56">
                  <c:v>586407.25040865841</c:v>
                </c:pt>
                <c:pt idx="57">
                  <c:v>0</c:v>
                </c:pt>
                <c:pt idx="58">
                  <c:v>0</c:v>
                </c:pt>
                <c:pt idx="59">
                  <c:v>530698.97198679589</c:v>
                </c:pt>
                <c:pt idx="60">
                  <c:v>0</c:v>
                </c:pt>
                <c:pt idx="61">
                  <c:v>0</c:v>
                </c:pt>
                <c:pt idx="62">
                  <c:v>540301.47972519579</c:v>
                </c:pt>
                <c:pt idx="63">
                  <c:v>0</c:v>
                </c:pt>
                <c:pt idx="64">
                  <c:v>0</c:v>
                </c:pt>
                <c:pt idx="65">
                  <c:v>689820.55963619181</c:v>
                </c:pt>
                <c:pt idx="66">
                  <c:v>0</c:v>
                </c:pt>
                <c:pt idx="67">
                  <c:v>0</c:v>
                </c:pt>
                <c:pt idx="68">
                  <c:v>165979.81652663657</c:v>
                </c:pt>
                <c:pt idx="69">
                  <c:v>0</c:v>
                </c:pt>
                <c:pt idx="70">
                  <c:v>0</c:v>
                </c:pt>
                <c:pt idx="71">
                  <c:v>342628.11586547893</c:v>
                </c:pt>
                <c:pt idx="72">
                  <c:v>0</c:v>
                </c:pt>
                <c:pt idx="73">
                  <c:v>0</c:v>
                </c:pt>
                <c:pt idx="74">
                  <c:v>350219.51899602305</c:v>
                </c:pt>
                <c:pt idx="75">
                  <c:v>0</c:v>
                </c:pt>
                <c:pt idx="76">
                  <c:v>0</c:v>
                </c:pt>
                <c:pt idx="77">
                  <c:v>56149.165802487092</c:v>
                </c:pt>
                <c:pt idx="78">
                  <c:v>0</c:v>
                </c:pt>
                <c:pt idx="79">
                  <c:v>0</c:v>
                </c:pt>
                <c:pt idx="80">
                  <c:v>166131.19578269593</c:v>
                </c:pt>
                <c:pt idx="81">
                  <c:v>0</c:v>
                </c:pt>
                <c:pt idx="82">
                  <c:v>0</c:v>
                </c:pt>
                <c:pt idx="83">
                  <c:v>237517.45658756761</c:v>
                </c:pt>
                <c:pt idx="84">
                  <c:v>0</c:v>
                </c:pt>
                <c:pt idx="85">
                  <c:v>0</c:v>
                </c:pt>
                <c:pt idx="86">
                  <c:v>183021.21856306811</c:v>
                </c:pt>
                <c:pt idx="87">
                  <c:v>0</c:v>
                </c:pt>
                <c:pt idx="88">
                  <c:v>0</c:v>
                </c:pt>
                <c:pt idx="89">
                  <c:v>70382.67745876062</c:v>
                </c:pt>
                <c:pt idx="90">
                  <c:v>0</c:v>
                </c:pt>
                <c:pt idx="91">
                  <c:v>0</c:v>
                </c:pt>
                <c:pt idx="92">
                  <c:v>303066.79434694053</c:v>
                </c:pt>
                <c:pt idx="93">
                  <c:v>0</c:v>
                </c:pt>
                <c:pt idx="94">
                  <c:v>0</c:v>
                </c:pt>
                <c:pt idx="95">
                  <c:v>120341.7287686364</c:v>
                </c:pt>
                <c:pt idx="96">
                  <c:v>0</c:v>
                </c:pt>
                <c:pt idx="97">
                  <c:v>0</c:v>
                </c:pt>
                <c:pt idx="98">
                  <c:v>170199.76896352545</c:v>
                </c:pt>
                <c:pt idx="99">
                  <c:v>0</c:v>
                </c:pt>
                <c:pt idx="100">
                  <c:v>0</c:v>
                </c:pt>
                <c:pt idx="101">
                  <c:v>30886.941600112445</c:v>
                </c:pt>
                <c:pt idx="102">
                  <c:v>0</c:v>
                </c:pt>
                <c:pt idx="103">
                  <c:v>0</c:v>
                </c:pt>
                <c:pt idx="104">
                  <c:v>408025.33465075004</c:v>
                </c:pt>
                <c:pt idx="105">
                  <c:v>0</c:v>
                </c:pt>
                <c:pt idx="106">
                  <c:v>0</c:v>
                </c:pt>
                <c:pt idx="107">
                  <c:v>232669.90864069478</c:v>
                </c:pt>
                <c:pt idx="108">
                  <c:v>0</c:v>
                </c:pt>
                <c:pt idx="109">
                  <c:v>0</c:v>
                </c:pt>
                <c:pt idx="110">
                  <c:v>295511.21516034397</c:v>
                </c:pt>
                <c:pt idx="111">
                  <c:v>0</c:v>
                </c:pt>
                <c:pt idx="112">
                  <c:v>0</c:v>
                </c:pt>
                <c:pt idx="113">
                  <c:v>196180.35810349789</c:v>
                </c:pt>
                <c:pt idx="114">
                  <c:v>0</c:v>
                </c:pt>
                <c:pt idx="115">
                  <c:v>0</c:v>
                </c:pt>
                <c:pt idx="116">
                  <c:v>297848.08088057319</c:v>
                </c:pt>
                <c:pt idx="117">
                  <c:v>0</c:v>
                </c:pt>
                <c:pt idx="118">
                  <c:v>0</c:v>
                </c:pt>
                <c:pt idx="119">
                  <c:v>559574.42772883421</c:v>
                </c:pt>
                <c:pt idx="120">
                  <c:v>0</c:v>
                </c:pt>
                <c:pt idx="121">
                  <c:v>0</c:v>
                </c:pt>
                <c:pt idx="122">
                  <c:v>520518.41155894642</c:v>
                </c:pt>
                <c:pt idx="123">
                  <c:v>0</c:v>
                </c:pt>
                <c:pt idx="124">
                  <c:v>0</c:v>
                </c:pt>
                <c:pt idx="125">
                  <c:v>84402.065752208946</c:v>
                </c:pt>
                <c:pt idx="126">
                  <c:v>12.443650846359057</c:v>
                </c:pt>
                <c:pt idx="127">
                  <c:v>0</c:v>
                </c:pt>
                <c:pt idx="128">
                  <c:v>0</c:v>
                </c:pt>
                <c:pt idx="129">
                  <c:v>23273.323493176071</c:v>
                </c:pt>
                <c:pt idx="130">
                  <c:v>0</c:v>
                </c:pt>
                <c:pt idx="131">
                  <c:v>49.921947418820203</c:v>
                </c:pt>
                <c:pt idx="132">
                  <c:v>0</c:v>
                </c:pt>
                <c:pt idx="133">
                  <c:v>0</c:v>
                </c:pt>
                <c:pt idx="134">
                  <c:v>301245.25597439706</c:v>
                </c:pt>
                <c:pt idx="135">
                  <c:v>0</c:v>
                </c:pt>
                <c:pt idx="136">
                  <c:v>0</c:v>
                </c:pt>
                <c:pt idx="137">
                  <c:v>355808.70790400094</c:v>
                </c:pt>
                <c:pt idx="138">
                  <c:v>37.007459961617947</c:v>
                </c:pt>
                <c:pt idx="139">
                  <c:v>0</c:v>
                </c:pt>
                <c:pt idx="140">
                  <c:v>85191.741574380823</c:v>
                </c:pt>
                <c:pt idx="141">
                  <c:v>229486.50059884056</c:v>
                </c:pt>
                <c:pt idx="142">
                  <c:v>0</c:v>
                </c:pt>
                <c:pt idx="143">
                  <c:v>301193.27854891302</c:v>
                </c:pt>
                <c:pt idx="144">
                  <c:v>0</c:v>
                </c:pt>
                <c:pt idx="145">
                  <c:v>0</c:v>
                </c:pt>
                <c:pt idx="146">
                  <c:v>663196.32863498793</c:v>
                </c:pt>
                <c:pt idx="147">
                  <c:v>0</c:v>
                </c:pt>
                <c:pt idx="148">
                  <c:v>0</c:v>
                </c:pt>
                <c:pt idx="149">
                  <c:v>385181.73165515211</c:v>
                </c:pt>
                <c:pt idx="150">
                  <c:v>0</c:v>
                </c:pt>
                <c:pt idx="151">
                  <c:v>0</c:v>
                </c:pt>
                <c:pt idx="152">
                  <c:v>724199.21627556067</c:v>
                </c:pt>
                <c:pt idx="153">
                  <c:v>4.4003990993614917</c:v>
                </c:pt>
                <c:pt idx="154">
                  <c:v>0</c:v>
                </c:pt>
                <c:pt idx="155">
                  <c:v>214340.3042001737</c:v>
                </c:pt>
                <c:pt idx="156">
                  <c:v>0</c:v>
                </c:pt>
                <c:pt idx="157">
                  <c:v>0</c:v>
                </c:pt>
                <c:pt idx="158">
                  <c:v>541943.53407195478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29.901358629078025</c:v>
                </c:pt>
                <c:pt idx="163">
                  <c:v>0</c:v>
                </c:pt>
                <c:pt idx="164">
                  <c:v>0</c:v>
                </c:pt>
                <c:pt idx="165">
                  <c:v>216761.54579545805</c:v>
                </c:pt>
                <c:pt idx="166">
                  <c:v>0</c:v>
                </c:pt>
                <c:pt idx="167">
                  <c:v>22.782868859823914</c:v>
                </c:pt>
                <c:pt idx="168">
                  <c:v>0</c:v>
                </c:pt>
                <c:pt idx="169">
                  <c:v>0</c:v>
                </c:pt>
                <c:pt idx="170">
                  <c:v>671017.98537448165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15.9934337001795</c:v>
                </c:pt>
                <c:pt idx="175">
                  <c:v>0</c:v>
                </c:pt>
                <c:pt idx="176">
                  <c:v>0</c:v>
                </c:pt>
                <c:pt idx="177">
                  <c:v>40376.077642528078</c:v>
                </c:pt>
                <c:pt idx="178">
                  <c:v>0</c:v>
                </c:pt>
                <c:pt idx="179">
                  <c:v>0</c:v>
                </c:pt>
                <c:pt idx="180">
                  <c:v>463453.55592469656</c:v>
                </c:pt>
                <c:pt idx="181">
                  <c:v>0</c:v>
                </c:pt>
                <c:pt idx="182">
                  <c:v>0</c:v>
                </c:pt>
                <c:pt idx="183">
                  <c:v>339277.46581093379</c:v>
                </c:pt>
                <c:pt idx="184">
                  <c:v>0</c:v>
                </c:pt>
                <c:pt idx="185">
                  <c:v>0</c:v>
                </c:pt>
                <c:pt idx="186">
                  <c:v>144933.36476121872</c:v>
                </c:pt>
                <c:pt idx="187">
                  <c:v>0</c:v>
                </c:pt>
                <c:pt idx="188">
                  <c:v>0</c:v>
                </c:pt>
                <c:pt idx="189">
                  <c:v>143739.71180349265</c:v>
                </c:pt>
                <c:pt idx="190">
                  <c:v>0</c:v>
                </c:pt>
                <c:pt idx="191">
                  <c:v>0</c:v>
                </c:pt>
                <c:pt idx="192">
                  <c:v>758380.4543096195</c:v>
                </c:pt>
                <c:pt idx="193">
                  <c:v>0</c:v>
                </c:pt>
                <c:pt idx="194">
                  <c:v>0</c:v>
                </c:pt>
                <c:pt idx="195">
                  <c:v>276315.80558031093</c:v>
                </c:pt>
                <c:pt idx="196">
                  <c:v>0</c:v>
                </c:pt>
                <c:pt idx="197">
                  <c:v>0</c:v>
                </c:pt>
                <c:pt idx="198">
                  <c:v>208243.05791641798</c:v>
                </c:pt>
                <c:pt idx="199">
                  <c:v>0</c:v>
                </c:pt>
                <c:pt idx="200">
                  <c:v>0</c:v>
                </c:pt>
                <c:pt idx="201">
                  <c:v>641629.81412853079</c:v>
                </c:pt>
                <c:pt idx="202">
                  <c:v>0</c:v>
                </c:pt>
                <c:pt idx="203">
                  <c:v>0</c:v>
                </c:pt>
                <c:pt idx="204">
                  <c:v>630580.45843724383</c:v>
                </c:pt>
                <c:pt idx="205">
                  <c:v>0</c:v>
                </c:pt>
                <c:pt idx="206">
                  <c:v>0</c:v>
                </c:pt>
                <c:pt idx="207">
                  <c:v>399442.73789453431</c:v>
                </c:pt>
                <c:pt idx="208">
                  <c:v>0</c:v>
                </c:pt>
                <c:pt idx="209">
                  <c:v>0</c:v>
                </c:pt>
                <c:pt idx="210">
                  <c:v>294276.13601781055</c:v>
                </c:pt>
                <c:pt idx="211">
                  <c:v>0</c:v>
                </c:pt>
                <c:pt idx="212">
                  <c:v>0</c:v>
                </c:pt>
                <c:pt idx="213">
                  <c:v>499330.16773852095</c:v>
                </c:pt>
                <c:pt idx="214">
                  <c:v>0</c:v>
                </c:pt>
                <c:pt idx="215">
                  <c:v>0</c:v>
                </c:pt>
                <c:pt idx="216">
                  <c:v>238639.3038019771</c:v>
                </c:pt>
                <c:pt idx="217">
                  <c:v>0</c:v>
                </c:pt>
                <c:pt idx="218">
                  <c:v>0</c:v>
                </c:pt>
                <c:pt idx="219">
                  <c:v>258189.99199543396</c:v>
                </c:pt>
                <c:pt idx="220">
                  <c:v>0</c:v>
                </c:pt>
                <c:pt idx="221">
                  <c:v>0</c:v>
                </c:pt>
                <c:pt idx="222">
                  <c:v>429535.14332667086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A-4138-9E6B-99F7ED8D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40928"/>
        <c:axId val="52741408"/>
      </c:lineChart>
      <c:dateAx>
        <c:axId val="52740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1408"/>
        <c:crosses val="autoZero"/>
        <c:auto val="1"/>
        <c:lblOffset val="100"/>
        <c:baseTimeUnit val="days"/>
      </c:dateAx>
      <c:valAx>
        <c:axId val="527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calculations!$AH$31:$AH$225</c:f>
              <c:numCache>
                <c:formatCode>m/d/yyyy</c:formatCode>
                <c:ptCount val="195"/>
                <c:pt idx="0">
                  <c:v>46052.999988425923</c:v>
                </c:pt>
                <c:pt idx="1">
                  <c:v>0</c:v>
                </c:pt>
                <c:pt idx="2">
                  <c:v>0</c:v>
                </c:pt>
                <c:pt idx="3">
                  <c:v>46055.999988425923</c:v>
                </c:pt>
                <c:pt idx="4">
                  <c:v>0</c:v>
                </c:pt>
                <c:pt idx="5">
                  <c:v>0</c:v>
                </c:pt>
                <c:pt idx="6">
                  <c:v>46058.999988425923</c:v>
                </c:pt>
                <c:pt idx="7">
                  <c:v>0</c:v>
                </c:pt>
                <c:pt idx="8">
                  <c:v>0</c:v>
                </c:pt>
                <c:pt idx="9">
                  <c:v>46061.999988425923</c:v>
                </c:pt>
                <c:pt idx="10">
                  <c:v>0</c:v>
                </c:pt>
                <c:pt idx="11">
                  <c:v>0</c:v>
                </c:pt>
                <c:pt idx="12">
                  <c:v>46064.999988425923</c:v>
                </c:pt>
                <c:pt idx="13">
                  <c:v>0</c:v>
                </c:pt>
                <c:pt idx="14">
                  <c:v>0</c:v>
                </c:pt>
                <c:pt idx="15">
                  <c:v>46067.999988425923</c:v>
                </c:pt>
                <c:pt idx="16">
                  <c:v>0</c:v>
                </c:pt>
                <c:pt idx="17">
                  <c:v>0</c:v>
                </c:pt>
                <c:pt idx="18">
                  <c:v>46070.999988425923</c:v>
                </c:pt>
                <c:pt idx="19">
                  <c:v>0</c:v>
                </c:pt>
                <c:pt idx="20">
                  <c:v>0</c:v>
                </c:pt>
                <c:pt idx="21">
                  <c:v>46073.999988425923</c:v>
                </c:pt>
                <c:pt idx="22">
                  <c:v>0</c:v>
                </c:pt>
                <c:pt idx="23">
                  <c:v>0</c:v>
                </c:pt>
                <c:pt idx="24">
                  <c:v>46076.999988425923</c:v>
                </c:pt>
                <c:pt idx="25">
                  <c:v>0</c:v>
                </c:pt>
                <c:pt idx="26">
                  <c:v>0</c:v>
                </c:pt>
                <c:pt idx="27">
                  <c:v>46079.999988425923</c:v>
                </c:pt>
                <c:pt idx="28">
                  <c:v>0</c:v>
                </c:pt>
                <c:pt idx="29">
                  <c:v>0</c:v>
                </c:pt>
                <c:pt idx="30">
                  <c:v>46082.999988425923</c:v>
                </c:pt>
                <c:pt idx="31">
                  <c:v>0</c:v>
                </c:pt>
                <c:pt idx="32">
                  <c:v>0</c:v>
                </c:pt>
                <c:pt idx="33">
                  <c:v>46085.999988425923</c:v>
                </c:pt>
                <c:pt idx="34">
                  <c:v>0</c:v>
                </c:pt>
                <c:pt idx="35">
                  <c:v>0</c:v>
                </c:pt>
                <c:pt idx="36">
                  <c:v>46088.999988425923</c:v>
                </c:pt>
                <c:pt idx="37">
                  <c:v>0</c:v>
                </c:pt>
                <c:pt idx="38">
                  <c:v>0</c:v>
                </c:pt>
                <c:pt idx="39">
                  <c:v>46091.999988425923</c:v>
                </c:pt>
                <c:pt idx="40">
                  <c:v>0</c:v>
                </c:pt>
                <c:pt idx="41">
                  <c:v>0</c:v>
                </c:pt>
                <c:pt idx="42">
                  <c:v>46094.999988425923</c:v>
                </c:pt>
                <c:pt idx="43">
                  <c:v>0</c:v>
                </c:pt>
                <c:pt idx="44">
                  <c:v>0</c:v>
                </c:pt>
                <c:pt idx="45">
                  <c:v>46097.999988425923</c:v>
                </c:pt>
                <c:pt idx="46">
                  <c:v>0</c:v>
                </c:pt>
                <c:pt idx="47">
                  <c:v>0</c:v>
                </c:pt>
                <c:pt idx="48">
                  <c:v>46100.999988425923</c:v>
                </c:pt>
                <c:pt idx="49">
                  <c:v>0</c:v>
                </c:pt>
                <c:pt idx="50">
                  <c:v>0</c:v>
                </c:pt>
                <c:pt idx="51">
                  <c:v>46103.999988425923</c:v>
                </c:pt>
                <c:pt idx="52">
                  <c:v>0</c:v>
                </c:pt>
                <c:pt idx="53">
                  <c:v>0</c:v>
                </c:pt>
                <c:pt idx="54">
                  <c:v>46106.999988425923</c:v>
                </c:pt>
                <c:pt idx="55">
                  <c:v>0</c:v>
                </c:pt>
                <c:pt idx="56">
                  <c:v>0</c:v>
                </c:pt>
                <c:pt idx="57">
                  <c:v>46109.999988425923</c:v>
                </c:pt>
                <c:pt idx="58">
                  <c:v>0</c:v>
                </c:pt>
                <c:pt idx="59">
                  <c:v>0</c:v>
                </c:pt>
                <c:pt idx="60">
                  <c:v>46112.999988425923</c:v>
                </c:pt>
                <c:pt idx="61">
                  <c:v>0</c:v>
                </c:pt>
                <c:pt idx="62">
                  <c:v>0</c:v>
                </c:pt>
                <c:pt idx="63">
                  <c:v>46115.999988425923</c:v>
                </c:pt>
                <c:pt idx="64">
                  <c:v>0</c:v>
                </c:pt>
                <c:pt idx="65">
                  <c:v>0</c:v>
                </c:pt>
                <c:pt idx="66">
                  <c:v>46118.999988425923</c:v>
                </c:pt>
                <c:pt idx="67">
                  <c:v>0</c:v>
                </c:pt>
                <c:pt idx="68">
                  <c:v>0</c:v>
                </c:pt>
                <c:pt idx="69">
                  <c:v>46121.999988425923</c:v>
                </c:pt>
                <c:pt idx="70">
                  <c:v>0</c:v>
                </c:pt>
                <c:pt idx="71">
                  <c:v>0</c:v>
                </c:pt>
                <c:pt idx="72">
                  <c:v>46124.999988425923</c:v>
                </c:pt>
                <c:pt idx="73">
                  <c:v>0</c:v>
                </c:pt>
                <c:pt idx="74">
                  <c:v>0</c:v>
                </c:pt>
                <c:pt idx="75">
                  <c:v>46127.999988425923</c:v>
                </c:pt>
                <c:pt idx="76">
                  <c:v>0</c:v>
                </c:pt>
                <c:pt idx="77">
                  <c:v>0</c:v>
                </c:pt>
                <c:pt idx="78">
                  <c:v>46130.999988425923</c:v>
                </c:pt>
                <c:pt idx="79">
                  <c:v>0</c:v>
                </c:pt>
                <c:pt idx="80">
                  <c:v>0</c:v>
                </c:pt>
                <c:pt idx="81">
                  <c:v>46133.999988425923</c:v>
                </c:pt>
                <c:pt idx="82">
                  <c:v>0</c:v>
                </c:pt>
                <c:pt idx="83">
                  <c:v>0</c:v>
                </c:pt>
                <c:pt idx="84">
                  <c:v>46136.999988425923</c:v>
                </c:pt>
                <c:pt idx="85">
                  <c:v>0</c:v>
                </c:pt>
                <c:pt idx="86">
                  <c:v>0</c:v>
                </c:pt>
                <c:pt idx="87">
                  <c:v>46139.999988425923</c:v>
                </c:pt>
                <c:pt idx="88">
                  <c:v>0</c:v>
                </c:pt>
                <c:pt idx="89">
                  <c:v>0</c:v>
                </c:pt>
                <c:pt idx="90">
                  <c:v>46142.999988425923</c:v>
                </c:pt>
                <c:pt idx="91">
                  <c:v>0</c:v>
                </c:pt>
                <c:pt idx="92">
                  <c:v>0</c:v>
                </c:pt>
                <c:pt idx="93">
                  <c:v>46145.999988425923</c:v>
                </c:pt>
                <c:pt idx="94">
                  <c:v>0</c:v>
                </c:pt>
                <c:pt idx="95">
                  <c:v>0</c:v>
                </c:pt>
                <c:pt idx="96">
                  <c:v>46148.999988425923</c:v>
                </c:pt>
                <c:pt idx="97">
                  <c:v>46149.999988425923</c:v>
                </c:pt>
                <c:pt idx="98">
                  <c:v>0</c:v>
                </c:pt>
                <c:pt idx="99">
                  <c:v>0</c:v>
                </c:pt>
                <c:pt idx="100">
                  <c:v>46152.999988425923</c:v>
                </c:pt>
                <c:pt idx="101">
                  <c:v>0</c:v>
                </c:pt>
                <c:pt idx="102">
                  <c:v>46154.999988425923</c:v>
                </c:pt>
                <c:pt idx="103">
                  <c:v>0</c:v>
                </c:pt>
                <c:pt idx="104">
                  <c:v>0</c:v>
                </c:pt>
                <c:pt idx="105">
                  <c:v>46157.999988425923</c:v>
                </c:pt>
                <c:pt idx="106">
                  <c:v>0</c:v>
                </c:pt>
                <c:pt idx="107">
                  <c:v>0</c:v>
                </c:pt>
                <c:pt idx="108">
                  <c:v>46160.999988425923</c:v>
                </c:pt>
                <c:pt idx="109">
                  <c:v>46161.999988425923</c:v>
                </c:pt>
                <c:pt idx="110">
                  <c:v>0</c:v>
                </c:pt>
                <c:pt idx="111">
                  <c:v>46163.999988425923</c:v>
                </c:pt>
                <c:pt idx="112">
                  <c:v>46164.999988425923</c:v>
                </c:pt>
                <c:pt idx="113">
                  <c:v>0</c:v>
                </c:pt>
                <c:pt idx="114">
                  <c:v>46166.999988425923</c:v>
                </c:pt>
                <c:pt idx="115">
                  <c:v>0</c:v>
                </c:pt>
                <c:pt idx="116">
                  <c:v>0</c:v>
                </c:pt>
                <c:pt idx="117">
                  <c:v>46169.999988425923</c:v>
                </c:pt>
                <c:pt idx="118">
                  <c:v>0</c:v>
                </c:pt>
                <c:pt idx="119">
                  <c:v>0</c:v>
                </c:pt>
                <c:pt idx="120">
                  <c:v>46172.999988425923</c:v>
                </c:pt>
                <c:pt idx="121">
                  <c:v>0</c:v>
                </c:pt>
                <c:pt idx="122">
                  <c:v>0</c:v>
                </c:pt>
                <c:pt idx="123">
                  <c:v>46175.999988425923</c:v>
                </c:pt>
                <c:pt idx="124">
                  <c:v>46176.999988425923</c:v>
                </c:pt>
                <c:pt idx="125">
                  <c:v>0</c:v>
                </c:pt>
                <c:pt idx="126">
                  <c:v>46178.999988425923</c:v>
                </c:pt>
                <c:pt idx="127">
                  <c:v>0</c:v>
                </c:pt>
                <c:pt idx="128">
                  <c:v>0</c:v>
                </c:pt>
                <c:pt idx="129">
                  <c:v>46181.999988425923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46185.999988425923</c:v>
                </c:pt>
                <c:pt idx="134">
                  <c:v>0</c:v>
                </c:pt>
                <c:pt idx="135">
                  <c:v>0</c:v>
                </c:pt>
                <c:pt idx="136">
                  <c:v>46188.999988425923</c:v>
                </c:pt>
                <c:pt idx="137">
                  <c:v>0</c:v>
                </c:pt>
                <c:pt idx="138">
                  <c:v>46190.999988425923</c:v>
                </c:pt>
                <c:pt idx="139">
                  <c:v>0</c:v>
                </c:pt>
                <c:pt idx="140">
                  <c:v>0</c:v>
                </c:pt>
                <c:pt idx="141">
                  <c:v>46193.999988425923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46197.999988425923</c:v>
                </c:pt>
                <c:pt idx="146">
                  <c:v>0</c:v>
                </c:pt>
                <c:pt idx="147">
                  <c:v>0</c:v>
                </c:pt>
                <c:pt idx="148">
                  <c:v>46200.999988425923</c:v>
                </c:pt>
                <c:pt idx="149">
                  <c:v>0</c:v>
                </c:pt>
                <c:pt idx="150">
                  <c:v>0</c:v>
                </c:pt>
                <c:pt idx="151">
                  <c:v>46203.999988425923</c:v>
                </c:pt>
                <c:pt idx="152">
                  <c:v>0</c:v>
                </c:pt>
                <c:pt idx="153">
                  <c:v>0</c:v>
                </c:pt>
                <c:pt idx="154">
                  <c:v>46206.999988425923</c:v>
                </c:pt>
                <c:pt idx="155">
                  <c:v>0</c:v>
                </c:pt>
                <c:pt idx="156">
                  <c:v>0</c:v>
                </c:pt>
                <c:pt idx="157">
                  <c:v>46209.999988425923</c:v>
                </c:pt>
                <c:pt idx="158">
                  <c:v>0</c:v>
                </c:pt>
                <c:pt idx="159">
                  <c:v>0</c:v>
                </c:pt>
                <c:pt idx="160">
                  <c:v>46212.999988425923</c:v>
                </c:pt>
                <c:pt idx="161">
                  <c:v>0</c:v>
                </c:pt>
                <c:pt idx="162">
                  <c:v>0</c:v>
                </c:pt>
                <c:pt idx="163">
                  <c:v>46215.999988425923</c:v>
                </c:pt>
                <c:pt idx="164">
                  <c:v>0</c:v>
                </c:pt>
                <c:pt idx="165">
                  <c:v>0</c:v>
                </c:pt>
                <c:pt idx="166">
                  <c:v>46218.999988425923</c:v>
                </c:pt>
                <c:pt idx="167">
                  <c:v>0</c:v>
                </c:pt>
                <c:pt idx="168">
                  <c:v>0</c:v>
                </c:pt>
                <c:pt idx="169">
                  <c:v>46221.999988425923</c:v>
                </c:pt>
                <c:pt idx="170">
                  <c:v>0</c:v>
                </c:pt>
                <c:pt idx="171">
                  <c:v>0</c:v>
                </c:pt>
                <c:pt idx="172">
                  <c:v>46224.999988425923</c:v>
                </c:pt>
                <c:pt idx="173">
                  <c:v>0</c:v>
                </c:pt>
                <c:pt idx="174">
                  <c:v>0</c:v>
                </c:pt>
                <c:pt idx="175">
                  <c:v>46227.999988425923</c:v>
                </c:pt>
                <c:pt idx="176">
                  <c:v>0</c:v>
                </c:pt>
                <c:pt idx="177">
                  <c:v>0</c:v>
                </c:pt>
                <c:pt idx="178">
                  <c:v>46230.999988425923</c:v>
                </c:pt>
                <c:pt idx="179">
                  <c:v>0</c:v>
                </c:pt>
                <c:pt idx="180">
                  <c:v>0</c:v>
                </c:pt>
                <c:pt idx="181">
                  <c:v>46233.999988425923</c:v>
                </c:pt>
                <c:pt idx="182">
                  <c:v>0</c:v>
                </c:pt>
                <c:pt idx="183">
                  <c:v>0</c:v>
                </c:pt>
                <c:pt idx="184">
                  <c:v>46236.999988425923</c:v>
                </c:pt>
                <c:pt idx="185">
                  <c:v>0</c:v>
                </c:pt>
                <c:pt idx="186">
                  <c:v>0</c:v>
                </c:pt>
                <c:pt idx="187">
                  <c:v>46239.999988425923</c:v>
                </c:pt>
                <c:pt idx="188">
                  <c:v>0</c:v>
                </c:pt>
                <c:pt idx="189">
                  <c:v>0</c:v>
                </c:pt>
                <c:pt idx="190">
                  <c:v>46242.999988425923</c:v>
                </c:pt>
                <c:pt idx="191">
                  <c:v>0</c:v>
                </c:pt>
                <c:pt idx="192">
                  <c:v>0</c:v>
                </c:pt>
                <c:pt idx="193">
                  <c:v>46245.999988425923</c:v>
                </c:pt>
                <c:pt idx="194">
                  <c:v>0</c:v>
                </c:pt>
              </c:numCache>
            </c:numRef>
          </c:cat>
          <c:val>
            <c:numRef>
              <c:f>calculations!$AI$31:$AI$225</c:f>
              <c:numCache>
                <c:formatCode>_-* #,##0_-;\-* #,##0_-;_-* "-"??_-;_-@_-</c:formatCode>
                <c:ptCount val="195"/>
                <c:pt idx="0">
                  <c:v>-641969.95369689667</c:v>
                </c:pt>
                <c:pt idx="1">
                  <c:v>0</c:v>
                </c:pt>
                <c:pt idx="2">
                  <c:v>0</c:v>
                </c:pt>
                <c:pt idx="3">
                  <c:v>-1163172.1434692112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1-4272-9C2A-C3EAEBFB59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calculations!$AH$31:$AH$225</c:f>
              <c:numCache>
                <c:formatCode>m/d/yyyy</c:formatCode>
                <c:ptCount val="195"/>
                <c:pt idx="0">
                  <c:v>46052.999988425923</c:v>
                </c:pt>
                <c:pt idx="1">
                  <c:v>0</c:v>
                </c:pt>
                <c:pt idx="2">
                  <c:v>0</c:v>
                </c:pt>
                <c:pt idx="3">
                  <c:v>46055.999988425923</c:v>
                </c:pt>
                <c:pt idx="4">
                  <c:v>0</c:v>
                </c:pt>
                <c:pt idx="5">
                  <c:v>0</c:v>
                </c:pt>
                <c:pt idx="6">
                  <c:v>46058.999988425923</c:v>
                </c:pt>
                <c:pt idx="7">
                  <c:v>0</c:v>
                </c:pt>
                <c:pt idx="8">
                  <c:v>0</c:v>
                </c:pt>
                <c:pt idx="9">
                  <c:v>46061.999988425923</c:v>
                </c:pt>
                <c:pt idx="10">
                  <c:v>0</c:v>
                </c:pt>
                <c:pt idx="11">
                  <c:v>0</c:v>
                </c:pt>
                <c:pt idx="12">
                  <c:v>46064.999988425923</c:v>
                </c:pt>
                <c:pt idx="13">
                  <c:v>0</c:v>
                </c:pt>
                <c:pt idx="14">
                  <c:v>0</c:v>
                </c:pt>
                <c:pt idx="15">
                  <c:v>46067.999988425923</c:v>
                </c:pt>
                <c:pt idx="16">
                  <c:v>0</c:v>
                </c:pt>
                <c:pt idx="17">
                  <c:v>0</c:v>
                </c:pt>
                <c:pt idx="18">
                  <c:v>46070.999988425923</c:v>
                </c:pt>
                <c:pt idx="19">
                  <c:v>0</c:v>
                </c:pt>
                <c:pt idx="20">
                  <c:v>0</c:v>
                </c:pt>
                <c:pt idx="21">
                  <c:v>46073.999988425923</c:v>
                </c:pt>
                <c:pt idx="22">
                  <c:v>0</c:v>
                </c:pt>
                <c:pt idx="23">
                  <c:v>0</c:v>
                </c:pt>
                <c:pt idx="24">
                  <c:v>46076.999988425923</c:v>
                </c:pt>
                <c:pt idx="25">
                  <c:v>0</c:v>
                </c:pt>
                <c:pt idx="26">
                  <c:v>0</c:v>
                </c:pt>
                <c:pt idx="27">
                  <c:v>46079.999988425923</c:v>
                </c:pt>
                <c:pt idx="28">
                  <c:v>0</c:v>
                </c:pt>
                <c:pt idx="29">
                  <c:v>0</c:v>
                </c:pt>
                <c:pt idx="30">
                  <c:v>46082.999988425923</c:v>
                </c:pt>
                <c:pt idx="31">
                  <c:v>0</c:v>
                </c:pt>
                <c:pt idx="32">
                  <c:v>0</c:v>
                </c:pt>
                <c:pt idx="33">
                  <c:v>46085.999988425923</c:v>
                </c:pt>
                <c:pt idx="34">
                  <c:v>0</c:v>
                </c:pt>
                <c:pt idx="35">
                  <c:v>0</c:v>
                </c:pt>
                <c:pt idx="36">
                  <c:v>46088.999988425923</c:v>
                </c:pt>
                <c:pt idx="37">
                  <c:v>0</c:v>
                </c:pt>
                <c:pt idx="38">
                  <c:v>0</c:v>
                </c:pt>
                <c:pt idx="39">
                  <c:v>46091.999988425923</c:v>
                </c:pt>
                <c:pt idx="40">
                  <c:v>0</c:v>
                </c:pt>
                <c:pt idx="41">
                  <c:v>0</c:v>
                </c:pt>
                <c:pt idx="42">
                  <c:v>46094.999988425923</c:v>
                </c:pt>
                <c:pt idx="43">
                  <c:v>0</c:v>
                </c:pt>
                <c:pt idx="44">
                  <c:v>0</c:v>
                </c:pt>
                <c:pt idx="45">
                  <c:v>46097.999988425923</c:v>
                </c:pt>
                <c:pt idx="46">
                  <c:v>0</c:v>
                </c:pt>
                <c:pt idx="47">
                  <c:v>0</c:v>
                </c:pt>
                <c:pt idx="48">
                  <c:v>46100.999988425923</c:v>
                </c:pt>
                <c:pt idx="49">
                  <c:v>0</c:v>
                </c:pt>
                <c:pt idx="50">
                  <c:v>0</c:v>
                </c:pt>
                <c:pt idx="51">
                  <c:v>46103.999988425923</c:v>
                </c:pt>
                <c:pt idx="52">
                  <c:v>0</c:v>
                </c:pt>
                <c:pt idx="53">
                  <c:v>0</c:v>
                </c:pt>
                <c:pt idx="54">
                  <c:v>46106.999988425923</c:v>
                </c:pt>
                <c:pt idx="55">
                  <c:v>0</c:v>
                </c:pt>
                <c:pt idx="56">
                  <c:v>0</c:v>
                </c:pt>
                <c:pt idx="57">
                  <c:v>46109.999988425923</c:v>
                </c:pt>
                <c:pt idx="58">
                  <c:v>0</c:v>
                </c:pt>
                <c:pt idx="59">
                  <c:v>0</c:v>
                </c:pt>
                <c:pt idx="60">
                  <c:v>46112.999988425923</c:v>
                </c:pt>
                <c:pt idx="61">
                  <c:v>0</c:v>
                </c:pt>
                <c:pt idx="62">
                  <c:v>0</c:v>
                </c:pt>
                <c:pt idx="63">
                  <c:v>46115.999988425923</c:v>
                </c:pt>
                <c:pt idx="64">
                  <c:v>0</c:v>
                </c:pt>
                <c:pt idx="65">
                  <c:v>0</c:v>
                </c:pt>
                <c:pt idx="66">
                  <c:v>46118.999988425923</c:v>
                </c:pt>
                <c:pt idx="67">
                  <c:v>0</c:v>
                </c:pt>
                <c:pt idx="68">
                  <c:v>0</c:v>
                </c:pt>
                <c:pt idx="69">
                  <c:v>46121.999988425923</c:v>
                </c:pt>
                <c:pt idx="70">
                  <c:v>0</c:v>
                </c:pt>
                <c:pt idx="71">
                  <c:v>0</c:v>
                </c:pt>
                <c:pt idx="72">
                  <c:v>46124.999988425923</c:v>
                </c:pt>
                <c:pt idx="73">
                  <c:v>0</c:v>
                </c:pt>
                <c:pt idx="74">
                  <c:v>0</c:v>
                </c:pt>
                <c:pt idx="75">
                  <c:v>46127.999988425923</c:v>
                </c:pt>
                <c:pt idx="76">
                  <c:v>0</c:v>
                </c:pt>
                <c:pt idx="77">
                  <c:v>0</c:v>
                </c:pt>
                <c:pt idx="78">
                  <c:v>46130.999988425923</c:v>
                </c:pt>
                <c:pt idx="79">
                  <c:v>0</c:v>
                </c:pt>
                <c:pt idx="80">
                  <c:v>0</c:v>
                </c:pt>
                <c:pt idx="81">
                  <c:v>46133.999988425923</c:v>
                </c:pt>
                <c:pt idx="82">
                  <c:v>0</c:v>
                </c:pt>
                <c:pt idx="83">
                  <c:v>0</c:v>
                </c:pt>
                <c:pt idx="84">
                  <c:v>46136.999988425923</c:v>
                </c:pt>
                <c:pt idx="85">
                  <c:v>0</c:v>
                </c:pt>
                <c:pt idx="86">
                  <c:v>0</c:v>
                </c:pt>
                <c:pt idx="87">
                  <c:v>46139.999988425923</c:v>
                </c:pt>
                <c:pt idx="88">
                  <c:v>0</c:v>
                </c:pt>
                <c:pt idx="89">
                  <c:v>0</c:v>
                </c:pt>
                <c:pt idx="90">
                  <c:v>46142.999988425923</c:v>
                </c:pt>
                <c:pt idx="91">
                  <c:v>0</c:v>
                </c:pt>
                <c:pt idx="92">
                  <c:v>0</c:v>
                </c:pt>
                <c:pt idx="93">
                  <c:v>46145.999988425923</c:v>
                </c:pt>
                <c:pt idx="94">
                  <c:v>0</c:v>
                </c:pt>
                <c:pt idx="95">
                  <c:v>0</c:v>
                </c:pt>
                <c:pt idx="96">
                  <c:v>46148.999988425923</c:v>
                </c:pt>
                <c:pt idx="97">
                  <c:v>46149.999988425923</c:v>
                </c:pt>
                <c:pt idx="98">
                  <c:v>0</c:v>
                </c:pt>
                <c:pt idx="99">
                  <c:v>0</c:v>
                </c:pt>
                <c:pt idx="100">
                  <c:v>46152.999988425923</c:v>
                </c:pt>
                <c:pt idx="101">
                  <c:v>0</c:v>
                </c:pt>
                <c:pt idx="102">
                  <c:v>46154.999988425923</c:v>
                </c:pt>
                <c:pt idx="103">
                  <c:v>0</c:v>
                </c:pt>
                <c:pt idx="104">
                  <c:v>0</c:v>
                </c:pt>
                <c:pt idx="105">
                  <c:v>46157.999988425923</c:v>
                </c:pt>
                <c:pt idx="106">
                  <c:v>0</c:v>
                </c:pt>
                <c:pt idx="107">
                  <c:v>0</c:v>
                </c:pt>
                <c:pt idx="108">
                  <c:v>46160.999988425923</c:v>
                </c:pt>
                <c:pt idx="109">
                  <c:v>46161.999988425923</c:v>
                </c:pt>
                <c:pt idx="110">
                  <c:v>0</c:v>
                </c:pt>
                <c:pt idx="111">
                  <c:v>46163.999988425923</c:v>
                </c:pt>
                <c:pt idx="112">
                  <c:v>46164.999988425923</c:v>
                </c:pt>
                <c:pt idx="113">
                  <c:v>0</c:v>
                </c:pt>
                <c:pt idx="114">
                  <c:v>46166.999988425923</c:v>
                </c:pt>
                <c:pt idx="115">
                  <c:v>0</c:v>
                </c:pt>
                <c:pt idx="116">
                  <c:v>0</c:v>
                </c:pt>
                <c:pt idx="117">
                  <c:v>46169.999988425923</c:v>
                </c:pt>
                <c:pt idx="118">
                  <c:v>0</c:v>
                </c:pt>
                <c:pt idx="119">
                  <c:v>0</c:v>
                </c:pt>
                <c:pt idx="120">
                  <c:v>46172.999988425923</c:v>
                </c:pt>
                <c:pt idx="121">
                  <c:v>0</c:v>
                </c:pt>
                <c:pt idx="122">
                  <c:v>0</c:v>
                </c:pt>
                <c:pt idx="123">
                  <c:v>46175.999988425923</c:v>
                </c:pt>
                <c:pt idx="124">
                  <c:v>46176.999988425923</c:v>
                </c:pt>
                <c:pt idx="125">
                  <c:v>0</c:v>
                </c:pt>
                <c:pt idx="126">
                  <c:v>46178.999988425923</c:v>
                </c:pt>
                <c:pt idx="127">
                  <c:v>0</c:v>
                </c:pt>
                <c:pt idx="128">
                  <c:v>0</c:v>
                </c:pt>
                <c:pt idx="129">
                  <c:v>46181.999988425923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46185.999988425923</c:v>
                </c:pt>
                <c:pt idx="134">
                  <c:v>0</c:v>
                </c:pt>
                <c:pt idx="135">
                  <c:v>0</c:v>
                </c:pt>
                <c:pt idx="136">
                  <c:v>46188.999988425923</c:v>
                </c:pt>
                <c:pt idx="137">
                  <c:v>0</c:v>
                </c:pt>
                <c:pt idx="138">
                  <c:v>46190.999988425923</c:v>
                </c:pt>
                <c:pt idx="139">
                  <c:v>0</c:v>
                </c:pt>
                <c:pt idx="140">
                  <c:v>0</c:v>
                </c:pt>
                <c:pt idx="141">
                  <c:v>46193.999988425923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46197.999988425923</c:v>
                </c:pt>
                <c:pt idx="146">
                  <c:v>0</c:v>
                </c:pt>
                <c:pt idx="147">
                  <c:v>0</c:v>
                </c:pt>
                <c:pt idx="148">
                  <c:v>46200.999988425923</c:v>
                </c:pt>
                <c:pt idx="149">
                  <c:v>0</c:v>
                </c:pt>
                <c:pt idx="150">
                  <c:v>0</c:v>
                </c:pt>
                <c:pt idx="151">
                  <c:v>46203.999988425923</c:v>
                </c:pt>
                <c:pt idx="152">
                  <c:v>0</c:v>
                </c:pt>
                <c:pt idx="153">
                  <c:v>0</c:v>
                </c:pt>
                <c:pt idx="154">
                  <c:v>46206.999988425923</c:v>
                </c:pt>
                <c:pt idx="155">
                  <c:v>0</c:v>
                </c:pt>
                <c:pt idx="156">
                  <c:v>0</c:v>
                </c:pt>
                <c:pt idx="157">
                  <c:v>46209.999988425923</c:v>
                </c:pt>
                <c:pt idx="158">
                  <c:v>0</c:v>
                </c:pt>
                <c:pt idx="159">
                  <c:v>0</c:v>
                </c:pt>
                <c:pt idx="160">
                  <c:v>46212.999988425923</c:v>
                </c:pt>
                <c:pt idx="161">
                  <c:v>0</c:v>
                </c:pt>
                <c:pt idx="162">
                  <c:v>0</c:v>
                </c:pt>
                <c:pt idx="163">
                  <c:v>46215.999988425923</c:v>
                </c:pt>
                <c:pt idx="164">
                  <c:v>0</c:v>
                </c:pt>
                <c:pt idx="165">
                  <c:v>0</c:v>
                </c:pt>
                <c:pt idx="166">
                  <c:v>46218.999988425923</c:v>
                </c:pt>
                <c:pt idx="167">
                  <c:v>0</c:v>
                </c:pt>
                <c:pt idx="168">
                  <c:v>0</c:v>
                </c:pt>
                <c:pt idx="169">
                  <c:v>46221.999988425923</c:v>
                </c:pt>
                <c:pt idx="170">
                  <c:v>0</c:v>
                </c:pt>
                <c:pt idx="171">
                  <c:v>0</c:v>
                </c:pt>
                <c:pt idx="172">
                  <c:v>46224.999988425923</c:v>
                </c:pt>
                <c:pt idx="173">
                  <c:v>0</c:v>
                </c:pt>
                <c:pt idx="174">
                  <c:v>0</c:v>
                </c:pt>
                <c:pt idx="175">
                  <c:v>46227.999988425923</c:v>
                </c:pt>
                <c:pt idx="176">
                  <c:v>0</c:v>
                </c:pt>
                <c:pt idx="177">
                  <c:v>0</c:v>
                </c:pt>
                <c:pt idx="178">
                  <c:v>46230.999988425923</c:v>
                </c:pt>
                <c:pt idx="179">
                  <c:v>0</c:v>
                </c:pt>
                <c:pt idx="180">
                  <c:v>0</c:v>
                </c:pt>
                <c:pt idx="181">
                  <c:v>46233.999988425923</c:v>
                </c:pt>
                <c:pt idx="182">
                  <c:v>0</c:v>
                </c:pt>
                <c:pt idx="183">
                  <c:v>0</c:v>
                </c:pt>
                <c:pt idx="184">
                  <c:v>46236.999988425923</c:v>
                </c:pt>
                <c:pt idx="185">
                  <c:v>0</c:v>
                </c:pt>
                <c:pt idx="186">
                  <c:v>0</c:v>
                </c:pt>
                <c:pt idx="187">
                  <c:v>46239.999988425923</c:v>
                </c:pt>
                <c:pt idx="188">
                  <c:v>0</c:v>
                </c:pt>
                <c:pt idx="189">
                  <c:v>0</c:v>
                </c:pt>
                <c:pt idx="190">
                  <c:v>46242.999988425923</c:v>
                </c:pt>
                <c:pt idx="191">
                  <c:v>0</c:v>
                </c:pt>
                <c:pt idx="192">
                  <c:v>0</c:v>
                </c:pt>
                <c:pt idx="193">
                  <c:v>46245.999988425923</c:v>
                </c:pt>
                <c:pt idx="194">
                  <c:v>0</c:v>
                </c:pt>
              </c:numCache>
            </c:numRef>
          </c:cat>
          <c:val>
            <c:numRef>
              <c:f>calculations!$AJ$31:$AJ$225</c:f>
              <c:numCache>
                <c:formatCode>_-* #,##0_-;\-* #,##0_-;_-* "-"??_-;_-@_-</c:formatCode>
                <c:ptCount val="195"/>
                <c:pt idx="0">
                  <c:v>477958.82803331735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1-4272-9C2A-C3EAEBFB59C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calculations!$AH$31:$AH$225</c:f>
              <c:numCache>
                <c:formatCode>m/d/yyyy</c:formatCode>
                <c:ptCount val="195"/>
                <c:pt idx="0">
                  <c:v>46052.999988425923</c:v>
                </c:pt>
                <c:pt idx="1">
                  <c:v>0</c:v>
                </c:pt>
                <c:pt idx="2">
                  <c:v>0</c:v>
                </c:pt>
                <c:pt idx="3">
                  <c:v>46055.999988425923</c:v>
                </c:pt>
                <c:pt idx="4">
                  <c:v>0</c:v>
                </c:pt>
                <c:pt idx="5">
                  <c:v>0</c:v>
                </c:pt>
                <c:pt idx="6">
                  <c:v>46058.999988425923</c:v>
                </c:pt>
                <c:pt idx="7">
                  <c:v>0</c:v>
                </c:pt>
                <c:pt idx="8">
                  <c:v>0</c:v>
                </c:pt>
                <c:pt idx="9">
                  <c:v>46061.999988425923</c:v>
                </c:pt>
                <c:pt idx="10">
                  <c:v>0</c:v>
                </c:pt>
                <c:pt idx="11">
                  <c:v>0</c:v>
                </c:pt>
                <c:pt idx="12">
                  <c:v>46064.999988425923</c:v>
                </c:pt>
                <c:pt idx="13">
                  <c:v>0</c:v>
                </c:pt>
                <c:pt idx="14">
                  <c:v>0</c:v>
                </c:pt>
                <c:pt idx="15">
                  <c:v>46067.999988425923</c:v>
                </c:pt>
                <c:pt idx="16">
                  <c:v>0</c:v>
                </c:pt>
                <c:pt idx="17">
                  <c:v>0</c:v>
                </c:pt>
                <c:pt idx="18">
                  <c:v>46070.999988425923</c:v>
                </c:pt>
                <c:pt idx="19">
                  <c:v>0</c:v>
                </c:pt>
                <c:pt idx="20">
                  <c:v>0</c:v>
                </c:pt>
                <c:pt idx="21">
                  <c:v>46073.999988425923</c:v>
                </c:pt>
                <c:pt idx="22">
                  <c:v>0</c:v>
                </c:pt>
                <c:pt idx="23">
                  <c:v>0</c:v>
                </c:pt>
                <c:pt idx="24">
                  <c:v>46076.999988425923</c:v>
                </c:pt>
                <c:pt idx="25">
                  <c:v>0</c:v>
                </c:pt>
                <c:pt idx="26">
                  <c:v>0</c:v>
                </c:pt>
                <c:pt idx="27">
                  <c:v>46079.999988425923</c:v>
                </c:pt>
                <c:pt idx="28">
                  <c:v>0</c:v>
                </c:pt>
                <c:pt idx="29">
                  <c:v>0</c:v>
                </c:pt>
                <c:pt idx="30">
                  <c:v>46082.999988425923</c:v>
                </c:pt>
                <c:pt idx="31">
                  <c:v>0</c:v>
                </c:pt>
                <c:pt idx="32">
                  <c:v>0</c:v>
                </c:pt>
                <c:pt idx="33">
                  <c:v>46085.999988425923</c:v>
                </c:pt>
                <c:pt idx="34">
                  <c:v>0</c:v>
                </c:pt>
                <c:pt idx="35">
                  <c:v>0</c:v>
                </c:pt>
                <c:pt idx="36">
                  <c:v>46088.999988425923</c:v>
                </c:pt>
                <c:pt idx="37">
                  <c:v>0</c:v>
                </c:pt>
                <c:pt idx="38">
                  <c:v>0</c:v>
                </c:pt>
                <c:pt idx="39">
                  <c:v>46091.999988425923</c:v>
                </c:pt>
                <c:pt idx="40">
                  <c:v>0</c:v>
                </c:pt>
                <c:pt idx="41">
                  <c:v>0</c:v>
                </c:pt>
                <c:pt idx="42">
                  <c:v>46094.999988425923</c:v>
                </c:pt>
                <c:pt idx="43">
                  <c:v>0</c:v>
                </c:pt>
                <c:pt idx="44">
                  <c:v>0</c:v>
                </c:pt>
                <c:pt idx="45">
                  <c:v>46097.999988425923</c:v>
                </c:pt>
                <c:pt idx="46">
                  <c:v>0</c:v>
                </c:pt>
                <c:pt idx="47">
                  <c:v>0</c:v>
                </c:pt>
                <c:pt idx="48">
                  <c:v>46100.999988425923</c:v>
                </c:pt>
                <c:pt idx="49">
                  <c:v>0</c:v>
                </c:pt>
                <c:pt idx="50">
                  <c:v>0</c:v>
                </c:pt>
                <c:pt idx="51">
                  <c:v>46103.999988425923</c:v>
                </c:pt>
                <c:pt idx="52">
                  <c:v>0</c:v>
                </c:pt>
                <c:pt idx="53">
                  <c:v>0</c:v>
                </c:pt>
                <c:pt idx="54">
                  <c:v>46106.999988425923</c:v>
                </c:pt>
                <c:pt idx="55">
                  <c:v>0</c:v>
                </c:pt>
                <c:pt idx="56">
                  <c:v>0</c:v>
                </c:pt>
                <c:pt idx="57">
                  <c:v>46109.999988425923</c:v>
                </c:pt>
                <c:pt idx="58">
                  <c:v>0</c:v>
                </c:pt>
                <c:pt idx="59">
                  <c:v>0</c:v>
                </c:pt>
                <c:pt idx="60">
                  <c:v>46112.999988425923</c:v>
                </c:pt>
                <c:pt idx="61">
                  <c:v>0</c:v>
                </c:pt>
                <c:pt idx="62">
                  <c:v>0</c:v>
                </c:pt>
                <c:pt idx="63">
                  <c:v>46115.999988425923</c:v>
                </c:pt>
                <c:pt idx="64">
                  <c:v>0</c:v>
                </c:pt>
                <c:pt idx="65">
                  <c:v>0</c:v>
                </c:pt>
                <c:pt idx="66">
                  <c:v>46118.999988425923</c:v>
                </c:pt>
                <c:pt idx="67">
                  <c:v>0</c:v>
                </c:pt>
                <c:pt idx="68">
                  <c:v>0</c:v>
                </c:pt>
                <c:pt idx="69">
                  <c:v>46121.999988425923</c:v>
                </c:pt>
                <c:pt idx="70">
                  <c:v>0</c:v>
                </c:pt>
                <c:pt idx="71">
                  <c:v>0</c:v>
                </c:pt>
                <c:pt idx="72">
                  <c:v>46124.999988425923</c:v>
                </c:pt>
                <c:pt idx="73">
                  <c:v>0</c:v>
                </c:pt>
                <c:pt idx="74">
                  <c:v>0</c:v>
                </c:pt>
                <c:pt idx="75">
                  <c:v>46127.999988425923</c:v>
                </c:pt>
                <c:pt idx="76">
                  <c:v>0</c:v>
                </c:pt>
                <c:pt idx="77">
                  <c:v>0</c:v>
                </c:pt>
                <c:pt idx="78">
                  <c:v>46130.999988425923</c:v>
                </c:pt>
                <c:pt idx="79">
                  <c:v>0</c:v>
                </c:pt>
                <c:pt idx="80">
                  <c:v>0</c:v>
                </c:pt>
                <c:pt idx="81">
                  <c:v>46133.999988425923</c:v>
                </c:pt>
                <c:pt idx="82">
                  <c:v>0</c:v>
                </c:pt>
                <c:pt idx="83">
                  <c:v>0</c:v>
                </c:pt>
                <c:pt idx="84">
                  <c:v>46136.999988425923</c:v>
                </c:pt>
                <c:pt idx="85">
                  <c:v>0</c:v>
                </c:pt>
                <c:pt idx="86">
                  <c:v>0</c:v>
                </c:pt>
                <c:pt idx="87">
                  <c:v>46139.999988425923</c:v>
                </c:pt>
                <c:pt idx="88">
                  <c:v>0</c:v>
                </c:pt>
                <c:pt idx="89">
                  <c:v>0</c:v>
                </c:pt>
                <c:pt idx="90">
                  <c:v>46142.999988425923</c:v>
                </c:pt>
                <c:pt idx="91">
                  <c:v>0</c:v>
                </c:pt>
                <c:pt idx="92">
                  <c:v>0</c:v>
                </c:pt>
                <c:pt idx="93">
                  <c:v>46145.999988425923</c:v>
                </c:pt>
                <c:pt idx="94">
                  <c:v>0</c:v>
                </c:pt>
                <c:pt idx="95">
                  <c:v>0</c:v>
                </c:pt>
                <c:pt idx="96">
                  <c:v>46148.999988425923</c:v>
                </c:pt>
                <c:pt idx="97">
                  <c:v>46149.999988425923</c:v>
                </c:pt>
                <c:pt idx="98">
                  <c:v>0</c:v>
                </c:pt>
                <c:pt idx="99">
                  <c:v>0</c:v>
                </c:pt>
                <c:pt idx="100">
                  <c:v>46152.999988425923</c:v>
                </c:pt>
                <c:pt idx="101">
                  <c:v>0</c:v>
                </c:pt>
                <c:pt idx="102">
                  <c:v>46154.999988425923</c:v>
                </c:pt>
                <c:pt idx="103">
                  <c:v>0</c:v>
                </c:pt>
                <c:pt idx="104">
                  <c:v>0</c:v>
                </c:pt>
                <c:pt idx="105">
                  <c:v>46157.999988425923</c:v>
                </c:pt>
                <c:pt idx="106">
                  <c:v>0</c:v>
                </c:pt>
                <c:pt idx="107">
                  <c:v>0</c:v>
                </c:pt>
                <c:pt idx="108">
                  <c:v>46160.999988425923</c:v>
                </c:pt>
                <c:pt idx="109">
                  <c:v>46161.999988425923</c:v>
                </c:pt>
                <c:pt idx="110">
                  <c:v>0</c:v>
                </c:pt>
                <c:pt idx="111">
                  <c:v>46163.999988425923</c:v>
                </c:pt>
                <c:pt idx="112">
                  <c:v>46164.999988425923</c:v>
                </c:pt>
                <c:pt idx="113">
                  <c:v>0</c:v>
                </c:pt>
                <c:pt idx="114">
                  <c:v>46166.999988425923</c:v>
                </c:pt>
                <c:pt idx="115">
                  <c:v>0</c:v>
                </c:pt>
                <c:pt idx="116">
                  <c:v>0</c:v>
                </c:pt>
                <c:pt idx="117">
                  <c:v>46169.999988425923</c:v>
                </c:pt>
                <c:pt idx="118">
                  <c:v>0</c:v>
                </c:pt>
                <c:pt idx="119">
                  <c:v>0</c:v>
                </c:pt>
                <c:pt idx="120">
                  <c:v>46172.999988425923</c:v>
                </c:pt>
                <c:pt idx="121">
                  <c:v>0</c:v>
                </c:pt>
                <c:pt idx="122">
                  <c:v>0</c:v>
                </c:pt>
                <c:pt idx="123">
                  <c:v>46175.999988425923</c:v>
                </c:pt>
                <c:pt idx="124">
                  <c:v>46176.999988425923</c:v>
                </c:pt>
                <c:pt idx="125">
                  <c:v>0</c:v>
                </c:pt>
                <c:pt idx="126">
                  <c:v>46178.999988425923</c:v>
                </c:pt>
                <c:pt idx="127">
                  <c:v>0</c:v>
                </c:pt>
                <c:pt idx="128">
                  <c:v>0</c:v>
                </c:pt>
                <c:pt idx="129">
                  <c:v>46181.999988425923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46185.999988425923</c:v>
                </c:pt>
                <c:pt idx="134">
                  <c:v>0</c:v>
                </c:pt>
                <c:pt idx="135">
                  <c:v>0</c:v>
                </c:pt>
                <c:pt idx="136">
                  <c:v>46188.999988425923</c:v>
                </c:pt>
                <c:pt idx="137">
                  <c:v>0</c:v>
                </c:pt>
                <c:pt idx="138">
                  <c:v>46190.999988425923</c:v>
                </c:pt>
                <c:pt idx="139">
                  <c:v>0</c:v>
                </c:pt>
                <c:pt idx="140">
                  <c:v>0</c:v>
                </c:pt>
                <c:pt idx="141">
                  <c:v>46193.999988425923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46197.999988425923</c:v>
                </c:pt>
                <c:pt idx="146">
                  <c:v>0</c:v>
                </c:pt>
                <c:pt idx="147">
                  <c:v>0</c:v>
                </c:pt>
                <c:pt idx="148">
                  <c:v>46200.999988425923</c:v>
                </c:pt>
                <c:pt idx="149">
                  <c:v>0</c:v>
                </c:pt>
                <c:pt idx="150">
                  <c:v>0</c:v>
                </c:pt>
                <c:pt idx="151">
                  <c:v>46203.999988425923</c:v>
                </c:pt>
                <c:pt idx="152">
                  <c:v>0</c:v>
                </c:pt>
                <c:pt idx="153">
                  <c:v>0</c:v>
                </c:pt>
                <c:pt idx="154">
                  <c:v>46206.999988425923</c:v>
                </c:pt>
                <c:pt idx="155">
                  <c:v>0</c:v>
                </c:pt>
                <c:pt idx="156">
                  <c:v>0</c:v>
                </c:pt>
                <c:pt idx="157">
                  <c:v>46209.999988425923</c:v>
                </c:pt>
                <c:pt idx="158">
                  <c:v>0</c:v>
                </c:pt>
                <c:pt idx="159">
                  <c:v>0</c:v>
                </c:pt>
                <c:pt idx="160">
                  <c:v>46212.999988425923</c:v>
                </c:pt>
                <c:pt idx="161">
                  <c:v>0</c:v>
                </c:pt>
                <c:pt idx="162">
                  <c:v>0</c:v>
                </c:pt>
                <c:pt idx="163">
                  <c:v>46215.999988425923</c:v>
                </c:pt>
                <c:pt idx="164">
                  <c:v>0</c:v>
                </c:pt>
                <c:pt idx="165">
                  <c:v>0</c:v>
                </c:pt>
                <c:pt idx="166">
                  <c:v>46218.999988425923</c:v>
                </c:pt>
                <c:pt idx="167">
                  <c:v>0</c:v>
                </c:pt>
                <c:pt idx="168">
                  <c:v>0</c:v>
                </c:pt>
                <c:pt idx="169">
                  <c:v>46221.999988425923</c:v>
                </c:pt>
                <c:pt idx="170">
                  <c:v>0</c:v>
                </c:pt>
                <c:pt idx="171">
                  <c:v>0</c:v>
                </c:pt>
                <c:pt idx="172">
                  <c:v>46224.999988425923</c:v>
                </c:pt>
                <c:pt idx="173">
                  <c:v>0</c:v>
                </c:pt>
                <c:pt idx="174">
                  <c:v>0</c:v>
                </c:pt>
                <c:pt idx="175">
                  <c:v>46227.999988425923</c:v>
                </c:pt>
                <c:pt idx="176">
                  <c:v>0</c:v>
                </c:pt>
                <c:pt idx="177">
                  <c:v>0</c:v>
                </c:pt>
                <c:pt idx="178">
                  <c:v>46230.999988425923</c:v>
                </c:pt>
                <c:pt idx="179">
                  <c:v>0</c:v>
                </c:pt>
                <c:pt idx="180">
                  <c:v>0</c:v>
                </c:pt>
                <c:pt idx="181">
                  <c:v>46233.999988425923</c:v>
                </c:pt>
                <c:pt idx="182">
                  <c:v>0</c:v>
                </c:pt>
                <c:pt idx="183">
                  <c:v>0</c:v>
                </c:pt>
                <c:pt idx="184">
                  <c:v>46236.999988425923</c:v>
                </c:pt>
                <c:pt idx="185">
                  <c:v>0</c:v>
                </c:pt>
                <c:pt idx="186">
                  <c:v>0</c:v>
                </c:pt>
                <c:pt idx="187">
                  <c:v>46239.999988425923</c:v>
                </c:pt>
                <c:pt idx="188">
                  <c:v>0</c:v>
                </c:pt>
                <c:pt idx="189">
                  <c:v>0</c:v>
                </c:pt>
                <c:pt idx="190">
                  <c:v>46242.999988425923</c:v>
                </c:pt>
                <c:pt idx="191">
                  <c:v>0</c:v>
                </c:pt>
                <c:pt idx="192">
                  <c:v>0</c:v>
                </c:pt>
                <c:pt idx="193">
                  <c:v>46245.999988425923</c:v>
                </c:pt>
                <c:pt idx="194">
                  <c:v>0</c:v>
                </c:pt>
              </c:numCache>
            </c:numRef>
          </c:cat>
          <c:val>
            <c:numRef>
              <c:f>calculations!$AK$31:$AK$225</c:f>
              <c:numCache>
                <c:formatCode>_-* #,##0_-;\-* #,##0_-;_-* "-"??_-;_-@_-</c:formatCode>
                <c:ptCount val="195"/>
                <c:pt idx="0">
                  <c:v>-164011.12566357933</c:v>
                </c:pt>
                <c:pt idx="1">
                  <c:v>-164011.12566357933</c:v>
                </c:pt>
                <c:pt idx="2">
                  <c:v>-164011.12566357933</c:v>
                </c:pt>
                <c:pt idx="3">
                  <c:v>96072.720642442466</c:v>
                </c:pt>
                <c:pt idx="4">
                  <c:v>96072.720642442466</c:v>
                </c:pt>
                <c:pt idx="5">
                  <c:v>96072.720642442466</c:v>
                </c:pt>
                <c:pt idx="6">
                  <c:v>-67569.824053855089</c:v>
                </c:pt>
                <c:pt idx="7">
                  <c:v>-67569.824053855089</c:v>
                </c:pt>
                <c:pt idx="8">
                  <c:v>-67569.824053855089</c:v>
                </c:pt>
                <c:pt idx="9">
                  <c:v>93456.769202646334</c:v>
                </c:pt>
                <c:pt idx="10">
                  <c:v>93456.769202646334</c:v>
                </c:pt>
                <c:pt idx="11">
                  <c:v>93456.769202646334</c:v>
                </c:pt>
                <c:pt idx="12">
                  <c:v>140755.75569035177</c:v>
                </c:pt>
                <c:pt idx="13">
                  <c:v>140755.75569035177</c:v>
                </c:pt>
                <c:pt idx="14">
                  <c:v>140755.75569035177</c:v>
                </c:pt>
                <c:pt idx="15">
                  <c:v>152808.58441921248</c:v>
                </c:pt>
                <c:pt idx="16">
                  <c:v>152808.58441921248</c:v>
                </c:pt>
                <c:pt idx="17">
                  <c:v>152808.58441921248</c:v>
                </c:pt>
                <c:pt idx="18">
                  <c:v>-25295.612270215701</c:v>
                </c:pt>
                <c:pt idx="19">
                  <c:v>-25295.612270215701</c:v>
                </c:pt>
                <c:pt idx="20">
                  <c:v>-25295.612270215701</c:v>
                </c:pt>
                <c:pt idx="21">
                  <c:v>307141.30891288188</c:v>
                </c:pt>
                <c:pt idx="22">
                  <c:v>307141.30891288188</c:v>
                </c:pt>
                <c:pt idx="23">
                  <c:v>307141.30891288188</c:v>
                </c:pt>
                <c:pt idx="24">
                  <c:v>-285849.65043052169</c:v>
                </c:pt>
                <c:pt idx="25">
                  <c:v>-285849.65043052169</c:v>
                </c:pt>
                <c:pt idx="26">
                  <c:v>-285849.65043052169</c:v>
                </c:pt>
                <c:pt idx="27">
                  <c:v>7508.913276833191</c:v>
                </c:pt>
                <c:pt idx="28">
                  <c:v>7508.913276833191</c:v>
                </c:pt>
                <c:pt idx="29">
                  <c:v>7508.913276833191</c:v>
                </c:pt>
                <c:pt idx="30">
                  <c:v>-23333.859144529852</c:v>
                </c:pt>
                <c:pt idx="31">
                  <c:v>-23333.859144529852</c:v>
                </c:pt>
                <c:pt idx="32">
                  <c:v>-23333.859144529852</c:v>
                </c:pt>
                <c:pt idx="33">
                  <c:v>85648.114394619362</c:v>
                </c:pt>
                <c:pt idx="34">
                  <c:v>85648.114394619362</c:v>
                </c:pt>
                <c:pt idx="35">
                  <c:v>85648.114394619362</c:v>
                </c:pt>
                <c:pt idx="36">
                  <c:v>429604.15740545001</c:v>
                </c:pt>
                <c:pt idx="37">
                  <c:v>429604.15740545001</c:v>
                </c:pt>
                <c:pt idx="38">
                  <c:v>429604.15740545001</c:v>
                </c:pt>
                <c:pt idx="39">
                  <c:v>458462.56973909691</c:v>
                </c:pt>
                <c:pt idx="40">
                  <c:v>458462.56973909691</c:v>
                </c:pt>
                <c:pt idx="41">
                  <c:v>458462.56973909691</c:v>
                </c:pt>
                <c:pt idx="42">
                  <c:v>626564.0179685778</c:v>
                </c:pt>
                <c:pt idx="43">
                  <c:v>626564.0179685778</c:v>
                </c:pt>
                <c:pt idx="44">
                  <c:v>626564.0179685778</c:v>
                </c:pt>
                <c:pt idx="45">
                  <c:v>906745.50720936409</c:v>
                </c:pt>
                <c:pt idx="46">
                  <c:v>906745.50720936409</c:v>
                </c:pt>
                <c:pt idx="47">
                  <c:v>906745.50720936409</c:v>
                </c:pt>
                <c:pt idx="48">
                  <c:v>755116.60361669306</c:v>
                </c:pt>
                <c:pt idx="49">
                  <c:v>755116.60361669306</c:v>
                </c:pt>
                <c:pt idx="50">
                  <c:v>755116.60361669306</c:v>
                </c:pt>
                <c:pt idx="51">
                  <c:v>645847.77966435999</c:v>
                </c:pt>
                <c:pt idx="52">
                  <c:v>645847.77966435999</c:v>
                </c:pt>
                <c:pt idx="53">
                  <c:v>645847.77966435999</c:v>
                </c:pt>
                <c:pt idx="54">
                  <c:v>687121.92575051577</c:v>
                </c:pt>
                <c:pt idx="55">
                  <c:v>687121.92575051577</c:v>
                </c:pt>
                <c:pt idx="56">
                  <c:v>687121.92575051577</c:v>
                </c:pt>
                <c:pt idx="57">
                  <c:v>702118.34666646644</c:v>
                </c:pt>
                <c:pt idx="58">
                  <c:v>702118.34666646644</c:v>
                </c:pt>
                <c:pt idx="59">
                  <c:v>702118.34666646644</c:v>
                </c:pt>
                <c:pt idx="60">
                  <c:v>441097.87104140798</c:v>
                </c:pt>
                <c:pt idx="61">
                  <c:v>441097.87104140798</c:v>
                </c:pt>
                <c:pt idx="62">
                  <c:v>441097.87104140798</c:v>
                </c:pt>
                <c:pt idx="63">
                  <c:v>699228.01668123819</c:v>
                </c:pt>
                <c:pt idx="64">
                  <c:v>699228.01668123819</c:v>
                </c:pt>
                <c:pt idx="65">
                  <c:v>699228.01668123819</c:v>
                </c:pt>
                <c:pt idx="66">
                  <c:v>576493.6104187842</c:v>
                </c:pt>
                <c:pt idx="67">
                  <c:v>576493.6104187842</c:v>
                </c:pt>
                <c:pt idx="68">
                  <c:v>576493.6104187842</c:v>
                </c:pt>
                <c:pt idx="69">
                  <c:v>579986.85653669981</c:v>
                </c:pt>
                <c:pt idx="70">
                  <c:v>579986.85653669981</c:v>
                </c:pt>
                <c:pt idx="71">
                  <c:v>579986.85653669981</c:v>
                </c:pt>
                <c:pt idx="72">
                  <c:v>290242.4202572339</c:v>
                </c:pt>
                <c:pt idx="73">
                  <c:v>290242.4202572339</c:v>
                </c:pt>
                <c:pt idx="74">
                  <c:v>290242.4202572339</c:v>
                </c:pt>
                <c:pt idx="75">
                  <c:v>522264.88110668852</c:v>
                </c:pt>
                <c:pt idx="76">
                  <c:v>522264.88110668852</c:v>
                </c:pt>
                <c:pt idx="77">
                  <c:v>522264.88110668852</c:v>
                </c:pt>
                <c:pt idx="78">
                  <c:v>560703.41156684386</c:v>
                </c:pt>
                <c:pt idx="79">
                  <c:v>560703.41156684386</c:v>
                </c:pt>
                <c:pt idx="80">
                  <c:v>560703.41156684386</c:v>
                </c:pt>
                <c:pt idx="81">
                  <c:v>473132.69347330963</c:v>
                </c:pt>
                <c:pt idx="82">
                  <c:v>473132.69347330963</c:v>
                </c:pt>
                <c:pt idx="83">
                  <c:v>473132.69347330963</c:v>
                </c:pt>
                <c:pt idx="84">
                  <c:v>237602.34459215624</c:v>
                </c:pt>
                <c:pt idx="85">
                  <c:v>237602.34459215624</c:v>
                </c:pt>
                <c:pt idx="86">
                  <c:v>237602.34459215624</c:v>
                </c:pt>
                <c:pt idx="87">
                  <c:v>17443.482116626692</c:v>
                </c:pt>
                <c:pt idx="88">
                  <c:v>17443.482116626692</c:v>
                </c:pt>
                <c:pt idx="89">
                  <c:v>17443.482116626692</c:v>
                </c:pt>
                <c:pt idx="90">
                  <c:v>229162.09663921362</c:v>
                </c:pt>
                <c:pt idx="91">
                  <c:v>229162.09663921362</c:v>
                </c:pt>
                <c:pt idx="92">
                  <c:v>229162.09663921362</c:v>
                </c:pt>
                <c:pt idx="93">
                  <c:v>299138.33028558211</c:v>
                </c:pt>
                <c:pt idx="94">
                  <c:v>299138.33028558211</c:v>
                </c:pt>
                <c:pt idx="95">
                  <c:v>299138.33028558211</c:v>
                </c:pt>
                <c:pt idx="96">
                  <c:v>-41945.696154038131</c:v>
                </c:pt>
                <c:pt idx="97">
                  <c:v>-41938.2585660556</c:v>
                </c:pt>
                <c:pt idx="98">
                  <c:v>-41938.2585660556</c:v>
                </c:pt>
                <c:pt idx="99">
                  <c:v>-41938.2585660556</c:v>
                </c:pt>
                <c:pt idx="100">
                  <c:v>-211061.12896785181</c:v>
                </c:pt>
                <c:pt idx="101">
                  <c:v>-211061.12896785181</c:v>
                </c:pt>
                <c:pt idx="102">
                  <c:v>-211029.69642236241</c:v>
                </c:pt>
                <c:pt idx="103">
                  <c:v>-211029.69642236241</c:v>
                </c:pt>
                <c:pt idx="104">
                  <c:v>-211029.69642236241</c:v>
                </c:pt>
                <c:pt idx="105">
                  <c:v>-145535.00544277119</c:v>
                </c:pt>
                <c:pt idx="106">
                  <c:v>-145535.00544277119</c:v>
                </c:pt>
                <c:pt idx="107">
                  <c:v>-145535.00544277119</c:v>
                </c:pt>
                <c:pt idx="108">
                  <c:v>-596479.17510914034</c:v>
                </c:pt>
                <c:pt idx="109">
                  <c:v>-596460.89430302707</c:v>
                </c:pt>
                <c:pt idx="110">
                  <c:v>-596460.89430302707</c:v>
                </c:pt>
                <c:pt idx="111">
                  <c:v>-939603.60759636573</c:v>
                </c:pt>
                <c:pt idx="112">
                  <c:v>-859291.48376673739</c:v>
                </c:pt>
                <c:pt idx="113">
                  <c:v>-859291.48376673739</c:v>
                </c:pt>
                <c:pt idx="114">
                  <c:v>-994767.83847285807</c:v>
                </c:pt>
                <c:pt idx="115">
                  <c:v>-994767.83847285807</c:v>
                </c:pt>
                <c:pt idx="116">
                  <c:v>-994767.83847285807</c:v>
                </c:pt>
                <c:pt idx="117">
                  <c:v>-650957.47396346694</c:v>
                </c:pt>
                <c:pt idx="118">
                  <c:v>-650957.47396346694</c:v>
                </c:pt>
                <c:pt idx="119">
                  <c:v>-650957.47396346694</c:v>
                </c:pt>
                <c:pt idx="120">
                  <c:v>-973396.38787366822</c:v>
                </c:pt>
                <c:pt idx="121">
                  <c:v>-973396.38787366822</c:v>
                </c:pt>
                <c:pt idx="122">
                  <c:v>-973396.38787366822</c:v>
                </c:pt>
                <c:pt idx="123">
                  <c:v>-642565.83846405614</c:v>
                </c:pt>
                <c:pt idx="124">
                  <c:v>-642572.81529720698</c:v>
                </c:pt>
                <c:pt idx="125">
                  <c:v>-642572.81529720698</c:v>
                </c:pt>
                <c:pt idx="126">
                  <c:v>-1069365.4668134106</c:v>
                </c:pt>
                <c:pt idx="127">
                  <c:v>-1069365.4668134106</c:v>
                </c:pt>
                <c:pt idx="128">
                  <c:v>-1069365.4668134106</c:v>
                </c:pt>
                <c:pt idx="129">
                  <c:v>-782016.03248330834</c:v>
                </c:pt>
                <c:pt idx="130">
                  <c:v>-782016.03248330834</c:v>
                </c:pt>
                <c:pt idx="131">
                  <c:v>-782016.03248330834</c:v>
                </c:pt>
                <c:pt idx="132">
                  <c:v>-782016.03248330834</c:v>
                </c:pt>
                <c:pt idx="133">
                  <c:v>-782007.81057224981</c:v>
                </c:pt>
                <c:pt idx="134">
                  <c:v>-782007.81057224981</c:v>
                </c:pt>
                <c:pt idx="135">
                  <c:v>-782007.81057224981</c:v>
                </c:pt>
                <c:pt idx="136">
                  <c:v>-1077382.065036945</c:v>
                </c:pt>
                <c:pt idx="137">
                  <c:v>-1077382.065036945</c:v>
                </c:pt>
                <c:pt idx="138">
                  <c:v>-1077381.0462836486</c:v>
                </c:pt>
                <c:pt idx="139">
                  <c:v>-1077381.0462836486</c:v>
                </c:pt>
                <c:pt idx="140">
                  <c:v>-1077381.0462836486</c:v>
                </c:pt>
                <c:pt idx="141">
                  <c:v>-432421.37491784419</c:v>
                </c:pt>
                <c:pt idx="142">
                  <c:v>-432421.37491784419</c:v>
                </c:pt>
                <c:pt idx="143">
                  <c:v>-432421.37491784419</c:v>
                </c:pt>
                <c:pt idx="144">
                  <c:v>-432421.37491784419</c:v>
                </c:pt>
                <c:pt idx="145">
                  <c:v>-432417.01732611837</c:v>
                </c:pt>
                <c:pt idx="146">
                  <c:v>-432417.01732611837</c:v>
                </c:pt>
                <c:pt idx="147">
                  <c:v>-432417.01732611837</c:v>
                </c:pt>
                <c:pt idx="148">
                  <c:v>-980740.71769636148</c:v>
                </c:pt>
                <c:pt idx="149">
                  <c:v>-980740.71769636148</c:v>
                </c:pt>
                <c:pt idx="150">
                  <c:v>-980740.71769636148</c:v>
                </c:pt>
                <c:pt idx="151">
                  <c:v>-569947.4455710469</c:v>
                </c:pt>
                <c:pt idx="152">
                  <c:v>-569947.4455710469</c:v>
                </c:pt>
                <c:pt idx="153">
                  <c:v>-569947.4455710469</c:v>
                </c:pt>
                <c:pt idx="154">
                  <c:v>-504512.07198726118</c:v>
                </c:pt>
                <c:pt idx="155">
                  <c:v>-504512.07198726118</c:v>
                </c:pt>
                <c:pt idx="156">
                  <c:v>-504512.07198726118</c:v>
                </c:pt>
                <c:pt idx="157">
                  <c:v>-751904.118261114</c:v>
                </c:pt>
                <c:pt idx="158">
                  <c:v>-751904.118261114</c:v>
                </c:pt>
                <c:pt idx="159">
                  <c:v>-751904.118261114</c:v>
                </c:pt>
                <c:pt idx="160">
                  <c:v>-1285203.229998209</c:v>
                </c:pt>
                <c:pt idx="161">
                  <c:v>-1285203.229998209</c:v>
                </c:pt>
                <c:pt idx="162">
                  <c:v>-1285203.229998209</c:v>
                </c:pt>
                <c:pt idx="163">
                  <c:v>-831097.08607690013</c:v>
                </c:pt>
                <c:pt idx="164">
                  <c:v>-831097.08607690013</c:v>
                </c:pt>
                <c:pt idx="165">
                  <c:v>-831097.08607690013</c:v>
                </c:pt>
                <c:pt idx="166">
                  <c:v>-1216582.7108076105</c:v>
                </c:pt>
                <c:pt idx="167">
                  <c:v>-1216582.7108076105</c:v>
                </c:pt>
                <c:pt idx="168">
                  <c:v>-1216582.7108076105</c:v>
                </c:pt>
                <c:pt idx="169">
                  <c:v>-1487365.2395494615</c:v>
                </c:pt>
                <c:pt idx="170">
                  <c:v>-1487365.2395494615</c:v>
                </c:pt>
                <c:pt idx="171">
                  <c:v>-1487365.2395494615</c:v>
                </c:pt>
                <c:pt idx="172">
                  <c:v>-1169547.1921367419</c:v>
                </c:pt>
                <c:pt idx="173">
                  <c:v>-1169547.1921367419</c:v>
                </c:pt>
                <c:pt idx="174">
                  <c:v>-1169547.1921367419</c:v>
                </c:pt>
                <c:pt idx="175">
                  <c:v>-888151.62963363342</c:v>
                </c:pt>
                <c:pt idx="176">
                  <c:v>-888151.62963363342</c:v>
                </c:pt>
                <c:pt idx="177">
                  <c:v>-888151.62963363342</c:v>
                </c:pt>
                <c:pt idx="178">
                  <c:v>-921484.25661051192</c:v>
                </c:pt>
                <c:pt idx="179">
                  <c:v>-921484.25661051192</c:v>
                </c:pt>
                <c:pt idx="180">
                  <c:v>-921484.25661051192</c:v>
                </c:pt>
                <c:pt idx="181">
                  <c:v>-697879.96102881548</c:v>
                </c:pt>
                <c:pt idx="182">
                  <c:v>-697879.96102881548</c:v>
                </c:pt>
                <c:pt idx="183">
                  <c:v>-697879.96102881548</c:v>
                </c:pt>
                <c:pt idx="184">
                  <c:v>-467431.20407160308</c:v>
                </c:pt>
                <c:pt idx="185">
                  <c:v>-467431.20407160308</c:v>
                </c:pt>
                <c:pt idx="186">
                  <c:v>-467431.20407160308</c:v>
                </c:pt>
                <c:pt idx="187">
                  <c:v>-685033.86145120393</c:v>
                </c:pt>
                <c:pt idx="188">
                  <c:v>-685033.86145120393</c:v>
                </c:pt>
                <c:pt idx="189">
                  <c:v>-685033.86145120393</c:v>
                </c:pt>
                <c:pt idx="190">
                  <c:v>-993918.88886254351</c:v>
                </c:pt>
                <c:pt idx="191">
                  <c:v>-993918.88886254351</c:v>
                </c:pt>
                <c:pt idx="192">
                  <c:v>-993918.88886254351</c:v>
                </c:pt>
                <c:pt idx="193">
                  <c:v>-1265417.7905104486</c:v>
                </c:pt>
                <c:pt idx="194">
                  <c:v>-1265417.7905104486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11-4272-9C2A-C3EAEBFB5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847775"/>
        <c:axId val="944848255"/>
      </c:lineChart>
      <c:dateAx>
        <c:axId val="944847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48255"/>
        <c:crosses val="autoZero"/>
        <c:auto val="1"/>
        <c:lblOffset val="100"/>
        <c:baseTimeUnit val="days"/>
      </c:dateAx>
      <c:valAx>
        <c:axId val="9448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8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428625</xdr:colOff>
      <xdr:row>172</xdr:row>
      <xdr:rowOff>0</xdr:rowOff>
    </xdr:from>
    <xdr:to>
      <xdr:col>63</xdr:col>
      <xdr:colOff>476250</xdr:colOff>
      <xdr:row>211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D8DFC1-B31D-4A10-A0E8-5E5BFD904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466726</xdr:colOff>
      <xdr:row>213</xdr:row>
      <xdr:rowOff>47625</xdr:rowOff>
    </xdr:from>
    <xdr:to>
      <xdr:col>63</xdr:col>
      <xdr:colOff>361950</xdr:colOff>
      <xdr:row>239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62EA3A-61C0-F4B9-C902-49A6CB386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4219-BA04-4192-B3A0-1D9C381A00A3}">
  <dimension ref="A1:N6936"/>
  <sheetViews>
    <sheetView workbookViewId="0">
      <selection activeCell="C1" sqref="C1"/>
    </sheetView>
  </sheetViews>
  <sheetFormatPr defaultRowHeight="15" x14ac:dyDescent="0.25"/>
  <cols>
    <col min="1" max="1" width="15.85546875" bestFit="1" customWidth="1"/>
    <col min="2" max="2" width="24.5703125" bestFit="1" customWidth="1"/>
    <col min="3" max="3" width="15.5703125" bestFit="1" customWidth="1"/>
    <col min="4" max="5" width="12" bestFit="1" customWidth="1"/>
    <col min="6" max="6" width="15.85546875" bestFit="1" customWidth="1"/>
    <col min="7" max="7" width="12" bestFit="1" customWidth="1"/>
    <col min="8" max="8" width="12.7109375" bestFit="1" customWidth="1"/>
    <col min="9" max="9" width="13.140625" bestFit="1" customWidth="1"/>
    <col min="10" max="10" width="26.85546875" bestFit="1" customWidth="1"/>
    <col min="11" max="11" width="12" bestFit="1" customWidth="1"/>
    <col min="12" max="12" width="9.28515625" bestFit="1" customWidth="1"/>
    <col min="13" max="13" width="13.140625" bestFit="1" customWidth="1"/>
    <col min="14" max="14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14</v>
      </c>
      <c r="C2" s="1">
        <v>46246.999988425923</v>
      </c>
      <c r="D2">
        <v>25.154981297255802</v>
      </c>
      <c r="E2">
        <v>150394.11315312501</v>
      </c>
      <c r="F2" s="1">
        <v>46246.605821759258</v>
      </c>
      <c r="G2">
        <v>52.876186847654303</v>
      </c>
      <c r="H2" t="s">
        <v>15</v>
      </c>
      <c r="J2" t="s">
        <v>16</v>
      </c>
      <c r="K2">
        <v>577007.90534456098</v>
      </c>
      <c r="L2" t="s">
        <v>17</v>
      </c>
      <c r="M2">
        <v>0</v>
      </c>
      <c r="N2">
        <v>0.26064480531391898</v>
      </c>
    </row>
    <row r="3" spans="1:14" x14ac:dyDescent="0.25">
      <c r="B3" t="s">
        <v>14</v>
      </c>
      <c r="C3" s="1">
        <v>46245.999988425923</v>
      </c>
      <c r="D3">
        <v>25.154981297255802</v>
      </c>
      <c r="E3">
        <v>530384.24758887198</v>
      </c>
      <c r="F3" s="1">
        <v>46243.09915509259</v>
      </c>
      <c r="G3">
        <v>52.876186847654303</v>
      </c>
      <c r="H3" t="s">
        <v>15</v>
      </c>
      <c r="J3" t="s">
        <v>16</v>
      </c>
      <c r="K3">
        <v>577007.90534456098</v>
      </c>
      <c r="L3" t="s">
        <v>17</v>
      </c>
      <c r="M3">
        <v>379990.13443574699</v>
      </c>
      <c r="N3">
        <v>0.91919754075492699</v>
      </c>
    </row>
    <row r="4" spans="1:14" x14ac:dyDescent="0.25">
      <c r="B4" t="s">
        <v>14</v>
      </c>
      <c r="C4" s="1">
        <v>46244.999988425923</v>
      </c>
      <c r="D4">
        <v>25.154981297255802</v>
      </c>
      <c r="E4">
        <v>530384.24758887198</v>
      </c>
      <c r="F4" s="1">
        <v>46243.09915509259</v>
      </c>
      <c r="G4">
        <v>52.876186847654303</v>
      </c>
      <c r="H4" t="s">
        <v>15</v>
      </c>
      <c r="J4" t="s">
        <v>16</v>
      </c>
      <c r="K4">
        <v>577007.90534456098</v>
      </c>
      <c r="L4" t="s">
        <v>17</v>
      </c>
      <c r="M4">
        <v>0</v>
      </c>
      <c r="N4">
        <v>0.91919754075492699</v>
      </c>
    </row>
    <row r="5" spans="1:14" x14ac:dyDescent="0.25">
      <c r="B5" t="s">
        <v>14</v>
      </c>
      <c r="C5" s="1">
        <v>46243.999988425923</v>
      </c>
      <c r="D5">
        <v>25.154981297255802</v>
      </c>
      <c r="E5">
        <v>530384.24758887198</v>
      </c>
      <c r="F5" s="1">
        <v>46243.09915509259</v>
      </c>
      <c r="G5">
        <v>52.876186847654303</v>
      </c>
      <c r="H5" t="s">
        <v>15</v>
      </c>
      <c r="J5" t="s">
        <v>16</v>
      </c>
      <c r="K5">
        <v>577007.90534456098</v>
      </c>
      <c r="L5" t="s">
        <v>17</v>
      </c>
      <c r="M5">
        <v>0</v>
      </c>
      <c r="N5">
        <v>0.91919754075492699</v>
      </c>
    </row>
    <row r="6" spans="1:14" x14ac:dyDescent="0.25">
      <c r="B6" t="s">
        <v>14</v>
      </c>
      <c r="C6" s="1">
        <v>46242.999988425923</v>
      </c>
      <c r="D6">
        <v>25.154981297255802</v>
      </c>
      <c r="E6">
        <v>139675.495440923</v>
      </c>
      <c r="F6" s="1">
        <v>46240.605520833335</v>
      </c>
      <c r="G6">
        <v>52.876186847654303</v>
      </c>
      <c r="H6" t="s">
        <v>15</v>
      </c>
      <c r="J6" t="s">
        <v>16</v>
      </c>
      <c r="K6">
        <v>577007.90534456098</v>
      </c>
      <c r="L6" t="s">
        <v>17</v>
      </c>
      <c r="M6">
        <v>-390708.75214794901</v>
      </c>
      <c r="N6">
        <v>0.24206859931583799</v>
      </c>
    </row>
    <row r="7" spans="1:14" x14ac:dyDescent="0.25">
      <c r="B7" t="s">
        <v>14</v>
      </c>
      <c r="C7" s="1">
        <v>46241.999988425923</v>
      </c>
      <c r="D7">
        <v>25.154981297255802</v>
      </c>
      <c r="E7">
        <v>139675.495440923</v>
      </c>
      <c r="F7" s="1">
        <v>46240.605520833335</v>
      </c>
      <c r="G7">
        <v>52.876186847654303</v>
      </c>
      <c r="H7" t="s">
        <v>15</v>
      </c>
      <c r="J7" t="s">
        <v>16</v>
      </c>
      <c r="K7">
        <v>577007.90534456098</v>
      </c>
      <c r="L7" t="s">
        <v>17</v>
      </c>
      <c r="M7">
        <v>0</v>
      </c>
      <c r="N7">
        <v>0.24206859931583799</v>
      </c>
    </row>
    <row r="8" spans="1:14" x14ac:dyDescent="0.25">
      <c r="B8" t="s">
        <v>14</v>
      </c>
      <c r="C8" s="1">
        <v>46240.999988425923</v>
      </c>
      <c r="D8">
        <v>25.154981297255802</v>
      </c>
      <c r="E8">
        <v>139675.495440923</v>
      </c>
      <c r="F8" s="1">
        <v>46240.605520833335</v>
      </c>
      <c r="G8">
        <v>52.876186847654303</v>
      </c>
      <c r="H8" t="s">
        <v>15</v>
      </c>
      <c r="J8" t="s">
        <v>16</v>
      </c>
      <c r="K8">
        <v>577007.90534456098</v>
      </c>
      <c r="L8" t="s">
        <v>17</v>
      </c>
      <c r="M8">
        <v>0</v>
      </c>
      <c r="N8">
        <v>0.24206859931583799</v>
      </c>
    </row>
    <row r="9" spans="1:14" x14ac:dyDescent="0.25">
      <c r="B9" t="s">
        <v>14</v>
      </c>
      <c r="C9" s="1">
        <v>46239.999988425923</v>
      </c>
      <c r="D9">
        <v>25.154981297255802</v>
      </c>
      <c r="E9">
        <v>208982.61837515101</v>
      </c>
      <c r="F9" s="1">
        <v>46237.099328703705</v>
      </c>
      <c r="G9">
        <v>52.876186847654303</v>
      </c>
      <c r="H9" t="s">
        <v>15</v>
      </c>
      <c r="J9" t="s">
        <v>16</v>
      </c>
      <c r="K9">
        <v>577007.90534456098</v>
      </c>
      <c r="L9" t="s">
        <v>17</v>
      </c>
      <c r="M9">
        <v>69307.122934227693</v>
      </c>
      <c r="N9">
        <v>0.36218328456064502</v>
      </c>
    </row>
    <row r="10" spans="1:14" x14ac:dyDescent="0.25">
      <c r="B10" t="s">
        <v>14</v>
      </c>
      <c r="C10" s="1">
        <v>46238.999988425923</v>
      </c>
      <c r="D10">
        <v>25.154981297255802</v>
      </c>
      <c r="E10">
        <v>208982.61837515101</v>
      </c>
      <c r="F10" s="1">
        <v>46237.099328703705</v>
      </c>
      <c r="G10">
        <v>52.876186847654303</v>
      </c>
      <c r="H10" t="s">
        <v>15</v>
      </c>
      <c r="J10" t="s">
        <v>16</v>
      </c>
      <c r="K10">
        <v>577007.90534456098</v>
      </c>
      <c r="L10" t="s">
        <v>17</v>
      </c>
      <c r="M10">
        <v>0</v>
      </c>
      <c r="N10">
        <v>0.36218328456064502</v>
      </c>
    </row>
    <row r="11" spans="1:14" x14ac:dyDescent="0.25">
      <c r="B11" t="s">
        <v>14</v>
      </c>
      <c r="C11" s="1">
        <v>46237.999988425923</v>
      </c>
      <c r="D11">
        <v>25.154981297255802</v>
      </c>
      <c r="E11">
        <v>208982.61837515101</v>
      </c>
      <c r="F11" s="1">
        <v>46237.099328703705</v>
      </c>
      <c r="G11">
        <v>52.876186847654303</v>
      </c>
      <c r="H11" t="s">
        <v>15</v>
      </c>
      <c r="J11" t="s">
        <v>16</v>
      </c>
      <c r="K11">
        <v>577007.90534456098</v>
      </c>
      <c r="L11" t="s">
        <v>17</v>
      </c>
      <c r="M11">
        <v>0</v>
      </c>
      <c r="N11">
        <v>0.36218328456064502</v>
      </c>
    </row>
    <row r="12" spans="1:14" x14ac:dyDescent="0.25">
      <c r="B12" t="s">
        <v>14</v>
      </c>
      <c r="C12" s="1">
        <v>46236.999988425923</v>
      </c>
      <c r="D12">
        <v>25.154981297255802</v>
      </c>
      <c r="E12">
        <v>297663.57981465</v>
      </c>
      <c r="F12" s="1">
        <v>46234.605810185189</v>
      </c>
      <c r="G12">
        <v>52.876186847654303</v>
      </c>
      <c r="H12" t="s">
        <v>15</v>
      </c>
      <c r="J12" t="s">
        <v>16</v>
      </c>
      <c r="K12">
        <v>577007.90534456098</v>
      </c>
      <c r="L12" t="s">
        <v>17</v>
      </c>
      <c r="M12">
        <v>88680.961439499195</v>
      </c>
      <c r="N12">
        <v>0.51587435294651596</v>
      </c>
    </row>
    <row r="13" spans="1:14" x14ac:dyDescent="0.25">
      <c r="B13" t="s">
        <v>14</v>
      </c>
      <c r="C13" s="1">
        <v>46235.999988425923</v>
      </c>
      <c r="D13">
        <v>25.154981297255802</v>
      </c>
      <c r="E13">
        <v>297663.57981465</v>
      </c>
      <c r="F13" s="1">
        <v>46234.605810185189</v>
      </c>
      <c r="G13">
        <v>52.876186847654303</v>
      </c>
      <c r="H13" t="s">
        <v>15</v>
      </c>
      <c r="J13" t="s">
        <v>16</v>
      </c>
      <c r="K13">
        <v>577007.90534456098</v>
      </c>
      <c r="L13" t="s">
        <v>17</v>
      </c>
      <c r="M13">
        <v>0</v>
      </c>
      <c r="N13">
        <v>0.51587435294651596</v>
      </c>
    </row>
    <row r="14" spans="1:14" x14ac:dyDescent="0.25">
      <c r="B14" t="s">
        <v>14</v>
      </c>
      <c r="C14" s="1">
        <v>46234.999988425923</v>
      </c>
      <c r="D14">
        <v>25.154981297255802</v>
      </c>
      <c r="E14">
        <v>297663.57981465</v>
      </c>
      <c r="F14" s="1">
        <v>46234.605810185189</v>
      </c>
      <c r="G14">
        <v>52.876186847654303</v>
      </c>
      <c r="H14" t="s">
        <v>15</v>
      </c>
      <c r="J14" t="s">
        <v>16</v>
      </c>
      <c r="K14">
        <v>577007.90534456098</v>
      </c>
      <c r="L14" t="s">
        <v>17</v>
      </c>
      <c r="M14">
        <v>0</v>
      </c>
      <c r="N14">
        <v>0.51587435294651596</v>
      </c>
    </row>
    <row r="15" spans="1:14" x14ac:dyDescent="0.25">
      <c r="B15" t="s">
        <v>14</v>
      </c>
      <c r="C15" s="1">
        <v>46233.999988425923</v>
      </c>
      <c r="D15">
        <v>25.154981297255802</v>
      </c>
      <c r="E15">
        <v>533068.478266116</v>
      </c>
      <c r="F15" s="1">
        <v>46231.09915509259</v>
      </c>
      <c r="G15">
        <v>52.876186847654303</v>
      </c>
      <c r="H15" t="s">
        <v>15</v>
      </c>
      <c r="J15" t="s">
        <v>16</v>
      </c>
      <c r="K15">
        <v>577007.90534456098</v>
      </c>
      <c r="L15" t="s">
        <v>17</v>
      </c>
      <c r="M15">
        <v>235404.89845146501</v>
      </c>
      <c r="N15">
        <v>0.92384952325357295</v>
      </c>
    </row>
    <row r="16" spans="1:14" x14ac:dyDescent="0.25">
      <c r="B16" t="s">
        <v>14</v>
      </c>
      <c r="C16" s="1">
        <v>46232.999988425923</v>
      </c>
      <c r="D16">
        <v>25.154981297255802</v>
      </c>
      <c r="E16">
        <v>533068.478266116</v>
      </c>
      <c r="F16" s="1">
        <v>46231.09915509259</v>
      </c>
      <c r="G16">
        <v>52.876186847654303</v>
      </c>
      <c r="H16" t="s">
        <v>15</v>
      </c>
      <c r="J16" t="s">
        <v>16</v>
      </c>
      <c r="K16">
        <v>577007.90534456098</v>
      </c>
      <c r="L16" t="s">
        <v>17</v>
      </c>
      <c r="M16">
        <v>0</v>
      </c>
      <c r="N16">
        <v>0.92384952325357295</v>
      </c>
    </row>
    <row r="17" spans="2:14" x14ac:dyDescent="0.25">
      <c r="B17" t="s">
        <v>14</v>
      </c>
      <c r="C17" s="1">
        <v>46231.999988425923</v>
      </c>
      <c r="D17">
        <v>25.154981297255802</v>
      </c>
      <c r="E17">
        <v>533068.478266116</v>
      </c>
      <c r="F17" s="1">
        <v>46231.09915509259</v>
      </c>
      <c r="G17">
        <v>52.876186847654303</v>
      </c>
      <c r="H17" t="s">
        <v>15</v>
      </c>
      <c r="J17" t="s">
        <v>16</v>
      </c>
      <c r="K17">
        <v>577007.90534456098</v>
      </c>
      <c r="L17" t="s">
        <v>17</v>
      </c>
      <c r="M17">
        <v>0</v>
      </c>
      <c r="N17">
        <v>0.92384952325357295</v>
      </c>
    </row>
    <row r="18" spans="2:14" x14ac:dyDescent="0.25">
      <c r="B18" t="s">
        <v>14</v>
      </c>
      <c r="C18" s="1">
        <v>46230.999988425923</v>
      </c>
      <c r="D18">
        <v>25.154981297255802</v>
      </c>
      <c r="E18">
        <v>455166.68642572098</v>
      </c>
      <c r="F18" s="1">
        <v>46228.605520833335</v>
      </c>
      <c r="G18">
        <v>52.876186847654303</v>
      </c>
      <c r="H18" t="s">
        <v>15</v>
      </c>
      <c r="J18" t="s">
        <v>16</v>
      </c>
      <c r="K18">
        <v>577007.90534456098</v>
      </c>
      <c r="L18" t="s">
        <v>17</v>
      </c>
      <c r="M18">
        <v>-77901.791840394901</v>
      </c>
      <c r="N18">
        <v>0.788839602039624</v>
      </c>
    </row>
    <row r="19" spans="2:14" x14ac:dyDescent="0.25">
      <c r="B19" t="s">
        <v>14</v>
      </c>
      <c r="C19" s="1">
        <v>46229.999988425923</v>
      </c>
      <c r="D19">
        <v>25.154981297255802</v>
      </c>
      <c r="E19">
        <v>455166.68642572098</v>
      </c>
      <c r="F19" s="1">
        <v>46228.605520833335</v>
      </c>
      <c r="G19">
        <v>52.876186847654303</v>
      </c>
      <c r="H19" t="s">
        <v>15</v>
      </c>
      <c r="J19" t="s">
        <v>16</v>
      </c>
      <c r="K19">
        <v>577007.90534456098</v>
      </c>
      <c r="L19" t="s">
        <v>17</v>
      </c>
      <c r="M19">
        <v>0</v>
      </c>
      <c r="N19">
        <v>0.788839602039624</v>
      </c>
    </row>
    <row r="20" spans="2:14" x14ac:dyDescent="0.25">
      <c r="B20" t="s">
        <v>14</v>
      </c>
      <c r="C20" s="1">
        <v>46228.999988425923</v>
      </c>
      <c r="D20">
        <v>25.154981297255802</v>
      </c>
      <c r="E20">
        <v>455166.68642572098</v>
      </c>
      <c r="F20" s="1">
        <v>46228.605520833335</v>
      </c>
      <c r="G20">
        <v>52.876186847654303</v>
      </c>
      <c r="H20" t="s">
        <v>15</v>
      </c>
      <c r="J20" t="s">
        <v>16</v>
      </c>
      <c r="K20">
        <v>577007.90534456098</v>
      </c>
      <c r="L20" t="s">
        <v>17</v>
      </c>
      <c r="M20">
        <v>0</v>
      </c>
      <c r="N20">
        <v>0.788839602039624</v>
      </c>
    </row>
    <row r="21" spans="2:14" x14ac:dyDescent="0.25">
      <c r="B21" t="s">
        <v>14</v>
      </c>
      <c r="C21" s="1">
        <v>46227.999988425923</v>
      </c>
      <c r="D21">
        <v>25.154981297255802</v>
      </c>
      <c r="E21">
        <v>152742.827604305</v>
      </c>
      <c r="F21" s="1">
        <v>46225.099317129629</v>
      </c>
      <c r="G21">
        <v>52.876186847654303</v>
      </c>
      <c r="H21" t="s">
        <v>15</v>
      </c>
      <c r="J21" t="s">
        <v>16</v>
      </c>
      <c r="K21">
        <v>577007.90534456098</v>
      </c>
      <c r="L21" t="s">
        <v>17</v>
      </c>
      <c r="M21">
        <v>-302423.85882141499</v>
      </c>
      <c r="N21">
        <v>0.26471531185191399</v>
      </c>
    </row>
    <row r="22" spans="2:14" x14ac:dyDescent="0.25">
      <c r="B22" t="s">
        <v>14</v>
      </c>
      <c r="C22" s="1">
        <v>46226.999988425923</v>
      </c>
      <c r="D22">
        <v>25.154981297255802</v>
      </c>
      <c r="E22">
        <v>152742.827604305</v>
      </c>
      <c r="F22" s="1">
        <v>46225.099317129629</v>
      </c>
      <c r="G22">
        <v>52.876186847654303</v>
      </c>
      <c r="H22" t="s">
        <v>15</v>
      </c>
      <c r="J22" t="s">
        <v>16</v>
      </c>
      <c r="K22">
        <v>577007.90534456098</v>
      </c>
      <c r="L22" t="s">
        <v>17</v>
      </c>
      <c r="M22">
        <v>0</v>
      </c>
      <c r="N22">
        <v>0.26471531185191399</v>
      </c>
    </row>
    <row r="23" spans="2:14" x14ac:dyDescent="0.25">
      <c r="B23" t="s">
        <v>14</v>
      </c>
      <c r="C23" s="1">
        <v>46225.999988425923</v>
      </c>
      <c r="D23">
        <v>25.154981297255802</v>
      </c>
      <c r="E23">
        <v>152742.827604305</v>
      </c>
      <c r="F23" s="1">
        <v>46225.099317129629</v>
      </c>
      <c r="G23">
        <v>52.876186847654303</v>
      </c>
      <c r="H23" t="s">
        <v>15</v>
      </c>
      <c r="J23" t="s">
        <v>16</v>
      </c>
      <c r="K23">
        <v>577007.90534456098</v>
      </c>
      <c r="L23" t="s">
        <v>17</v>
      </c>
      <c r="M23">
        <v>0</v>
      </c>
      <c r="N23">
        <v>0.26471531185191399</v>
      </c>
    </row>
    <row r="24" spans="2:14" x14ac:dyDescent="0.25">
      <c r="B24" t="s">
        <v>14</v>
      </c>
      <c r="C24" s="1">
        <v>46224.999988425923</v>
      </c>
      <c r="D24">
        <v>25.154981297255802</v>
      </c>
      <c r="E24">
        <v>523808.89063606301</v>
      </c>
      <c r="F24" s="1">
        <v>46222.605810185189</v>
      </c>
      <c r="G24">
        <v>52.876186847654303</v>
      </c>
      <c r="H24" t="s">
        <v>15</v>
      </c>
      <c r="J24" t="s">
        <v>16</v>
      </c>
      <c r="K24">
        <v>577007.90534456098</v>
      </c>
      <c r="L24" t="s">
        <v>17</v>
      </c>
      <c r="M24">
        <v>371066.06303175801</v>
      </c>
      <c r="N24">
        <v>0.90780193093415196</v>
      </c>
    </row>
    <row r="25" spans="2:14" x14ac:dyDescent="0.25">
      <c r="B25" t="s">
        <v>14</v>
      </c>
      <c r="C25" s="1">
        <v>46223.999988425923</v>
      </c>
      <c r="D25">
        <v>25.154981297255802</v>
      </c>
      <c r="E25">
        <v>523808.89063606301</v>
      </c>
      <c r="F25" s="1">
        <v>46222.605810185189</v>
      </c>
      <c r="G25">
        <v>52.876186847654303</v>
      </c>
      <c r="H25" t="s">
        <v>15</v>
      </c>
      <c r="J25" t="s">
        <v>16</v>
      </c>
      <c r="K25">
        <v>577007.90534456098</v>
      </c>
      <c r="L25" t="s">
        <v>17</v>
      </c>
      <c r="M25">
        <v>0</v>
      </c>
      <c r="N25">
        <v>0.90780193093415196</v>
      </c>
    </row>
    <row r="26" spans="2:14" x14ac:dyDescent="0.25">
      <c r="B26" t="s">
        <v>14</v>
      </c>
      <c r="C26" s="1">
        <v>46222.999988425923</v>
      </c>
      <c r="D26">
        <v>25.154981297255802</v>
      </c>
      <c r="E26">
        <v>523808.89063606301</v>
      </c>
      <c r="F26" s="1">
        <v>46222.605810185189</v>
      </c>
      <c r="G26">
        <v>52.876186847654303</v>
      </c>
      <c r="H26" t="s">
        <v>15</v>
      </c>
      <c r="J26" t="s">
        <v>16</v>
      </c>
      <c r="K26">
        <v>577007.90534456098</v>
      </c>
      <c r="L26" t="s">
        <v>17</v>
      </c>
      <c r="M26">
        <v>0</v>
      </c>
      <c r="N26">
        <v>0.90780193093415196</v>
      </c>
    </row>
    <row r="27" spans="2:14" x14ac:dyDescent="0.25">
      <c r="B27" t="s">
        <v>14</v>
      </c>
      <c r="C27" s="1">
        <v>46221.999988425923</v>
      </c>
      <c r="D27">
        <v>25.154981297255802</v>
      </c>
      <c r="E27">
        <v>494853.60644108697</v>
      </c>
      <c r="F27" s="1">
        <v>46219.099143518521</v>
      </c>
      <c r="G27">
        <v>52.876186847654303</v>
      </c>
      <c r="H27" t="s">
        <v>15</v>
      </c>
      <c r="J27" t="s">
        <v>16</v>
      </c>
      <c r="K27">
        <v>577007.90534456098</v>
      </c>
      <c r="L27" t="s">
        <v>17</v>
      </c>
      <c r="M27">
        <v>-28955.284194976</v>
      </c>
      <c r="N27">
        <v>0.85762015018769</v>
      </c>
    </row>
    <row r="28" spans="2:14" x14ac:dyDescent="0.25">
      <c r="B28" t="s">
        <v>14</v>
      </c>
      <c r="C28" s="1">
        <v>46220.999988425923</v>
      </c>
      <c r="D28">
        <v>25.154981297255802</v>
      </c>
      <c r="E28">
        <v>494853.60644108697</v>
      </c>
      <c r="F28" s="1">
        <v>46219.099143518521</v>
      </c>
      <c r="G28">
        <v>52.876186847654303</v>
      </c>
      <c r="H28" t="s">
        <v>15</v>
      </c>
      <c r="J28" t="s">
        <v>16</v>
      </c>
      <c r="K28">
        <v>577007.90534456098</v>
      </c>
      <c r="L28" t="s">
        <v>17</v>
      </c>
      <c r="M28">
        <v>0</v>
      </c>
      <c r="N28">
        <v>0.85762015018769</v>
      </c>
    </row>
    <row r="29" spans="2:14" x14ac:dyDescent="0.25">
      <c r="B29" t="s">
        <v>14</v>
      </c>
      <c r="C29" s="1">
        <v>46219.999988425923</v>
      </c>
      <c r="D29">
        <v>25.154981297255802</v>
      </c>
      <c r="E29">
        <v>494853.60644108697</v>
      </c>
      <c r="F29" s="1">
        <v>46219.099143518521</v>
      </c>
      <c r="G29">
        <v>52.876186847654303</v>
      </c>
      <c r="H29" t="s">
        <v>15</v>
      </c>
      <c r="J29" t="s">
        <v>16</v>
      </c>
      <c r="K29">
        <v>577007.90534456098</v>
      </c>
      <c r="L29" t="s">
        <v>17</v>
      </c>
      <c r="M29">
        <v>0</v>
      </c>
      <c r="N29">
        <v>0.85762015018769</v>
      </c>
    </row>
    <row r="30" spans="2:14" x14ac:dyDescent="0.25">
      <c r="B30" t="s">
        <v>14</v>
      </c>
      <c r="C30" s="1">
        <v>46218.999988425923</v>
      </c>
      <c r="D30">
        <v>25.154981297255802</v>
      </c>
      <c r="E30">
        <v>557992.56252825097</v>
      </c>
      <c r="F30" s="1">
        <v>46216.605509259258</v>
      </c>
      <c r="G30">
        <v>52.876186847654303</v>
      </c>
      <c r="H30" t="s">
        <v>15</v>
      </c>
      <c r="J30" t="s">
        <v>16</v>
      </c>
      <c r="K30">
        <v>577007.90534456098</v>
      </c>
      <c r="L30" t="s">
        <v>17</v>
      </c>
      <c r="M30">
        <v>63138.956087163999</v>
      </c>
      <c r="N30">
        <v>0.96704491803287296</v>
      </c>
    </row>
    <row r="31" spans="2:14" x14ac:dyDescent="0.25">
      <c r="B31" t="s">
        <v>14</v>
      </c>
      <c r="C31" s="1">
        <v>46217.999988425923</v>
      </c>
      <c r="D31">
        <v>25.154981297255802</v>
      </c>
      <c r="E31">
        <v>557992.56252825097</v>
      </c>
      <c r="F31" s="1">
        <v>46216.605509259258</v>
      </c>
      <c r="G31">
        <v>52.876186847654303</v>
      </c>
      <c r="H31" t="s">
        <v>15</v>
      </c>
      <c r="J31" t="s">
        <v>16</v>
      </c>
      <c r="K31">
        <v>577007.90534456098</v>
      </c>
      <c r="L31" t="s">
        <v>17</v>
      </c>
      <c r="M31">
        <v>0</v>
      </c>
      <c r="N31">
        <v>0.96704491803287296</v>
      </c>
    </row>
    <row r="32" spans="2:14" x14ac:dyDescent="0.25">
      <c r="B32" t="s">
        <v>14</v>
      </c>
      <c r="C32" s="1">
        <v>46216.999988425923</v>
      </c>
      <c r="D32">
        <v>25.154981297255802</v>
      </c>
      <c r="E32">
        <v>557992.56252825097</v>
      </c>
      <c r="F32" s="1">
        <v>46216.605509259258</v>
      </c>
      <c r="G32">
        <v>52.876186847654303</v>
      </c>
      <c r="H32" t="s">
        <v>15</v>
      </c>
      <c r="J32" t="s">
        <v>16</v>
      </c>
      <c r="K32">
        <v>577007.90534456098</v>
      </c>
      <c r="L32" t="s">
        <v>17</v>
      </c>
      <c r="M32">
        <v>0</v>
      </c>
      <c r="N32">
        <v>0.96704491803287296</v>
      </c>
    </row>
    <row r="33" spans="2:14" x14ac:dyDescent="0.25">
      <c r="B33" t="s">
        <v>14</v>
      </c>
      <c r="C33" s="1">
        <v>46215.999988425923</v>
      </c>
      <c r="D33">
        <v>25.154981297255802</v>
      </c>
      <c r="E33">
        <v>192572.59797147801</v>
      </c>
      <c r="F33" s="1">
        <v>46213.099305555559</v>
      </c>
      <c r="G33">
        <v>52.876186847654303</v>
      </c>
      <c r="H33" t="s">
        <v>15</v>
      </c>
      <c r="J33" t="s">
        <v>16</v>
      </c>
      <c r="K33">
        <v>577007.90534456098</v>
      </c>
      <c r="L33" t="s">
        <v>17</v>
      </c>
      <c r="M33">
        <v>-365419.96455677302</v>
      </c>
      <c r="N33">
        <v>0.33374343087462999</v>
      </c>
    </row>
    <row r="34" spans="2:14" x14ac:dyDescent="0.25">
      <c r="B34" t="s">
        <v>14</v>
      </c>
      <c r="C34" s="1">
        <v>46214.999988425923</v>
      </c>
      <c r="D34">
        <v>25.154981297255802</v>
      </c>
      <c r="E34">
        <v>192572.59797147801</v>
      </c>
      <c r="F34" s="1">
        <v>46213.099305555559</v>
      </c>
      <c r="G34">
        <v>52.876186847654303</v>
      </c>
      <c r="H34" t="s">
        <v>15</v>
      </c>
      <c r="J34" t="s">
        <v>16</v>
      </c>
      <c r="K34">
        <v>577007.90534456098</v>
      </c>
      <c r="L34" t="s">
        <v>17</v>
      </c>
      <c r="M34">
        <v>0</v>
      </c>
      <c r="N34">
        <v>0.33374343087462999</v>
      </c>
    </row>
    <row r="35" spans="2:14" x14ac:dyDescent="0.25">
      <c r="B35" t="s">
        <v>14</v>
      </c>
      <c r="C35" s="1">
        <v>46213.999988425923</v>
      </c>
      <c r="D35">
        <v>25.154981297255802</v>
      </c>
      <c r="E35">
        <v>192572.59797147801</v>
      </c>
      <c r="F35" s="1">
        <v>46213.099305555559</v>
      </c>
      <c r="G35">
        <v>52.876186847654303</v>
      </c>
      <c r="H35" t="s">
        <v>15</v>
      </c>
      <c r="J35" t="s">
        <v>16</v>
      </c>
      <c r="K35">
        <v>577007.90534456098</v>
      </c>
      <c r="L35" t="s">
        <v>17</v>
      </c>
      <c r="M35">
        <v>0</v>
      </c>
      <c r="N35">
        <v>0.33374343087462999</v>
      </c>
    </row>
    <row r="36" spans="2:14" x14ac:dyDescent="0.25">
      <c r="B36" t="s">
        <v>14</v>
      </c>
      <c r="C36" s="1">
        <v>46212.999988425923</v>
      </c>
      <c r="D36">
        <v>25.154981297255802</v>
      </c>
      <c r="E36">
        <v>529660.23808329296</v>
      </c>
      <c r="F36" s="1">
        <v>46210.605798611112</v>
      </c>
      <c r="G36">
        <v>52.876186847654303</v>
      </c>
      <c r="H36" t="s">
        <v>15</v>
      </c>
      <c r="J36" t="s">
        <v>16</v>
      </c>
      <c r="K36">
        <v>577007.90534456098</v>
      </c>
      <c r="L36" t="s">
        <v>17</v>
      </c>
      <c r="M36">
        <v>337087.64011181501</v>
      </c>
      <c r="N36">
        <v>0.91794277544084202</v>
      </c>
    </row>
    <row r="37" spans="2:14" x14ac:dyDescent="0.25">
      <c r="B37" t="s">
        <v>14</v>
      </c>
      <c r="C37" s="1">
        <v>46211.999988425923</v>
      </c>
      <c r="D37">
        <v>25.154981297255802</v>
      </c>
      <c r="E37">
        <v>529660.23808329296</v>
      </c>
      <c r="F37" s="1">
        <v>46210.605798611112</v>
      </c>
      <c r="G37">
        <v>52.876186847654303</v>
      </c>
      <c r="H37" t="s">
        <v>15</v>
      </c>
      <c r="J37" t="s">
        <v>16</v>
      </c>
      <c r="K37">
        <v>577007.90534456098</v>
      </c>
      <c r="L37" t="s">
        <v>17</v>
      </c>
      <c r="M37">
        <v>0</v>
      </c>
      <c r="N37">
        <v>0.91794277544084202</v>
      </c>
    </row>
    <row r="38" spans="2:14" x14ac:dyDescent="0.25">
      <c r="B38" t="s">
        <v>14</v>
      </c>
      <c r="C38" s="1">
        <v>46210.999988425923</v>
      </c>
      <c r="D38">
        <v>25.154981297255802</v>
      </c>
      <c r="E38">
        <v>529660.23808329296</v>
      </c>
      <c r="F38" s="1">
        <v>46210.605798611112</v>
      </c>
      <c r="G38">
        <v>52.876186847654303</v>
      </c>
      <c r="H38" t="s">
        <v>15</v>
      </c>
      <c r="J38" t="s">
        <v>16</v>
      </c>
      <c r="K38">
        <v>577007.90534456098</v>
      </c>
      <c r="L38" t="s">
        <v>17</v>
      </c>
      <c r="M38">
        <v>0</v>
      </c>
      <c r="N38">
        <v>0.91794277544084202</v>
      </c>
    </row>
    <row r="39" spans="2:14" x14ac:dyDescent="0.25">
      <c r="B39" t="s">
        <v>14</v>
      </c>
      <c r="C39" s="1">
        <v>46209.999988425923</v>
      </c>
      <c r="D39">
        <v>25.154981297255802</v>
      </c>
      <c r="E39">
        <v>533875.58596674399</v>
      </c>
      <c r="F39" s="1">
        <v>46207.099131944444</v>
      </c>
      <c r="G39">
        <v>52.876186847654303</v>
      </c>
      <c r="H39" t="s">
        <v>15</v>
      </c>
      <c r="J39" t="s">
        <v>16</v>
      </c>
      <c r="K39">
        <v>577007.90534456098</v>
      </c>
      <c r="L39" t="s">
        <v>17</v>
      </c>
      <c r="M39">
        <v>4215.3478834505604</v>
      </c>
      <c r="N39">
        <v>0.92524830426359495</v>
      </c>
    </row>
    <row r="40" spans="2:14" x14ac:dyDescent="0.25">
      <c r="B40" t="s">
        <v>14</v>
      </c>
      <c r="C40" s="1">
        <v>46208.999988425923</v>
      </c>
      <c r="D40">
        <v>25.154981297255802</v>
      </c>
      <c r="E40">
        <v>533875.58596674399</v>
      </c>
      <c r="F40" s="1">
        <v>46207.099131944444</v>
      </c>
      <c r="G40">
        <v>52.876186847654303</v>
      </c>
      <c r="H40" t="s">
        <v>15</v>
      </c>
      <c r="J40" t="s">
        <v>16</v>
      </c>
      <c r="K40">
        <v>577007.90534456098</v>
      </c>
      <c r="L40" t="s">
        <v>17</v>
      </c>
      <c r="M40">
        <v>0</v>
      </c>
      <c r="N40">
        <v>0.92524830426359495</v>
      </c>
    </row>
    <row r="41" spans="2:14" x14ac:dyDescent="0.25">
      <c r="B41" t="s">
        <v>14</v>
      </c>
      <c r="C41" s="1">
        <v>46207.999988425923</v>
      </c>
      <c r="D41">
        <v>25.154981297255802</v>
      </c>
      <c r="E41">
        <v>533875.58596674399</v>
      </c>
      <c r="F41" s="1">
        <v>46207.099131944444</v>
      </c>
      <c r="G41">
        <v>52.876186847654303</v>
      </c>
      <c r="H41" t="s">
        <v>15</v>
      </c>
      <c r="J41" t="s">
        <v>16</v>
      </c>
      <c r="K41">
        <v>577007.90534456098</v>
      </c>
      <c r="L41" t="s">
        <v>17</v>
      </c>
      <c r="M41">
        <v>0</v>
      </c>
      <c r="N41">
        <v>0.92524830426359495</v>
      </c>
    </row>
    <row r="42" spans="2:14" x14ac:dyDescent="0.25">
      <c r="B42" t="s">
        <v>14</v>
      </c>
      <c r="C42" s="1">
        <v>46206.999988425923</v>
      </c>
      <c r="D42">
        <v>25.154981297255802</v>
      </c>
      <c r="E42">
        <v>535342.48934787803</v>
      </c>
      <c r="F42" s="1">
        <v>46204.605509259258</v>
      </c>
      <c r="G42">
        <v>52.876186847654303</v>
      </c>
      <c r="H42" t="s">
        <v>15</v>
      </c>
      <c r="J42" t="s">
        <v>16</v>
      </c>
      <c r="K42">
        <v>577007.90534456098</v>
      </c>
      <c r="L42" t="s">
        <v>17</v>
      </c>
      <c r="M42">
        <v>1466.9033811342599</v>
      </c>
      <c r="N42">
        <v>0.92779056298751705</v>
      </c>
    </row>
    <row r="43" spans="2:14" x14ac:dyDescent="0.25">
      <c r="B43" t="s">
        <v>14</v>
      </c>
      <c r="C43" s="1">
        <v>46205.999988425923</v>
      </c>
      <c r="D43">
        <v>25.154981297255802</v>
      </c>
      <c r="E43">
        <v>535342.48934787803</v>
      </c>
      <c r="F43" s="1">
        <v>46204.605509259258</v>
      </c>
      <c r="G43">
        <v>52.876186847654303</v>
      </c>
      <c r="H43" t="s">
        <v>15</v>
      </c>
      <c r="J43" t="s">
        <v>16</v>
      </c>
      <c r="K43">
        <v>577007.90534456098</v>
      </c>
      <c r="L43" t="s">
        <v>17</v>
      </c>
      <c r="M43">
        <v>0</v>
      </c>
      <c r="N43">
        <v>0.92779056298751705</v>
      </c>
    </row>
    <row r="44" spans="2:14" x14ac:dyDescent="0.25">
      <c r="B44" t="s">
        <v>14</v>
      </c>
      <c r="C44" s="1">
        <v>46204.999988425923</v>
      </c>
      <c r="D44">
        <v>25.154981297255802</v>
      </c>
      <c r="E44">
        <v>535342.48934787803</v>
      </c>
      <c r="F44" s="1">
        <v>46204.605509259258</v>
      </c>
      <c r="G44">
        <v>52.876186847654303</v>
      </c>
      <c r="H44" t="s">
        <v>15</v>
      </c>
      <c r="J44" t="s">
        <v>16</v>
      </c>
      <c r="K44">
        <v>577007.90534456098</v>
      </c>
      <c r="L44" t="s">
        <v>17</v>
      </c>
      <c r="M44">
        <v>0</v>
      </c>
      <c r="N44">
        <v>0.92779056298751705</v>
      </c>
    </row>
    <row r="45" spans="2:14" x14ac:dyDescent="0.25">
      <c r="B45" t="s">
        <v>14</v>
      </c>
      <c r="C45" s="1">
        <v>46203.999988425923</v>
      </c>
      <c r="D45">
        <v>25.154981297255802</v>
      </c>
      <c r="E45">
        <v>522258.684150288</v>
      </c>
      <c r="F45" s="1">
        <v>46201.099305555559</v>
      </c>
      <c r="G45">
        <v>52.876186847654303</v>
      </c>
      <c r="H45" t="s">
        <v>15</v>
      </c>
      <c r="J45" t="s">
        <v>16</v>
      </c>
      <c r="K45">
        <v>577007.90534456098</v>
      </c>
      <c r="L45" t="s">
        <v>17</v>
      </c>
      <c r="M45">
        <v>-13083.8051975897</v>
      </c>
      <c r="N45">
        <v>0.90511530138988405</v>
      </c>
    </row>
    <row r="46" spans="2:14" x14ac:dyDescent="0.25">
      <c r="B46" t="s">
        <v>14</v>
      </c>
      <c r="C46" s="1">
        <v>46202.999988425923</v>
      </c>
      <c r="D46">
        <v>25.154981297255802</v>
      </c>
      <c r="E46">
        <v>522258.684150288</v>
      </c>
      <c r="F46" s="1">
        <v>46201.099305555559</v>
      </c>
      <c r="G46">
        <v>52.876186847654303</v>
      </c>
      <c r="H46" t="s">
        <v>15</v>
      </c>
      <c r="J46" t="s">
        <v>16</v>
      </c>
      <c r="K46">
        <v>577007.90534456098</v>
      </c>
      <c r="L46" t="s">
        <v>17</v>
      </c>
      <c r="M46">
        <v>0</v>
      </c>
      <c r="N46">
        <v>0.90511530138988405</v>
      </c>
    </row>
    <row r="47" spans="2:14" x14ac:dyDescent="0.25">
      <c r="B47" t="s">
        <v>14</v>
      </c>
      <c r="C47" s="1">
        <v>46201.999988425923</v>
      </c>
      <c r="D47">
        <v>25.154981297255802</v>
      </c>
      <c r="E47">
        <v>522258.684150288</v>
      </c>
      <c r="F47" s="1">
        <v>46201.099305555559</v>
      </c>
      <c r="G47">
        <v>52.876186847654303</v>
      </c>
      <c r="H47" t="s">
        <v>15</v>
      </c>
      <c r="J47" t="s">
        <v>16</v>
      </c>
      <c r="K47">
        <v>577007.90534456098</v>
      </c>
      <c r="L47" t="s">
        <v>17</v>
      </c>
      <c r="M47">
        <v>0</v>
      </c>
      <c r="N47">
        <v>0.90511530138988405</v>
      </c>
    </row>
    <row r="48" spans="2:14" x14ac:dyDescent="0.25">
      <c r="B48" t="s">
        <v>14</v>
      </c>
      <c r="C48" s="1">
        <v>46200.999988425923</v>
      </c>
      <c r="D48">
        <v>25.154981297255802</v>
      </c>
      <c r="E48">
        <v>209620.12240702799</v>
      </c>
      <c r="F48" s="1">
        <v>46198.605787037035</v>
      </c>
      <c r="G48">
        <v>52.876186847654303</v>
      </c>
      <c r="H48" t="s">
        <v>15</v>
      </c>
      <c r="J48" t="s">
        <v>16</v>
      </c>
      <c r="K48">
        <v>577007.90534456098</v>
      </c>
      <c r="L48" t="s">
        <v>17</v>
      </c>
      <c r="M48">
        <v>-312638.56174326001</v>
      </c>
      <c r="N48">
        <v>0.363288129097387</v>
      </c>
    </row>
    <row r="49" spans="2:14" x14ac:dyDescent="0.25">
      <c r="B49" t="s">
        <v>14</v>
      </c>
      <c r="C49" s="1">
        <v>46199.999988425923</v>
      </c>
      <c r="D49">
        <v>25.154981297255802</v>
      </c>
      <c r="E49">
        <v>209620.12240702799</v>
      </c>
      <c r="F49" s="1">
        <v>46198.605787037035</v>
      </c>
      <c r="G49">
        <v>52.876186847654303</v>
      </c>
      <c r="H49" t="s">
        <v>15</v>
      </c>
      <c r="J49" t="s">
        <v>16</v>
      </c>
      <c r="K49">
        <v>577007.90534456098</v>
      </c>
      <c r="L49" t="s">
        <v>17</v>
      </c>
      <c r="M49">
        <v>0</v>
      </c>
      <c r="N49">
        <v>0.363288129097387</v>
      </c>
    </row>
    <row r="50" spans="2:14" x14ac:dyDescent="0.25">
      <c r="B50" t="s">
        <v>14</v>
      </c>
      <c r="C50" s="1">
        <v>46198.999988425923</v>
      </c>
      <c r="D50">
        <v>25.154981297255802</v>
      </c>
      <c r="E50">
        <v>209620.12240702799</v>
      </c>
      <c r="F50" s="1">
        <v>46198.605787037035</v>
      </c>
      <c r="G50">
        <v>52.876186847654303</v>
      </c>
      <c r="H50" t="s">
        <v>15</v>
      </c>
      <c r="J50" t="s">
        <v>16</v>
      </c>
      <c r="K50">
        <v>577007.90534456098</v>
      </c>
      <c r="L50" t="s">
        <v>17</v>
      </c>
      <c r="M50">
        <v>0</v>
      </c>
      <c r="N50">
        <v>0.363288129097387</v>
      </c>
    </row>
    <row r="51" spans="2:14" x14ac:dyDescent="0.25">
      <c r="B51" t="s">
        <v>14</v>
      </c>
      <c r="C51" s="1">
        <v>46197.999988425923</v>
      </c>
      <c r="D51">
        <v>25.154981297255802</v>
      </c>
      <c r="E51">
        <v>396962.85686451598</v>
      </c>
      <c r="F51" s="1">
        <v>46194.099780092591</v>
      </c>
      <c r="G51">
        <v>52.876186847654303</v>
      </c>
      <c r="H51" t="s">
        <v>15</v>
      </c>
      <c r="J51" t="s">
        <v>16</v>
      </c>
      <c r="K51">
        <v>577007.90534456098</v>
      </c>
      <c r="L51" t="s">
        <v>17</v>
      </c>
      <c r="M51">
        <v>187342.734457488</v>
      </c>
      <c r="N51">
        <v>0.68796779591341795</v>
      </c>
    </row>
    <row r="52" spans="2:14" x14ac:dyDescent="0.25">
      <c r="B52" t="s">
        <v>14</v>
      </c>
      <c r="C52" s="1">
        <v>46196.999988425923</v>
      </c>
      <c r="D52">
        <v>25.154981297255802</v>
      </c>
      <c r="E52">
        <v>396962.85686451598</v>
      </c>
      <c r="F52" s="1">
        <v>46194.099780092591</v>
      </c>
      <c r="G52">
        <v>52.876186847654303</v>
      </c>
      <c r="H52" t="s">
        <v>15</v>
      </c>
      <c r="J52" t="s">
        <v>16</v>
      </c>
      <c r="K52">
        <v>577007.90534456098</v>
      </c>
      <c r="L52" t="s">
        <v>17</v>
      </c>
      <c r="M52">
        <v>0</v>
      </c>
      <c r="N52">
        <v>0.68796779591341795</v>
      </c>
    </row>
    <row r="53" spans="2:14" x14ac:dyDescent="0.25">
      <c r="B53" t="s">
        <v>14</v>
      </c>
      <c r="C53" s="1">
        <v>46195.999988425923</v>
      </c>
      <c r="D53">
        <v>25.154981297255802</v>
      </c>
      <c r="E53">
        <v>396962.85686451598</v>
      </c>
      <c r="F53" s="1">
        <v>46194.099780092591</v>
      </c>
      <c r="G53">
        <v>52.876186847654303</v>
      </c>
      <c r="H53" t="s">
        <v>15</v>
      </c>
      <c r="J53" t="s">
        <v>16</v>
      </c>
      <c r="K53">
        <v>577007.90534456098</v>
      </c>
      <c r="L53" t="s">
        <v>17</v>
      </c>
      <c r="M53">
        <v>0</v>
      </c>
      <c r="N53">
        <v>0.68796779591341795</v>
      </c>
    </row>
    <row r="54" spans="2:14" x14ac:dyDescent="0.25">
      <c r="B54" t="s">
        <v>14</v>
      </c>
      <c r="C54" s="1">
        <v>46194.999988425923</v>
      </c>
      <c r="D54">
        <v>25.154981297255802</v>
      </c>
      <c r="E54">
        <v>396962.85686451598</v>
      </c>
      <c r="F54" s="1">
        <v>46194.099780092591</v>
      </c>
      <c r="G54">
        <v>52.876186847654303</v>
      </c>
      <c r="H54" t="s">
        <v>15</v>
      </c>
      <c r="J54" t="s">
        <v>16</v>
      </c>
      <c r="K54">
        <v>577007.90534456098</v>
      </c>
      <c r="L54" t="s">
        <v>17</v>
      </c>
      <c r="M54">
        <v>0</v>
      </c>
      <c r="N54">
        <v>0.68796779591341795</v>
      </c>
    </row>
    <row r="55" spans="2:14" x14ac:dyDescent="0.25">
      <c r="B55" t="s">
        <v>14</v>
      </c>
      <c r="C55" s="1">
        <v>46193.999988425923</v>
      </c>
      <c r="D55">
        <v>25.154981297255802</v>
      </c>
      <c r="E55">
        <v>483747.28437397297</v>
      </c>
      <c r="F55" s="1">
        <v>46191.606261574074</v>
      </c>
      <c r="G55">
        <v>52.876186847654303</v>
      </c>
      <c r="H55" t="s">
        <v>15</v>
      </c>
      <c r="J55" t="s">
        <v>16</v>
      </c>
      <c r="K55">
        <v>577007.90534456098</v>
      </c>
      <c r="L55" t="s">
        <v>17</v>
      </c>
      <c r="M55">
        <v>86784.427509456495</v>
      </c>
      <c r="N55">
        <v>0.83837202210445005</v>
      </c>
    </row>
    <row r="56" spans="2:14" x14ac:dyDescent="0.25">
      <c r="B56" t="s">
        <v>14</v>
      </c>
      <c r="C56" s="1">
        <v>46192.999988425923</v>
      </c>
      <c r="D56">
        <v>25.154981297255802</v>
      </c>
      <c r="E56">
        <v>483747.28437397297</v>
      </c>
      <c r="F56" s="1">
        <v>46191.606261574074</v>
      </c>
      <c r="G56">
        <v>52.876186847654303</v>
      </c>
      <c r="H56" t="s">
        <v>15</v>
      </c>
      <c r="J56" t="s">
        <v>16</v>
      </c>
      <c r="K56">
        <v>577007.90534456098</v>
      </c>
      <c r="L56" t="s">
        <v>17</v>
      </c>
      <c r="M56">
        <v>0</v>
      </c>
      <c r="N56">
        <v>0.83837202210445005</v>
      </c>
    </row>
    <row r="57" spans="2:14" x14ac:dyDescent="0.25">
      <c r="B57" t="s">
        <v>14</v>
      </c>
      <c r="C57" s="1">
        <v>46191.999988425923</v>
      </c>
      <c r="D57">
        <v>25.154981297255802</v>
      </c>
      <c r="E57">
        <v>483747.28437397297</v>
      </c>
      <c r="F57" s="1">
        <v>46191.606261574074</v>
      </c>
      <c r="G57">
        <v>52.876186847654303</v>
      </c>
      <c r="H57" t="s">
        <v>15</v>
      </c>
      <c r="J57" t="s">
        <v>16</v>
      </c>
      <c r="K57">
        <v>577007.90534456098</v>
      </c>
      <c r="L57" t="s">
        <v>17</v>
      </c>
      <c r="M57">
        <v>0</v>
      </c>
      <c r="N57">
        <v>0.83837202210445005</v>
      </c>
    </row>
    <row r="58" spans="2:14" x14ac:dyDescent="0.25">
      <c r="B58" t="s">
        <v>14</v>
      </c>
      <c r="C58" s="1">
        <v>46190.999988425923</v>
      </c>
      <c r="D58">
        <v>25.154981297255802</v>
      </c>
      <c r="E58">
        <v>364981.12815101101</v>
      </c>
      <c r="F58" s="1">
        <v>46189.099270833336</v>
      </c>
      <c r="G58">
        <v>52.876186847654303</v>
      </c>
      <c r="H58" t="s">
        <v>15</v>
      </c>
      <c r="J58" t="s">
        <v>16</v>
      </c>
      <c r="K58">
        <v>577007.90534456098</v>
      </c>
      <c r="L58" t="s">
        <v>17</v>
      </c>
      <c r="M58">
        <v>-118766.156222961</v>
      </c>
      <c r="N58">
        <v>0.63254094921465998</v>
      </c>
    </row>
    <row r="59" spans="2:14" x14ac:dyDescent="0.25">
      <c r="B59" t="s">
        <v>14</v>
      </c>
      <c r="C59" s="1">
        <v>46189.999988425923</v>
      </c>
      <c r="D59">
        <v>25.154981297255802</v>
      </c>
      <c r="E59">
        <v>364981.12815101101</v>
      </c>
      <c r="F59" s="1">
        <v>46189.099270833336</v>
      </c>
      <c r="G59">
        <v>52.876186847654303</v>
      </c>
      <c r="H59" t="s">
        <v>15</v>
      </c>
      <c r="J59" t="s">
        <v>16</v>
      </c>
      <c r="K59">
        <v>577007.90534456098</v>
      </c>
      <c r="L59" t="s">
        <v>17</v>
      </c>
      <c r="M59">
        <v>0</v>
      </c>
      <c r="N59">
        <v>0.63254094921465998</v>
      </c>
    </row>
    <row r="60" spans="2:14" x14ac:dyDescent="0.25">
      <c r="B60" t="s">
        <v>14</v>
      </c>
      <c r="C60" s="1">
        <v>46188.999988425923</v>
      </c>
      <c r="D60">
        <v>25.154981297255802</v>
      </c>
      <c r="E60">
        <v>551443.63702417095</v>
      </c>
      <c r="F60" s="1">
        <v>46186.60564814815</v>
      </c>
      <c r="G60">
        <v>52.876186847654303</v>
      </c>
      <c r="H60" t="s">
        <v>15</v>
      </c>
      <c r="J60" t="s">
        <v>16</v>
      </c>
      <c r="K60">
        <v>577007.90534456098</v>
      </c>
      <c r="L60" t="s">
        <v>17</v>
      </c>
      <c r="M60">
        <v>186462.50887316</v>
      </c>
      <c r="N60">
        <v>0.95569511598784096</v>
      </c>
    </row>
    <row r="61" spans="2:14" x14ac:dyDescent="0.25">
      <c r="B61" t="s">
        <v>14</v>
      </c>
      <c r="C61" s="1">
        <v>46187.999988425923</v>
      </c>
      <c r="D61">
        <v>25.154981297255802</v>
      </c>
      <c r="E61">
        <v>551443.63702417095</v>
      </c>
      <c r="F61" s="1">
        <v>46186.60564814815</v>
      </c>
      <c r="G61">
        <v>52.876186847654303</v>
      </c>
      <c r="H61" t="s">
        <v>15</v>
      </c>
      <c r="J61" t="s">
        <v>16</v>
      </c>
      <c r="K61">
        <v>577007.90534456098</v>
      </c>
      <c r="L61" t="s">
        <v>17</v>
      </c>
      <c r="M61">
        <v>0</v>
      </c>
      <c r="N61">
        <v>0.95569511598784096</v>
      </c>
    </row>
    <row r="62" spans="2:14" x14ac:dyDescent="0.25">
      <c r="B62" t="s">
        <v>14</v>
      </c>
      <c r="C62" s="1">
        <v>46186.999988425923</v>
      </c>
      <c r="D62">
        <v>25.154981297255802</v>
      </c>
      <c r="E62">
        <v>551443.63702417095</v>
      </c>
      <c r="F62" s="1">
        <v>46186.60564814815</v>
      </c>
      <c r="G62">
        <v>52.876186847654303</v>
      </c>
      <c r="H62" t="s">
        <v>15</v>
      </c>
      <c r="J62" t="s">
        <v>16</v>
      </c>
      <c r="K62">
        <v>577007.90534456098</v>
      </c>
      <c r="L62" t="s">
        <v>17</v>
      </c>
      <c r="M62">
        <v>0</v>
      </c>
      <c r="N62">
        <v>0.95569511598784096</v>
      </c>
    </row>
    <row r="63" spans="2:14" x14ac:dyDescent="0.25">
      <c r="B63" t="s">
        <v>14</v>
      </c>
      <c r="C63" s="1">
        <v>46185.999988425923</v>
      </c>
      <c r="D63">
        <v>25.154981297255802</v>
      </c>
      <c r="E63">
        <v>541034.08072077204</v>
      </c>
      <c r="F63" s="1">
        <v>46182.099780092591</v>
      </c>
      <c r="G63">
        <v>52.876186847654303</v>
      </c>
      <c r="H63" t="s">
        <v>15</v>
      </c>
      <c r="J63" t="s">
        <v>16</v>
      </c>
      <c r="K63">
        <v>577007.90534456098</v>
      </c>
      <c r="L63" t="s">
        <v>17</v>
      </c>
      <c r="M63">
        <v>-10409.5563033991</v>
      </c>
      <c r="N63">
        <v>0.93765453767516904</v>
      </c>
    </row>
    <row r="64" spans="2:14" x14ac:dyDescent="0.25">
      <c r="B64" t="s">
        <v>14</v>
      </c>
      <c r="C64" s="1">
        <v>46184.999988425923</v>
      </c>
      <c r="D64">
        <v>25.154981297255802</v>
      </c>
      <c r="E64">
        <v>541034.08072077204</v>
      </c>
      <c r="F64" s="1">
        <v>46182.099780092591</v>
      </c>
      <c r="G64">
        <v>52.876186847654303</v>
      </c>
      <c r="H64" t="s">
        <v>15</v>
      </c>
      <c r="J64" t="s">
        <v>16</v>
      </c>
      <c r="K64">
        <v>577007.90534456098</v>
      </c>
      <c r="L64" t="s">
        <v>17</v>
      </c>
      <c r="M64">
        <v>0</v>
      </c>
      <c r="N64">
        <v>0.93765453767516904</v>
      </c>
    </row>
    <row r="65" spans="2:14" x14ac:dyDescent="0.25">
      <c r="B65" t="s">
        <v>14</v>
      </c>
      <c r="C65" s="1">
        <v>46183.999988425923</v>
      </c>
      <c r="D65">
        <v>25.154981297255802</v>
      </c>
      <c r="E65">
        <v>541034.08072077204</v>
      </c>
      <c r="F65" s="1">
        <v>46182.099780092591</v>
      </c>
      <c r="G65">
        <v>52.876186847654303</v>
      </c>
      <c r="H65" t="s">
        <v>15</v>
      </c>
      <c r="J65" t="s">
        <v>16</v>
      </c>
      <c r="K65">
        <v>577007.90534456098</v>
      </c>
      <c r="L65" t="s">
        <v>17</v>
      </c>
      <c r="M65">
        <v>0</v>
      </c>
      <c r="N65">
        <v>0.93765453767516904</v>
      </c>
    </row>
    <row r="66" spans="2:14" x14ac:dyDescent="0.25">
      <c r="B66" t="s">
        <v>14</v>
      </c>
      <c r="C66" s="1">
        <v>46182.999988425923</v>
      </c>
      <c r="D66">
        <v>25.154981297255802</v>
      </c>
      <c r="E66">
        <v>541034.08072077204</v>
      </c>
      <c r="F66" s="1">
        <v>46182.099780092591</v>
      </c>
      <c r="G66">
        <v>52.876186847654303</v>
      </c>
      <c r="H66" t="s">
        <v>15</v>
      </c>
      <c r="J66" t="s">
        <v>16</v>
      </c>
      <c r="K66">
        <v>577007.90534456098</v>
      </c>
      <c r="L66" t="s">
        <v>17</v>
      </c>
      <c r="M66">
        <v>0</v>
      </c>
      <c r="N66">
        <v>0.93765453767516904</v>
      </c>
    </row>
    <row r="67" spans="2:14" x14ac:dyDescent="0.25">
      <c r="B67" t="s">
        <v>14</v>
      </c>
      <c r="C67" s="1">
        <v>46181.999988425923</v>
      </c>
      <c r="D67">
        <v>25.154981297255802</v>
      </c>
      <c r="E67">
        <v>140916.84558029901</v>
      </c>
      <c r="F67" s="1">
        <v>46179.606273148151</v>
      </c>
      <c r="G67">
        <v>52.876186847654303</v>
      </c>
      <c r="H67" t="s">
        <v>15</v>
      </c>
      <c r="J67" t="s">
        <v>16</v>
      </c>
      <c r="K67">
        <v>577007.90534456098</v>
      </c>
      <c r="L67" t="s">
        <v>17</v>
      </c>
      <c r="M67">
        <v>-400117.235140473</v>
      </c>
      <c r="N67">
        <v>0.24421995656393999</v>
      </c>
    </row>
    <row r="68" spans="2:14" x14ac:dyDescent="0.25">
      <c r="B68" t="s">
        <v>14</v>
      </c>
      <c r="C68" s="1">
        <v>46180.999988425923</v>
      </c>
      <c r="D68">
        <v>25.154981297255802</v>
      </c>
      <c r="E68">
        <v>140916.84558029901</v>
      </c>
      <c r="F68" s="1">
        <v>46179.606273148151</v>
      </c>
      <c r="G68">
        <v>52.876186847654303</v>
      </c>
      <c r="H68" t="s">
        <v>15</v>
      </c>
      <c r="J68" t="s">
        <v>16</v>
      </c>
      <c r="K68">
        <v>577007.90534456098</v>
      </c>
      <c r="L68" t="s">
        <v>17</v>
      </c>
      <c r="M68">
        <v>0</v>
      </c>
      <c r="N68">
        <v>0.24421995656393999</v>
      </c>
    </row>
    <row r="69" spans="2:14" x14ac:dyDescent="0.25">
      <c r="B69" t="s">
        <v>14</v>
      </c>
      <c r="C69" s="1">
        <v>46179.999988425923</v>
      </c>
      <c r="D69">
        <v>25.154981297255802</v>
      </c>
      <c r="E69">
        <v>140916.84558029901</v>
      </c>
      <c r="F69" s="1">
        <v>46179.606273148151</v>
      </c>
      <c r="G69">
        <v>52.876186847654303</v>
      </c>
      <c r="H69" t="s">
        <v>15</v>
      </c>
      <c r="J69" t="s">
        <v>16</v>
      </c>
      <c r="K69">
        <v>577007.90534456098</v>
      </c>
      <c r="L69" t="s">
        <v>17</v>
      </c>
      <c r="M69">
        <v>0</v>
      </c>
      <c r="N69">
        <v>0.24421995656393999</v>
      </c>
    </row>
    <row r="70" spans="2:14" x14ac:dyDescent="0.25">
      <c r="B70" t="s">
        <v>14</v>
      </c>
      <c r="C70" s="1">
        <v>46178.999988425923</v>
      </c>
      <c r="D70">
        <v>25.154981297255802</v>
      </c>
      <c r="E70">
        <v>535011.64892769605</v>
      </c>
      <c r="F70" s="1">
        <v>46177.099259259259</v>
      </c>
      <c r="G70">
        <v>52.876186847654303</v>
      </c>
      <c r="H70" t="s">
        <v>15</v>
      </c>
      <c r="J70" t="s">
        <v>16</v>
      </c>
      <c r="K70">
        <v>577007.90534456098</v>
      </c>
      <c r="L70" t="s">
        <v>17</v>
      </c>
      <c r="M70">
        <v>394094.80334739701</v>
      </c>
      <c r="N70">
        <v>0.92721719056554897</v>
      </c>
    </row>
    <row r="71" spans="2:14" x14ac:dyDescent="0.25">
      <c r="B71" t="s">
        <v>14</v>
      </c>
      <c r="C71" s="1">
        <v>46177.999988425923</v>
      </c>
      <c r="D71">
        <v>25.154981297255802</v>
      </c>
      <c r="E71">
        <v>535011.64892769605</v>
      </c>
      <c r="F71" s="1">
        <v>46177.099259259259</v>
      </c>
      <c r="G71">
        <v>52.876186847654303</v>
      </c>
      <c r="H71" t="s">
        <v>15</v>
      </c>
      <c r="J71" t="s">
        <v>16</v>
      </c>
      <c r="K71">
        <v>577007.90534456098</v>
      </c>
      <c r="L71" t="s">
        <v>17</v>
      </c>
      <c r="M71">
        <v>0</v>
      </c>
      <c r="N71">
        <v>0.92721719056554897</v>
      </c>
    </row>
    <row r="72" spans="2:14" x14ac:dyDescent="0.25">
      <c r="B72" t="s">
        <v>14</v>
      </c>
      <c r="C72" s="1">
        <v>46176.999988425923</v>
      </c>
      <c r="D72">
        <v>25.154981297255802</v>
      </c>
      <c r="E72">
        <v>338363.66061076499</v>
      </c>
      <c r="F72" s="1">
        <v>46176.099143518521</v>
      </c>
      <c r="G72">
        <v>52.876186847654303</v>
      </c>
      <c r="H72" t="s">
        <v>15</v>
      </c>
      <c r="J72" t="s">
        <v>16</v>
      </c>
      <c r="K72">
        <v>577007.90534456098</v>
      </c>
      <c r="L72" t="s">
        <v>17</v>
      </c>
      <c r="M72">
        <v>-196647.98831693101</v>
      </c>
      <c r="N72">
        <v>0.58641078826937498</v>
      </c>
    </row>
    <row r="73" spans="2:14" x14ac:dyDescent="0.25">
      <c r="B73" t="s">
        <v>14</v>
      </c>
      <c r="C73" s="1">
        <v>46175.999988425923</v>
      </c>
      <c r="D73">
        <v>25.154981297255802</v>
      </c>
      <c r="E73">
        <v>537604.61826437898</v>
      </c>
      <c r="F73" s="1">
        <v>46173.605520833335</v>
      </c>
      <c r="G73">
        <v>52.876186847654303</v>
      </c>
      <c r="H73" t="s">
        <v>15</v>
      </c>
      <c r="J73" t="s">
        <v>16</v>
      </c>
      <c r="K73">
        <v>577007.90534456098</v>
      </c>
      <c r="L73" t="s">
        <v>17</v>
      </c>
      <c r="M73">
        <v>199240.95765361399</v>
      </c>
      <c r="N73">
        <v>0.93171100999621004</v>
      </c>
    </row>
    <row r="74" spans="2:14" x14ac:dyDescent="0.25">
      <c r="B74" t="s">
        <v>14</v>
      </c>
      <c r="C74" s="1">
        <v>46174.999988425923</v>
      </c>
      <c r="D74">
        <v>25.154981297255802</v>
      </c>
      <c r="E74">
        <v>537604.61826437898</v>
      </c>
      <c r="F74" s="1">
        <v>46173.605520833335</v>
      </c>
      <c r="G74">
        <v>52.876186847654303</v>
      </c>
      <c r="H74" t="s">
        <v>15</v>
      </c>
      <c r="J74" t="s">
        <v>16</v>
      </c>
      <c r="K74">
        <v>577007.90534456098</v>
      </c>
      <c r="L74" t="s">
        <v>17</v>
      </c>
      <c r="M74">
        <v>0</v>
      </c>
      <c r="N74">
        <v>0.93171100999621004</v>
      </c>
    </row>
    <row r="75" spans="2:14" x14ac:dyDescent="0.25">
      <c r="B75" t="s">
        <v>14</v>
      </c>
      <c r="C75" s="1">
        <v>46173.999988425923</v>
      </c>
      <c r="D75">
        <v>25.154981297255802</v>
      </c>
      <c r="E75">
        <v>537604.61826437898</v>
      </c>
      <c r="F75" s="1">
        <v>46173.605520833335</v>
      </c>
      <c r="G75">
        <v>52.876186847654303</v>
      </c>
      <c r="H75" t="s">
        <v>15</v>
      </c>
      <c r="J75" t="s">
        <v>16</v>
      </c>
      <c r="K75">
        <v>577007.90534456098</v>
      </c>
      <c r="L75" t="s">
        <v>17</v>
      </c>
      <c r="M75">
        <v>0</v>
      </c>
      <c r="N75">
        <v>0.93171100999621004</v>
      </c>
    </row>
    <row r="76" spans="2:14" x14ac:dyDescent="0.25">
      <c r="B76" t="s">
        <v>14</v>
      </c>
      <c r="C76" s="1">
        <v>46172.999988425923</v>
      </c>
      <c r="D76">
        <v>25.154981297255802</v>
      </c>
      <c r="E76">
        <v>143751.070640886</v>
      </c>
      <c r="F76" s="1">
        <v>46170.099791666667</v>
      </c>
      <c r="G76">
        <v>52.876186847654303</v>
      </c>
      <c r="H76" t="s">
        <v>15</v>
      </c>
      <c r="J76" t="s">
        <v>16</v>
      </c>
      <c r="K76">
        <v>577007.90534456098</v>
      </c>
      <c r="L76" t="s">
        <v>17</v>
      </c>
      <c r="M76">
        <v>-393853.54762349301</v>
      </c>
      <c r="N76">
        <v>0.249131891104758</v>
      </c>
    </row>
    <row r="77" spans="2:14" x14ac:dyDescent="0.25">
      <c r="B77" t="s">
        <v>14</v>
      </c>
      <c r="C77" s="1">
        <v>46171.999988425923</v>
      </c>
      <c r="D77">
        <v>25.154981297255802</v>
      </c>
      <c r="E77">
        <v>143751.070640886</v>
      </c>
      <c r="F77" s="1">
        <v>46170.099791666667</v>
      </c>
      <c r="G77">
        <v>52.876186847654303</v>
      </c>
      <c r="H77" t="s">
        <v>15</v>
      </c>
      <c r="J77" t="s">
        <v>16</v>
      </c>
      <c r="K77">
        <v>577007.90534456098</v>
      </c>
      <c r="L77" t="s">
        <v>17</v>
      </c>
      <c r="M77">
        <v>0</v>
      </c>
      <c r="N77">
        <v>0.249131891104758</v>
      </c>
    </row>
    <row r="78" spans="2:14" x14ac:dyDescent="0.25">
      <c r="B78" t="s">
        <v>14</v>
      </c>
      <c r="C78" s="1">
        <v>46170.999988425923</v>
      </c>
      <c r="D78">
        <v>25.154981297255802</v>
      </c>
      <c r="E78">
        <v>143751.070640886</v>
      </c>
      <c r="F78" s="1">
        <v>46170.099791666667</v>
      </c>
      <c r="G78">
        <v>52.876186847654303</v>
      </c>
      <c r="H78" t="s">
        <v>15</v>
      </c>
      <c r="J78" t="s">
        <v>16</v>
      </c>
      <c r="K78">
        <v>577007.90534456098</v>
      </c>
      <c r="L78" t="s">
        <v>17</v>
      </c>
      <c r="M78">
        <v>0</v>
      </c>
      <c r="N78">
        <v>0.249131891104758</v>
      </c>
    </row>
    <row r="79" spans="2:14" x14ac:dyDescent="0.25">
      <c r="B79" t="s">
        <v>14</v>
      </c>
      <c r="C79" s="1">
        <v>46169.999988425923</v>
      </c>
      <c r="D79">
        <v>25.154981297255802</v>
      </c>
      <c r="E79">
        <v>215243.620896732</v>
      </c>
      <c r="F79" s="1">
        <v>46167.60628472222</v>
      </c>
      <c r="G79">
        <v>52.876186847654303</v>
      </c>
      <c r="H79" t="s">
        <v>15</v>
      </c>
      <c r="J79" t="s">
        <v>16</v>
      </c>
      <c r="K79">
        <v>577007.90534456098</v>
      </c>
      <c r="L79" t="s">
        <v>17</v>
      </c>
      <c r="M79">
        <v>71492.550255846305</v>
      </c>
      <c r="N79">
        <v>0.37303409347260003</v>
      </c>
    </row>
    <row r="80" spans="2:14" x14ac:dyDescent="0.25">
      <c r="B80" t="s">
        <v>14</v>
      </c>
      <c r="C80" s="1">
        <v>46168.999988425923</v>
      </c>
      <c r="D80">
        <v>25.154981297255802</v>
      </c>
      <c r="E80">
        <v>215243.620896732</v>
      </c>
      <c r="F80" s="1">
        <v>46167.60628472222</v>
      </c>
      <c r="G80">
        <v>52.876186847654303</v>
      </c>
      <c r="H80" t="s">
        <v>15</v>
      </c>
      <c r="J80" t="s">
        <v>16</v>
      </c>
      <c r="K80">
        <v>577007.90534456098</v>
      </c>
      <c r="L80" t="s">
        <v>17</v>
      </c>
      <c r="M80">
        <v>0</v>
      </c>
      <c r="N80">
        <v>0.37303409347260003</v>
      </c>
    </row>
    <row r="81" spans="2:14" x14ac:dyDescent="0.25">
      <c r="B81" t="s">
        <v>14</v>
      </c>
      <c r="C81" s="1">
        <v>46167.999988425923</v>
      </c>
      <c r="D81">
        <v>25.154981297255802</v>
      </c>
      <c r="E81">
        <v>215243.620896732</v>
      </c>
      <c r="F81" s="1">
        <v>46167.60628472222</v>
      </c>
      <c r="G81">
        <v>52.876186847654303</v>
      </c>
      <c r="H81" t="s">
        <v>15</v>
      </c>
      <c r="J81" t="s">
        <v>16</v>
      </c>
      <c r="K81">
        <v>577007.90534456098</v>
      </c>
      <c r="L81" t="s">
        <v>17</v>
      </c>
      <c r="M81">
        <v>0</v>
      </c>
      <c r="N81">
        <v>0.37303409347260003</v>
      </c>
    </row>
    <row r="82" spans="2:14" x14ac:dyDescent="0.25">
      <c r="B82" t="s">
        <v>14</v>
      </c>
      <c r="C82" s="1">
        <v>46166.999988425923</v>
      </c>
      <c r="D82">
        <v>25.154981297255802</v>
      </c>
      <c r="E82">
        <v>140143.344553559</v>
      </c>
      <c r="F82" s="1">
        <v>46165.099259259259</v>
      </c>
      <c r="G82">
        <v>52.876186847654303</v>
      </c>
      <c r="H82" t="s">
        <v>15</v>
      </c>
      <c r="J82" t="s">
        <v>16</v>
      </c>
      <c r="K82">
        <v>577007.90534456098</v>
      </c>
      <c r="L82" t="s">
        <v>17</v>
      </c>
      <c r="M82">
        <v>-75100.276343173595</v>
      </c>
      <c r="N82">
        <v>0.24287941855817699</v>
      </c>
    </row>
    <row r="83" spans="2:14" x14ac:dyDescent="0.25">
      <c r="B83" t="s">
        <v>14</v>
      </c>
      <c r="C83" s="1">
        <v>46165.999988425923</v>
      </c>
      <c r="D83">
        <v>25.154981297255802</v>
      </c>
      <c r="E83">
        <v>140143.344553559</v>
      </c>
      <c r="F83" s="1">
        <v>46165.099259259259</v>
      </c>
      <c r="G83">
        <v>52.876186847654303</v>
      </c>
      <c r="H83" t="s">
        <v>15</v>
      </c>
      <c r="J83" t="s">
        <v>16</v>
      </c>
      <c r="K83">
        <v>577007.90534456098</v>
      </c>
      <c r="L83" t="s">
        <v>17</v>
      </c>
      <c r="M83">
        <v>0</v>
      </c>
      <c r="N83">
        <v>0.24287941855817699</v>
      </c>
    </row>
    <row r="84" spans="2:14" x14ac:dyDescent="0.25">
      <c r="B84" t="s">
        <v>14</v>
      </c>
      <c r="C84" s="1">
        <v>46164.999988425923</v>
      </c>
      <c r="D84">
        <v>25.154981297255802</v>
      </c>
      <c r="E84">
        <v>138739.93443952399</v>
      </c>
      <c r="F84" s="1">
        <v>46164.099143518521</v>
      </c>
      <c r="G84">
        <v>52.876186847654303</v>
      </c>
      <c r="H84" t="s">
        <v>15</v>
      </c>
      <c r="J84" t="s">
        <v>16</v>
      </c>
      <c r="K84">
        <v>577007.90534456098</v>
      </c>
      <c r="L84" t="s">
        <v>17</v>
      </c>
      <c r="M84">
        <v>-1403.41011403483</v>
      </c>
      <c r="N84">
        <v>0.240447198650901</v>
      </c>
    </row>
    <row r="85" spans="2:14" x14ac:dyDescent="0.25">
      <c r="B85" t="s">
        <v>14</v>
      </c>
      <c r="C85" s="1">
        <v>46163.999988425923</v>
      </c>
      <c r="D85">
        <v>25.154981297255802</v>
      </c>
      <c r="E85">
        <v>161871.68420648601</v>
      </c>
      <c r="F85" s="1">
        <v>46162.605624999997</v>
      </c>
      <c r="G85">
        <v>52.876186847654303</v>
      </c>
      <c r="H85" t="s">
        <v>15</v>
      </c>
      <c r="J85" t="s">
        <v>16</v>
      </c>
      <c r="K85">
        <v>577007.90534456098</v>
      </c>
      <c r="L85" t="s">
        <v>17</v>
      </c>
      <c r="M85">
        <v>23131.749766962101</v>
      </c>
      <c r="N85">
        <v>0.28053633703653302</v>
      </c>
    </row>
    <row r="86" spans="2:14" x14ac:dyDescent="0.25">
      <c r="B86" t="s">
        <v>14</v>
      </c>
      <c r="C86" s="1">
        <v>46162.999988425923</v>
      </c>
      <c r="D86">
        <v>25.154981297255802</v>
      </c>
      <c r="E86">
        <v>161871.68420648601</v>
      </c>
      <c r="F86" s="1">
        <v>46162.605624999997</v>
      </c>
      <c r="G86">
        <v>52.876186847654303</v>
      </c>
      <c r="H86" t="s">
        <v>15</v>
      </c>
      <c r="J86" t="s">
        <v>16</v>
      </c>
      <c r="K86">
        <v>577007.90534456098</v>
      </c>
      <c r="L86" t="s">
        <v>17</v>
      </c>
      <c r="M86">
        <v>0</v>
      </c>
      <c r="N86">
        <v>0.28053633703653302</v>
      </c>
    </row>
    <row r="87" spans="2:14" x14ac:dyDescent="0.25">
      <c r="B87" t="s">
        <v>14</v>
      </c>
      <c r="C87" s="1">
        <v>46161.999988425923</v>
      </c>
      <c r="D87">
        <v>25.154981297255802</v>
      </c>
      <c r="E87">
        <v>293402.466330764</v>
      </c>
      <c r="F87" s="1">
        <v>46161.605509259258</v>
      </c>
      <c r="G87">
        <v>52.876186847654303</v>
      </c>
      <c r="H87" t="s">
        <v>15</v>
      </c>
      <c r="J87" t="s">
        <v>16</v>
      </c>
      <c r="K87">
        <v>577007.90534456098</v>
      </c>
      <c r="L87" t="s">
        <v>17</v>
      </c>
      <c r="M87">
        <v>131530.782124277</v>
      </c>
      <c r="N87">
        <v>0.50848950874521903</v>
      </c>
    </row>
    <row r="88" spans="2:14" x14ac:dyDescent="0.25">
      <c r="B88" t="s">
        <v>14</v>
      </c>
      <c r="C88" s="1">
        <v>46160.999988425923</v>
      </c>
      <c r="D88">
        <v>25.154981297255802</v>
      </c>
      <c r="E88">
        <v>570730.86960155005</v>
      </c>
      <c r="F88" s="1">
        <v>46158.099791666667</v>
      </c>
      <c r="G88">
        <v>52.876186847654303</v>
      </c>
      <c r="H88" t="s">
        <v>15</v>
      </c>
      <c r="J88" t="s">
        <v>16</v>
      </c>
      <c r="K88">
        <v>577007.90534456098</v>
      </c>
      <c r="L88" t="s">
        <v>17</v>
      </c>
      <c r="M88">
        <v>277328.40327078599</v>
      </c>
      <c r="N88">
        <v>0.98912140425656303</v>
      </c>
    </row>
    <row r="89" spans="2:14" x14ac:dyDescent="0.25">
      <c r="B89" t="s">
        <v>14</v>
      </c>
      <c r="C89" s="1">
        <v>46159.999988425923</v>
      </c>
      <c r="D89">
        <v>25.154981297255802</v>
      </c>
      <c r="E89">
        <v>570730.86960155005</v>
      </c>
      <c r="F89" s="1">
        <v>46158.099791666667</v>
      </c>
      <c r="G89">
        <v>52.876186847654303</v>
      </c>
      <c r="H89" t="s">
        <v>15</v>
      </c>
      <c r="J89" t="s">
        <v>16</v>
      </c>
      <c r="K89">
        <v>577007.90534456098</v>
      </c>
      <c r="L89" t="s">
        <v>17</v>
      </c>
      <c r="M89">
        <v>0</v>
      </c>
      <c r="N89">
        <v>0.98912140425656303</v>
      </c>
    </row>
    <row r="90" spans="2:14" x14ac:dyDescent="0.25">
      <c r="B90" t="s">
        <v>14</v>
      </c>
      <c r="C90" s="1">
        <v>46158.999988425923</v>
      </c>
      <c r="D90">
        <v>25.154981297255802</v>
      </c>
      <c r="E90">
        <v>570730.86960155005</v>
      </c>
      <c r="F90" s="1">
        <v>46158.099791666667</v>
      </c>
      <c r="G90">
        <v>52.876186847654303</v>
      </c>
      <c r="H90" t="s">
        <v>15</v>
      </c>
      <c r="J90" t="s">
        <v>16</v>
      </c>
      <c r="K90">
        <v>577007.90534456098</v>
      </c>
      <c r="L90" t="s">
        <v>17</v>
      </c>
      <c r="M90">
        <v>0</v>
      </c>
      <c r="N90">
        <v>0.98912140425656303</v>
      </c>
    </row>
    <row r="91" spans="2:14" x14ac:dyDescent="0.25">
      <c r="B91" t="s">
        <v>14</v>
      </c>
      <c r="C91" s="1">
        <v>46157.999988425923</v>
      </c>
      <c r="D91">
        <v>25.154981297255802</v>
      </c>
      <c r="E91">
        <v>149492.82326978701</v>
      </c>
      <c r="F91" s="1">
        <v>46155.60628472222</v>
      </c>
      <c r="G91">
        <v>52.876186847654303</v>
      </c>
      <c r="H91" t="s">
        <v>15</v>
      </c>
      <c r="J91" t="s">
        <v>16</v>
      </c>
      <c r="K91">
        <v>577007.90534456098</v>
      </c>
      <c r="L91" t="s">
        <v>17</v>
      </c>
      <c r="M91">
        <v>-421238.04633176298</v>
      </c>
      <c r="N91">
        <v>0.25908279918715699</v>
      </c>
    </row>
    <row r="92" spans="2:14" x14ac:dyDescent="0.25">
      <c r="B92" t="s">
        <v>14</v>
      </c>
      <c r="C92" s="1">
        <v>46156.999988425923</v>
      </c>
      <c r="D92">
        <v>25.154981297255802</v>
      </c>
      <c r="E92">
        <v>149492.82326978701</v>
      </c>
      <c r="F92" s="1">
        <v>46155.60628472222</v>
      </c>
      <c r="G92">
        <v>52.876186847654303</v>
      </c>
      <c r="H92" t="s">
        <v>15</v>
      </c>
      <c r="J92" t="s">
        <v>16</v>
      </c>
      <c r="K92">
        <v>577007.90534456098</v>
      </c>
      <c r="L92" t="s">
        <v>17</v>
      </c>
      <c r="M92">
        <v>0</v>
      </c>
      <c r="N92">
        <v>0.25908279918715699</v>
      </c>
    </row>
    <row r="93" spans="2:14" x14ac:dyDescent="0.25">
      <c r="B93" t="s">
        <v>14</v>
      </c>
      <c r="C93" s="1">
        <v>46155.999988425923</v>
      </c>
      <c r="D93">
        <v>25.154981297255802</v>
      </c>
      <c r="E93">
        <v>149492.82326978701</v>
      </c>
      <c r="F93" s="1">
        <v>46155.60628472222</v>
      </c>
      <c r="G93">
        <v>52.876186847654303</v>
      </c>
      <c r="H93" t="s">
        <v>15</v>
      </c>
      <c r="J93" t="s">
        <v>16</v>
      </c>
      <c r="K93">
        <v>577007.90534456098</v>
      </c>
      <c r="L93" t="s">
        <v>17</v>
      </c>
      <c r="M93">
        <v>0</v>
      </c>
      <c r="N93">
        <v>0.25908279918715699</v>
      </c>
    </row>
    <row r="94" spans="2:14" x14ac:dyDescent="0.25">
      <c r="B94" t="s">
        <v>14</v>
      </c>
      <c r="C94" s="1">
        <v>46154.999988425923</v>
      </c>
      <c r="D94">
        <v>25.154981297255802</v>
      </c>
      <c r="E94">
        <v>525565.47992577602</v>
      </c>
      <c r="F94" s="1">
        <v>46153.099247685182</v>
      </c>
      <c r="G94">
        <v>52.876186847654303</v>
      </c>
      <c r="H94" t="s">
        <v>15</v>
      </c>
      <c r="J94" t="s">
        <v>16</v>
      </c>
      <c r="K94">
        <v>577007.90534456098</v>
      </c>
      <c r="L94" t="s">
        <v>17</v>
      </c>
      <c r="M94">
        <v>376072.65665598901</v>
      </c>
      <c r="N94">
        <v>0.91084623808045395</v>
      </c>
    </row>
    <row r="95" spans="2:14" x14ac:dyDescent="0.25">
      <c r="B95" t="s">
        <v>14</v>
      </c>
      <c r="C95" s="1">
        <v>46153.999988425923</v>
      </c>
      <c r="D95">
        <v>25.154981297255802</v>
      </c>
      <c r="E95">
        <v>525565.47992577602</v>
      </c>
      <c r="F95" s="1">
        <v>46153.099247685182</v>
      </c>
      <c r="G95">
        <v>52.876186847654303</v>
      </c>
      <c r="H95" t="s">
        <v>15</v>
      </c>
      <c r="J95" t="s">
        <v>16</v>
      </c>
      <c r="K95">
        <v>577007.90534456098</v>
      </c>
      <c r="L95" t="s">
        <v>17</v>
      </c>
      <c r="M95">
        <v>0</v>
      </c>
      <c r="N95">
        <v>0.91084623808045395</v>
      </c>
    </row>
    <row r="96" spans="2:14" x14ac:dyDescent="0.25">
      <c r="B96" t="s">
        <v>14</v>
      </c>
      <c r="C96" s="1">
        <v>46152.999988425923</v>
      </c>
      <c r="D96">
        <v>25.154981297255802</v>
      </c>
      <c r="E96">
        <v>497782.17085568799</v>
      </c>
      <c r="F96" s="1">
        <v>46150.605613425927</v>
      </c>
      <c r="G96">
        <v>52.876186847654303</v>
      </c>
      <c r="H96" t="s">
        <v>15</v>
      </c>
      <c r="J96" t="s">
        <v>16</v>
      </c>
      <c r="K96">
        <v>577007.90534456098</v>
      </c>
      <c r="L96" t="s">
        <v>17</v>
      </c>
      <c r="M96">
        <v>-27783.309070087998</v>
      </c>
      <c r="N96">
        <v>0.86269558223545795</v>
      </c>
    </row>
    <row r="97" spans="2:14" x14ac:dyDescent="0.25">
      <c r="B97" t="s">
        <v>14</v>
      </c>
      <c r="C97" s="1">
        <v>46151.999988425923</v>
      </c>
      <c r="D97">
        <v>25.154981297255802</v>
      </c>
      <c r="E97">
        <v>497782.17085568799</v>
      </c>
      <c r="F97" s="1">
        <v>46150.605613425927</v>
      </c>
      <c r="G97">
        <v>52.876186847654303</v>
      </c>
      <c r="H97" t="s">
        <v>15</v>
      </c>
      <c r="J97" t="s">
        <v>16</v>
      </c>
      <c r="K97">
        <v>577007.90534456098</v>
      </c>
      <c r="L97" t="s">
        <v>17</v>
      </c>
      <c r="M97">
        <v>0</v>
      </c>
      <c r="N97">
        <v>0.86269558223545795</v>
      </c>
    </row>
    <row r="98" spans="2:14" x14ac:dyDescent="0.25">
      <c r="B98" t="s">
        <v>14</v>
      </c>
      <c r="C98" s="1">
        <v>46150.999988425923</v>
      </c>
      <c r="D98">
        <v>25.154981297255802</v>
      </c>
      <c r="E98">
        <v>497782.17085568799</v>
      </c>
      <c r="F98" s="1">
        <v>46150.605613425927</v>
      </c>
      <c r="G98">
        <v>52.876186847654303</v>
      </c>
      <c r="H98" t="s">
        <v>15</v>
      </c>
      <c r="J98" t="s">
        <v>16</v>
      </c>
      <c r="K98">
        <v>577007.90534456098</v>
      </c>
      <c r="L98" t="s">
        <v>17</v>
      </c>
      <c r="M98">
        <v>0</v>
      </c>
      <c r="N98">
        <v>0.86269558223545795</v>
      </c>
    </row>
    <row r="99" spans="2:14" x14ac:dyDescent="0.25">
      <c r="B99" t="s">
        <v>14</v>
      </c>
      <c r="C99" s="1">
        <v>46149.999988425923</v>
      </c>
      <c r="D99">
        <v>25.154981297255802</v>
      </c>
      <c r="E99">
        <v>299553.685829008</v>
      </c>
      <c r="F99" s="1">
        <v>46149.605497685188</v>
      </c>
      <c r="G99">
        <v>52.876186847654303</v>
      </c>
      <c r="H99" t="s">
        <v>15</v>
      </c>
      <c r="J99" t="s">
        <v>16</v>
      </c>
      <c r="K99">
        <v>577007.90534456098</v>
      </c>
      <c r="L99" t="s">
        <v>17</v>
      </c>
      <c r="M99">
        <v>-198228.48502667999</v>
      </c>
      <c r="N99">
        <v>0.51915005505882805</v>
      </c>
    </row>
    <row r="100" spans="2:14" x14ac:dyDescent="0.25">
      <c r="B100" t="s">
        <v>14</v>
      </c>
      <c r="C100" s="1">
        <v>46148.999988425923</v>
      </c>
      <c r="D100">
        <v>25.154981297255802</v>
      </c>
      <c r="E100">
        <v>518447.80145327997</v>
      </c>
      <c r="F100" s="1">
        <v>46146.099803240744</v>
      </c>
      <c r="G100">
        <v>52.876186847654303</v>
      </c>
      <c r="H100" t="s">
        <v>15</v>
      </c>
      <c r="J100" t="s">
        <v>16</v>
      </c>
      <c r="K100">
        <v>577007.90534456098</v>
      </c>
      <c r="L100" t="s">
        <v>17</v>
      </c>
      <c r="M100">
        <v>218894.115624272</v>
      </c>
      <c r="N100">
        <v>0.89851074248920104</v>
      </c>
    </row>
    <row r="101" spans="2:14" x14ac:dyDescent="0.25">
      <c r="B101" t="s">
        <v>14</v>
      </c>
      <c r="C101" s="1">
        <v>46147.999988425923</v>
      </c>
      <c r="D101">
        <v>25.154981297255802</v>
      </c>
      <c r="E101">
        <v>518447.80145327997</v>
      </c>
      <c r="F101" s="1">
        <v>46146.099803240744</v>
      </c>
      <c r="G101">
        <v>52.876186847654303</v>
      </c>
      <c r="H101" t="s">
        <v>15</v>
      </c>
      <c r="J101" t="s">
        <v>16</v>
      </c>
      <c r="K101">
        <v>577007.90534456098</v>
      </c>
      <c r="L101" t="s">
        <v>17</v>
      </c>
      <c r="M101">
        <v>0</v>
      </c>
      <c r="N101">
        <v>0.89851074248920104</v>
      </c>
    </row>
    <row r="102" spans="2:14" x14ac:dyDescent="0.25">
      <c r="B102" t="s">
        <v>14</v>
      </c>
      <c r="C102" s="1">
        <v>46146.999988425923</v>
      </c>
      <c r="D102">
        <v>25.154981297255802</v>
      </c>
      <c r="E102">
        <v>518447.80145327997</v>
      </c>
      <c r="F102" s="1">
        <v>46146.099803240744</v>
      </c>
      <c r="G102">
        <v>52.876186847654303</v>
      </c>
      <c r="H102" t="s">
        <v>15</v>
      </c>
      <c r="J102" t="s">
        <v>16</v>
      </c>
      <c r="K102">
        <v>577007.90534456098</v>
      </c>
      <c r="L102" t="s">
        <v>17</v>
      </c>
      <c r="M102">
        <v>0</v>
      </c>
      <c r="N102">
        <v>0.89851074248920104</v>
      </c>
    </row>
    <row r="103" spans="2:14" x14ac:dyDescent="0.25">
      <c r="B103" t="s">
        <v>14</v>
      </c>
      <c r="C103" s="1">
        <v>46145.999988425923</v>
      </c>
      <c r="D103">
        <v>25.154981297255802</v>
      </c>
      <c r="E103">
        <v>133165.75567228001</v>
      </c>
      <c r="F103" s="1">
        <v>46143.606296296297</v>
      </c>
      <c r="G103">
        <v>52.876186847654303</v>
      </c>
      <c r="H103" t="s">
        <v>15</v>
      </c>
      <c r="J103" t="s">
        <v>16</v>
      </c>
      <c r="K103">
        <v>577007.90534456098</v>
      </c>
      <c r="L103" t="s">
        <v>17</v>
      </c>
      <c r="M103">
        <v>-385282.04578099999</v>
      </c>
      <c r="N103">
        <v>0.23078670922673</v>
      </c>
    </row>
    <row r="104" spans="2:14" x14ac:dyDescent="0.25">
      <c r="B104" t="s">
        <v>14</v>
      </c>
      <c r="C104" s="1">
        <v>46144.999988425923</v>
      </c>
      <c r="D104">
        <v>25.154981297255802</v>
      </c>
      <c r="E104">
        <v>133165.75567228001</v>
      </c>
      <c r="F104" s="1">
        <v>46143.606296296297</v>
      </c>
      <c r="G104">
        <v>52.876186847654303</v>
      </c>
      <c r="H104" t="s">
        <v>15</v>
      </c>
      <c r="J104" t="s">
        <v>16</v>
      </c>
      <c r="K104">
        <v>577007.90534456098</v>
      </c>
      <c r="L104" t="s">
        <v>17</v>
      </c>
      <c r="M104">
        <v>0</v>
      </c>
      <c r="N104">
        <v>0.23078670922673</v>
      </c>
    </row>
    <row r="105" spans="2:14" x14ac:dyDescent="0.25">
      <c r="B105" t="s">
        <v>14</v>
      </c>
      <c r="C105" s="1">
        <v>46143.999988425923</v>
      </c>
      <c r="D105">
        <v>25.154981297255802</v>
      </c>
      <c r="E105">
        <v>133165.75567228001</v>
      </c>
      <c r="F105" s="1">
        <v>46143.606296296297</v>
      </c>
      <c r="G105">
        <v>52.876186847654303</v>
      </c>
      <c r="H105" t="s">
        <v>15</v>
      </c>
      <c r="J105" t="s">
        <v>16</v>
      </c>
      <c r="K105">
        <v>577007.90534456098</v>
      </c>
      <c r="L105" t="s">
        <v>17</v>
      </c>
      <c r="M105">
        <v>0</v>
      </c>
      <c r="N105">
        <v>0.23078670922673</v>
      </c>
    </row>
    <row r="106" spans="2:14" x14ac:dyDescent="0.25">
      <c r="B106" t="s">
        <v>14</v>
      </c>
      <c r="C106" s="1">
        <v>46142.999988425923</v>
      </c>
      <c r="D106">
        <v>25.154981297255802</v>
      </c>
      <c r="E106">
        <v>350884.96549968398</v>
      </c>
      <c r="F106" s="1">
        <v>46140.099120370367</v>
      </c>
      <c r="G106">
        <v>52.876186847654303</v>
      </c>
      <c r="H106" t="s">
        <v>15</v>
      </c>
      <c r="J106" t="s">
        <v>16</v>
      </c>
      <c r="K106">
        <v>577007.90534456098</v>
      </c>
      <c r="L106" t="s">
        <v>17</v>
      </c>
      <c r="M106">
        <v>217719.20982740301</v>
      </c>
      <c r="N106">
        <v>0.60811119267101199</v>
      </c>
    </row>
    <row r="107" spans="2:14" x14ac:dyDescent="0.25">
      <c r="B107" t="s">
        <v>14</v>
      </c>
      <c r="C107" s="1">
        <v>46141.999988425923</v>
      </c>
      <c r="D107">
        <v>25.154981297255802</v>
      </c>
      <c r="E107">
        <v>350884.96549968398</v>
      </c>
      <c r="F107" s="1">
        <v>46140.099120370367</v>
      </c>
      <c r="G107">
        <v>52.876186847654303</v>
      </c>
      <c r="H107" t="s">
        <v>15</v>
      </c>
      <c r="J107" t="s">
        <v>16</v>
      </c>
      <c r="K107">
        <v>577007.90534456098</v>
      </c>
      <c r="L107" t="s">
        <v>17</v>
      </c>
      <c r="M107">
        <v>0</v>
      </c>
      <c r="N107">
        <v>0.60811119267101199</v>
      </c>
    </row>
    <row r="108" spans="2:14" x14ac:dyDescent="0.25">
      <c r="B108" t="s">
        <v>14</v>
      </c>
      <c r="C108" s="1">
        <v>46140.999988425923</v>
      </c>
      <c r="D108">
        <v>25.154981297255802</v>
      </c>
      <c r="E108">
        <v>350884.96549968398</v>
      </c>
      <c r="F108" s="1">
        <v>46140.099120370367</v>
      </c>
      <c r="G108">
        <v>52.876186847654303</v>
      </c>
      <c r="H108" t="s">
        <v>15</v>
      </c>
      <c r="J108" t="s">
        <v>16</v>
      </c>
      <c r="K108">
        <v>577007.90534456098</v>
      </c>
      <c r="L108" t="s">
        <v>17</v>
      </c>
      <c r="M108">
        <v>0</v>
      </c>
      <c r="N108">
        <v>0.60811119267101199</v>
      </c>
    </row>
    <row r="109" spans="2:14" x14ac:dyDescent="0.25">
      <c r="B109" t="s">
        <v>14</v>
      </c>
      <c r="C109" s="1">
        <v>46139.999988425923</v>
      </c>
      <c r="D109">
        <v>25.154981297255802</v>
      </c>
      <c r="E109">
        <v>518437.562770947</v>
      </c>
      <c r="F109" s="1">
        <v>46137.605486111112</v>
      </c>
      <c r="G109">
        <v>52.876186847654303</v>
      </c>
      <c r="H109" t="s">
        <v>15</v>
      </c>
      <c r="J109" t="s">
        <v>16</v>
      </c>
      <c r="K109">
        <v>577007.90534456098</v>
      </c>
      <c r="L109" t="s">
        <v>17</v>
      </c>
      <c r="M109">
        <v>167552.59727126299</v>
      </c>
      <c r="N109">
        <v>0.89849299804889304</v>
      </c>
    </row>
    <row r="110" spans="2:14" x14ac:dyDescent="0.25">
      <c r="B110" t="s">
        <v>14</v>
      </c>
      <c r="C110" s="1">
        <v>46138.999988425923</v>
      </c>
      <c r="D110">
        <v>25.154981297255802</v>
      </c>
      <c r="E110">
        <v>518437.562770947</v>
      </c>
      <c r="F110" s="1">
        <v>46137.605486111112</v>
      </c>
      <c r="G110">
        <v>52.876186847654303</v>
      </c>
      <c r="H110" t="s">
        <v>15</v>
      </c>
      <c r="J110" t="s">
        <v>16</v>
      </c>
      <c r="K110">
        <v>577007.90534456098</v>
      </c>
      <c r="L110" t="s">
        <v>17</v>
      </c>
      <c r="M110">
        <v>0</v>
      </c>
      <c r="N110">
        <v>0.89849299804889304</v>
      </c>
    </row>
    <row r="111" spans="2:14" x14ac:dyDescent="0.25">
      <c r="B111" t="s">
        <v>14</v>
      </c>
      <c r="C111" s="1">
        <v>46137.999988425923</v>
      </c>
      <c r="D111">
        <v>25.154981297255802</v>
      </c>
      <c r="E111">
        <v>518437.562770947</v>
      </c>
      <c r="F111" s="1">
        <v>46137.605486111112</v>
      </c>
      <c r="G111">
        <v>52.876186847654303</v>
      </c>
      <c r="H111" t="s">
        <v>15</v>
      </c>
      <c r="J111" t="s">
        <v>16</v>
      </c>
      <c r="K111">
        <v>577007.90534456098</v>
      </c>
      <c r="L111" t="s">
        <v>17</v>
      </c>
      <c r="M111">
        <v>0</v>
      </c>
      <c r="N111">
        <v>0.89849299804889304</v>
      </c>
    </row>
    <row r="112" spans="2:14" x14ac:dyDescent="0.25">
      <c r="B112" t="s">
        <v>14</v>
      </c>
      <c r="C112" s="1">
        <v>46136.999988425923</v>
      </c>
      <c r="D112">
        <v>25.154981297255802</v>
      </c>
      <c r="E112">
        <v>180349.33426065999</v>
      </c>
      <c r="F112" s="1">
        <v>46134.099803240744</v>
      </c>
      <c r="G112">
        <v>52.876186847654303</v>
      </c>
      <c r="H112" t="s">
        <v>15</v>
      </c>
      <c r="J112" t="s">
        <v>16</v>
      </c>
      <c r="K112">
        <v>577007.90534456098</v>
      </c>
      <c r="L112" t="s">
        <v>17</v>
      </c>
      <c r="M112">
        <v>-338088.22851028602</v>
      </c>
      <c r="N112">
        <v>0.312559555233414</v>
      </c>
    </row>
    <row r="113" spans="2:14" x14ac:dyDescent="0.25">
      <c r="B113" t="s">
        <v>14</v>
      </c>
      <c r="C113" s="1">
        <v>46135.999988425923</v>
      </c>
      <c r="D113">
        <v>25.154981297255802</v>
      </c>
      <c r="E113">
        <v>180349.33426065999</v>
      </c>
      <c r="F113" s="1">
        <v>46134.099803240744</v>
      </c>
      <c r="G113">
        <v>52.876186847654303</v>
      </c>
      <c r="H113" t="s">
        <v>15</v>
      </c>
      <c r="J113" t="s">
        <v>16</v>
      </c>
      <c r="K113">
        <v>577007.90534456098</v>
      </c>
      <c r="L113" t="s">
        <v>17</v>
      </c>
      <c r="M113">
        <v>0</v>
      </c>
      <c r="N113">
        <v>0.312559555233414</v>
      </c>
    </row>
    <row r="114" spans="2:14" x14ac:dyDescent="0.25">
      <c r="B114" t="s">
        <v>14</v>
      </c>
      <c r="C114" s="1">
        <v>46134.999988425923</v>
      </c>
      <c r="D114">
        <v>25.154981297255802</v>
      </c>
      <c r="E114">
        <v>180349.33426065999</v>
      </c>
      <c r="F114" s="1">
        <v>46134.099803240744</v>
      </c>
      <c r="G114">
        <v>52.876186847654303</v>
      </c>
      <c r="H114" t="s">
        <v>15</v>
      </c>
      <c r="J114" t="s">
        <v>16</v>
      </c>
      <c r="K114">
        <v>577007.90534456098</v>
      </c>
      <c r="L114" t="s">
        <v>17</v>
      </c>
      <c r="M114">
        <v>0</v>
      </c>
      <c r="N114">
        <v>0.312559555233414</v>
      </c>
    </row>
    <row r="115" spans="2:14" x14ac:dyDescent="0.25">
      <c r="B115" t="s">
        <v>14</v>
      </c>
      <c r="C115" s="1">
        <v>46133.999988425923</v>
      </c>
      <c r="D115">
        <v>25.154981297255802</v>
      </c>
      <c r="E115">
        <v>536153.03145067103</v>
      </c>
      <c r="F115" s="1">
        <v>46131.606296296297</v>
      </c>
      <c r="G115">
        <v>52.876186847654303</v>
      </c>
      <c r="H115" t="s">
        <v>15</v>
      </c>
      <c r="J115" t="s">
        <v>16</v>
      </c>
      <c r="K115">
        <v>577007.90534456098</v>
      </c>
      <c r="L115" t="s">
        <v>17</v>
      </c>
      <c r="M115">
        <v>355803.69719000999</v>
      </c>
      <c r="N115">
        <v>0.92919529608611895</v>
      </c>
    </row>
    <row r="116" spans="2:14" x14ac:dyDescent="0.25">
      <c r="B116" t="s">
        <v>14</v>
      </c>
      <c r="C116" s="1">
        <v>46132.999988425923</v>
      </c>
      <c r="D116">
        <v>25.154981297255802</v>
      </c>
      <c r="E116">
        <v>536153.03145067103</v>
      </c>
      <c r="F116" s="1">
        <v>46131.606296296297</v>
      </c>
      <c r="G116">
        <v>52.876186847654303</v>
      </c>
      <c r="H116" t="s">
        <v>15</v>
      </c>
      <c r="J116" t="s">
        <v>16</v>
      </c>
      <c r="K116">
        <v>577007.90534456098</v>
      </c>
      <c r="L116" t="s">
        <v>17</v>
      </c>
      <c r="M116">
        <v>0</v>
      </c>
      <c r="N116">
        <v>0.92919529608611895</v>
      </c>
    </row>
    <row r="117" spans="2:14" x14ac:dyDescent="0.25">
      <c r="B117" t="s">
        <v>14</v>
      </c>
      <c r="C117" s="1">
        <v>46131.999988425923</v>
      </c>
      <c r="D117">
        <v>25.154981297255802</v>
      </c>
      <c r="E117">
        <v>536153.03145067103</v>
      </c>
      <c r="F117" s="1">
        <v>46131.606296296297</v>
      </c>
      <c r="G117">
        <v>52.876186847654303</v>
      </c>
      <c r="H117" t="s">
        <v>15</v>
      </c>
      <c r="J117" t="s">
        <v>16</v>
      </c>
      <c r="K117">
        <v>577007.90534456098</v>
      </c>
      <c r="L117" t="s">
        <v>17</v>
      </c>
      <c r="M117">
        <v>0</v>
      </c>
      <c r="N117">
        <v>0.92919529608611895</v>
      </c>
    </row>
    <row r="118" spans="2:14" x14ac:dyDescent="0.25">
      <c r="B118" t="s">
        <v>14</v>
      </c>
      <c r="C118" s="1">
        <v>46130.999988425923</v>
      </c>
      <c r="D118">
        <v>25.154981297255802</v>
      </c>
      <c r="E118">
        <v>523127.95052367798</v>
      </c>
      <c r="F118" s="1">
        <v>46128.099108796298</v>
      </c>
      <c r="G118">
        <v>52.876186847654303</v>
      </c>
      <c r="H118" t="s">
        <v>15</v>
      </c>
      <c r="J118" t="s">
        <v>16</v>
      </c>
      <c r="K118">
        <v>577007.90534456098</v>
      </c>
      <c r="L118" t="s">
        <v>17</v>
      </c>
      <c r="M118">
        <v>-13025.080926992399</v>
      </c>
      <c r="N118">
        <v>0.906621808259787</v>
      </c>
    </row>
    <row r="119" spans="2:14" x14ac:dyDescent="0.25">
      <c r="B119" t="s">
        <v>14</v>
      </c>
      <c r="C119" s="1">
        <v>46129.999988425923</v>
      </c>
      <c r="D119">
        <v>25.154981297255802</v>
      </c>
      <c r="E119">
        <v>523127.95052367798</v>
      </c>
      <c r="F119" s="1">
        <v>46128.099108796298</v>
      </c>
      <c r="G119">
        <v>52.876186847654303</v>
      </c>
      <c r="H119" t="s">
        <v>15</v>
      </c>
      <c r="J119" t="s">
        <v>16</v>
      </c>
      <c r="K119">
        <v>577007.90534456098</v>
      </c>
      <c r="L119" t="s">
        <v>17</v>
      </c>
      <c r="M119">
        <v>0</v>
      </c>
      <c r="N119">
        <v>0.906621808259787</v>
      </c>
    </row>
    <row r="120" spans="2:14" x14ac:dyDescent="0.25">
      <c r="B120" t="s">
        <v>14</v>
      </c>
      <c r="C120" s="1">
        <v>46128.999988425923</v>
      </c>
      <c r="D120">
        <v>25.154981297255802</v>
      </c>
      <c r="E120">
        <v>523127.95052367798</v>
      </c>
      <c r="F120" s="1">
        <v>46128.099108796298</v>
      </c>
      <c r="G120">
        <v>52.876186847654303</v>
      </c>
      <c r="H120" t="s">
        <v>15</v>
      </c>
      <c r="J120" t="s">
        <v>16</v>
      </c>
      <c r="K120">
        <v>577007.90534456098</v>
      </c>
      <c r="L120" t="s">
        <v>17</v>
      </c>
      <c r="M120">
        <v>0</v>
      </c>
      <c r="N120">
        <v>0.906621808259787</v>
      </c>
    </row>
    <row r="121" spans="2:14" x14ac:dyDescent="0.25">
      <c r="B121" t="s">
        <v>14</v>
      </c>
      <c r="C121" s="1">
        <v>46127.999988425923</v>
      </c>
      <c r="D121">
        <v>25.154981297255802</v>
      </c>
      <c r="E121">
        <v>523491.97563128098</v>
      </c>
      <c r="F121" s="1">
        <v>46125.605486111112</v>
      </c>
      <c r="G121">
        <v>52.876186847654303</v>
      </c>
      <c r="H121" t="s">
        <v>15</v>
      </c>
      <c r="J121" t="s">
        <v>16</v>
      </c>
      <c r="K121">
        <v>577007.90534456098</v>
      </c>
      <c r="L121" t="s">
        <v>17</v>
      </c>
      <c r="M121">
        <v>364.025107603229</v>
      </c>
      <c r="N121">
        <v>0.90725269235033701</v>
      </c>
    </row>
    <row r="122" spans="2:14" x14ac:dyDescent="0.25">
      <c r="B122" t="s">
        <v>14</v>
      </c>
      <c r="C122" s="1">
        <v>46126.999988425923</v>
      </c>
      <c r="D122">
        <v>25.154981297255802</v>
      </c>
      <c r="E122">
        <v>523491.97563128098</v>
      </c>
      <c r="F122" s="1">
        <v>46125.605486111112</v>
      </c>
      <c r="G122">
        <v>52.876186847654303</v>
      </c>
      <c r="H122" t="s">
        <v>15</v>
      </c>
      <c r="J122" t="s">
        <v>16</v>
      </c>
      <c r="K122">
        <v>577007.90534456098</v>
      </c>
      <c r="L122" t="s">
        <v>17</v>
      </c>
      <c r="M122">
        <v>0</v>
      </c>
      <c r="N122">
        <v>0.90725269235033701</v>
      </c>
    </row>
    <row r="123" spans="2:14" x14ac:dyDescent="0.25">
      <c r="B123" t="s">
        <v>14</v>
      </c>
      <c r="C123" s="1">
        <v>46125.999988425923</v>
      </c>
      <c r="D123">
        <v>25.154981297255802</v>
      </c>
      <c r="E123">
        <v>523491.97563128098</v>
      </c>
      <c r="F123" s="1">
        <v>46125.605486111112</v>
      </c>
      <c r="G123">
        <v>52.876186847654303</v>
      </c>
      <c r="H123" t="s">
        <v>15</v>
      </c>
      <c r="J123" t="s">
        <v>16</v>
      </c>
      <c r="K123">
        <v>577007.90534456098</v>
      </c>
      <c r="L123" t="s">
        <v>17</v>
      </c>
      <c r="M123">
        <v>0</v>
      </c>
      <c r="N123">
        <v>0.90725269235033701</v>
      </c>
    </row>
    <row r="124" spans="2:14" x14ac:dyDescent="0.25">
      <c r="B124" t="s">
        <v>14</v>
      </c>
      <c r="C124" s="1">
        <v>46124.999988425923</v>
      </c>
      <c r="D124">
        <v>25.154981297255802</v>
      </c>
      <c r="E124">
        <v>523464.71264449402</v>
      </c>
      <c r="F124" s="1">
        <v>46122.099803240744</v>
      </c>
      <c r="G124">
        <v>52.876186847654303</v>
      </c>
      <c r="H124" t="s">
        <v>15</v>
      </c>
      <c r="J124" t="s">
        <v>16</v>
      </c>
      <c r="K124">
        <v>577007.90534456098</v>
      </c>
      <c r="L124" t="s">
        <v>17</v>
      </c>
      <c r="M124">
        <v>-27.2629867877694</v>
      </c>
      <c r="N124">
        <v>0.90720544345385701</v>
      </c>
    </row>
    <row r="125" spans="2:14" x14ac:dyDescent="0.25">
      <c r="B125" t="s">
        <v>14</v>
      </c>
      <c r="C125" s="1">
        <v>46123.999988425923</v>
      </c>
      <c r="D125">
        <v>25.154981297255802</v>
      </c>
      <c r="E125">
        <v>523464.71264449402</v>
      </c>
      <c r="F125" s="1">
        <v>46122.099803240744</v>
      </c>
      <c r="G125">
        <v>52.876186847654303</v>
      </c>
      <c r="H125" t="s">
        <v>15</v>
      </c>
      <c r="J125" t="s">
        <v>16</v>
      </c>
      <c r="K125">
        <v>577007.90534456098</v>
      </c>
      <c r="L125" t="s">
        <v>17</v>
      </c>
      <c r="M125">
        <v>0</v>
      </c>
      <c r="N125">
        <v>0.90720544345385701</v>
      </c>
    </row>
    <row r="126" spans="2:14" x14ac:dyDescent="0.25">
      <c r="B126" t="s">
        <v>14</v>
      </c>
      <c r="C126" s="1">
        <v>46122.999988425923</v>
      </c>
      <c r="D126">
        <v>25.154981297255802</v>
      </c>
      <c r="E126">
        <v>523464.71264449402</v>
      </c>
      <c r="F126" s="1">
        <v>46122.099803240744</v>
      </c>
      <c r="G126">
        <v>52.876186847654303</v>
      </c>
      <c r="H126" t="s">
        <v>15</v>
      </c>
      <c r="J126" t="s">
        <v>16</v>
      </c>
      <c r="K126">
        <v>577007.90534456098</v>
      </c>
      <c r="L126" t="s">
        <v>17</v>
      </c>
      <c r="M126">
        <v>0</v>
      </c>
      <c r="N126">
        <v>0.90720544345385701</v>
      </c>
    </row>
    <row r="127" spans="2:14" x14ac:dyDescent="0.25">
      <c r="B127" t="s">
        <v>14</v>
      </c>
      <c r="C127" s="1">
        <v>46121.999988425923</v>
      </c>
      <c r="D127">
        <v>25.154981297255802</v>
      </c>
      <c r="E127">
        <v>307342.783182282</v>
      </c>
      <c r="F127" s="1">
        <v>46119.606296296297</v>
      </c>
      <c r="G127">
        <v>52.876186847654303</v>
      </c>
      <c r="H127" t="s">
        <v>15</v>
      </c>
      <c r="J127" t="s">
        <v>16</v>
      </c>
      <c r="K127">
        <v>577007.90534456098</v>
      </c>
      <c r="L127" t="s">
        <v>17</v>
      </c>
      <c r="M127">
        <v>-216121.929462211</v>
      </c>
      <c r="N127">
        <v>0.53264917228257302</v>
      </c>
    </row>
    <row r="128" spans="2:14" x14ac:dyDescent="0.25">
      <c r="B128" t="s">
        <v>14</v>
      </c>
      <c r="C128" s="1">
        <v>46120.999988425923</v>
      </c>
      <c r="D128">
        <v>25.154981297255802</v>
      </c>
      <c r="E128">
        <v>307342.783182282</v>
      </c>
      <c r="F128" s="1">
        <v>46119.606296296297</v>
      </c>
      <c r="G128">
        <v>52.876186847654303</v>
      </c>
      <c r="H128" t="s">
        <v>15</v>
      </c>
      <c r="J128" t="s">
        <v>16</v>
      </c>
      <c r="K128">
        <v>577007.90534456098</v>
      </c>
      <c r="L128" t="s">
        <v>17</v>
      </c>
      <c r="M128">
        <v>0</v>
      </c>
      <c r="N128">
        <v>0.53264917228257302</v>
      </c>
    </row>
    <row r="129" spans="2:14" x14ac:dyDescent="0.25">
      <c r="B129" t="s">
        <v>14</v>
      </c>
      <c r="C129" s="1">
        <v>46119.999988425923</v>
      </c>
      <c r="D129">
        <v>25.154981297255802</v>
      </c>
      <c r="E129">
        <v>307342.783182282</v>
      </c>
      <c r="F129" s="1">
        <v>46119.606296296297</v>
      </c>
      <c r="G129">
        <v>52.876186847654303</v>
      </c>
      <c r="H129" t="s">
        <v>15</v>
      </c>
      <c r="J129" t="s">
        <v>16</v>
      </c>
      <c r="K129">
        <v>577007.90534456098</v>
      </c>
      <c r="L129" t="s">
        <v>17</v>
      </c>
      <c r="M129">
        <v>0</v>
      </c>
      <c r="N129">
        <v>0.53264917228257302</v>
      </c>
    </row>
    <row r="130" spans="2:14" x14ac:dyDescent="0.25">
      <c r="B130" t="s">
        <v>14</v>
      </c>
      <c r="C130" s="1">
        <v>46118.999988425923</v>
      </c>
      <c r="D130">
        <v>25.154981297255802</v>
      </c>
      <c r="E130">
        <v>458131.89388108102</v>
      </c>
      <c r="F130" s="1">
        <v>46116.099108796298</v>
      </c>
      <c r="G130">
        <v>52.876186847654303</v>
      </c>
      <c r="H130" t="s">
        <v>15</v>
      </c>
      <c r="J130" t="s">
        <v>16</v>
      </c>
      <c r="K130">
        <v>577007.90534456098</v>
      </c>
      <c r="L130" t="s">
        <v>17</v>
      </c>
      <c r="M130">
        <v>150789.11069879899</v>
      </c>
      <c r="N130">
        <v>0.79397853935381901</v>
      </c>
    </row>
    <row r="131" spans="2:14" x14ac:dyDescent="0.25">
      <c r="B131" t="s">
        <v>14</v>
      </c>
      <c r="C131" s="1">
        <v>46117.999988425923</v>
      </c>
      <c r="D131">
        <v>25.154981297255802</v>
      </c>
      <c r="E131">
        <v>458131.89388108102</v>
      </c>
      <c r="F131" s="1">
        <v>46116.099108796298</v>
      </c>
      <c r="G131">
        <v>52.876186847654303</v>
      </c>
      <c r="H131" t="s">
        <v>15</v>
      </c>
      <c r="J131" t="s">
        <v>16</v>
      </c>
      <c r="K131">
        <v>577007.90534456098</v>
      </c>
      <c r="L131" t="s">
        <v>17</v>
      </c>
      <c r="M131">
        <v>0</v>
      </c>
      <c r="N131">
        <v>0.79397853935381901</v>
      </c>
    </row>
    <row r="132" spans="2:14" x14ac:dyDescent="0.25">
      <c r="B132" t="s">
        <v>14</v>
      </c>
      <c r="C132" s="1">
        <v>46116.999988425923</v>
      </c>
      <c r="D132">
        <v>25.154981297255802</v>
      </c>
      <c r="E132">
        <v>458131.89388108102</v>
      </c>
      <c r="F132" s="1">
        <v>46116.099108796298</v>
      </c>
      <c r="G132">
        <v>52.876186847654303</v>
      </c>
      <c r="H132" t="s">
        <v>15</v>
      </c>
      <c r="J132" t="s">
        <v>16</v>
      </c>
      <c r="K132">
        <v>577007.90534456098</v>
      </c>
      <c r="L132" t="s">
        <v>17</v>
      </c>
      <c r="M132">
        <v>0</v>
      </c>
      <c r="N132">
        <v>0.79397853935381901</v>
      </c>
    </row>
    <row r="133" spans="2:14" x14ac:dyDescent="0.25">
      <c r="B133" t="s">
        <v>14</v>
      </c>
      <c r="C133" s="1">
        <v>46115.999988425923</v>
      </c>
      <c r="D133">
        <v>25.154981297255802</v>
      </c>
      <c r="E133">
        <v>494233.39863259997</v>
      </c>
      <c r="F133" s="1">
        <v>46113.605474537035</v>
      </c>
      <c r="G133">
        <v>52.876186847654303</v>
      </c>
      <c r="H133" t="s">
        <v>15</v>
      </c>
      <c r="J133" t="s">
        <v>16</v>
      </c>
      <c r="K133">
        <v>577007.90534456098</v>
      </c>
      <c r="L133" t="s">
        <v>17</v>
      </c>
      <c r="M133">
        <v>36101.5047515189</v>
      </c>
      <c r="N133">
        <v>0.856545281363984</v>
      </c>
    </row>
    <row r="134" spans="2:14" x14ac:dyDescent="0.25">
      <c r="B134" t="s">
        <v>14</v>
      </c>
      <c r="C134" s="1">
        <v>46114.999988425923</v>
      </c>
      <c r="D134">
        <v>25.154981297255802</v>
      </c>
      <c r="E134">
        <v>494233.39863259997</v>
      </c>
      <c r="F134" s="1">
        <v>46113.605474537035</v>
      </c>
      <c r="G134">
        <v>52.876186847654303</v>
      </c>
      <c r="H134" t="s">
        <v>15</v>
      </c>
      <c r="J134" t="s">
        <v>16</v>
      </c>
      <c r="K134">
        <v>577007.90534456098</v>
      </c>
      <c r="L134" t="s">
        <v>17</v>
      </c>
      <c r="M134">
        <v>0</v>
      </c>
      <c r="N134">
        <v>0.856545281363984</v>
      </c>
    </row>
    <row r="135" spans="2:14" x14ac:dyDescent="0.25">
      <c r="B135" t="s">
        <v>14</v>
      </c>
      <c r="C135" s="1">
        <v>46113.999988425923</v>
      </c>
      <c r="D135">
        <v>25.154981297255802</v>
      </c>
      <c r="E135">
        <v>494233.39863259997</v>
      </c>
      <c r="F135" s="1">
        <v>46113.605474537035</v>
      </c>
      <c r="G135">
        <v>52.876186847654303</v>
      </c>
      <c r="H135" t="s">
        <v>15</v>
      </c>
      <c r="J135" t="s">
        <v>16</v>
      </c>
      <c r="K135">
        <v>577007.90534456098</v>
      </c>
      <c r="L135" t="s">
        <v>17</v>
      </c>
      <c r="M135">
        <v>0</v>
      </c>
      <c r="N135">
        <v>0.856545281363984</v>
      </c>
    </row>
    <row r="136" spans="2:14" x14ac:dyDescent="0.25">
      <c r="B136" t="s">
        <v>14</v>
      </c>
      <c r="C136" s="1">
        <v>46112.999988425923</v>
      </c>
      <c r="D136">
        <v>25.154981297255802</v>
      </c>
      <c r="E136">
        <v>243833.40461708501</v>
      </c>
      <c r="F136" s="1">
        <v>46110.099803240744</v>
      </c>
      <c r="G136">
        <v>52.876186847654303</v>
      </c>
      <c r="H136" t="s">
        <v>15</v>
      </c>
      <c r="J136" t="s">
        <v>16</v>
      </c>
      <c r="K136">
        <v>577007.90534456098</v>
      </c>
      <c r="L136" t="s">
        <v>17</v>
      </c>
      <c r="M136">
        <v>-250399.99401551401</v>
      </c>
      <c r="N136">
        <v>0.42258243320163902</v>
      </c>
    </row>
    <row r="137" spans="2:14" x14ac:dyDescent="0.25">
      <c r="B137" t="s">
        <v>14</v>
      </c>
      <c r="C137" s="1">
        <v>46111.999988425923</v>
      </c>
      <c r="D137">
        <v>25.154981297255802</v>
      </c>
      <c r="E137">
        <v>243833.40461708501</v>
      </c>
      <c r="F137" s="1">
        <v>46110.099803240744</v>
      </c>
      <c r="G137">
        <v>52.876186847654303</v>
      </c>
      <c r="H137" t="s">
        <v>15</v>
      </c>
      <c r="J137" t="s">
        <v>16</v>
      </c>
      <c r="K137">
        <v>577007.90534456098</v>
      </c>
      <c r="L137" t="s">
        <v>17</v>
      </c>
      <c r="M137">
        <v>0</v>
      </c>
      <c r="N137">
        <v>0.42258243320163902</v>
      </c>
    </row>
    <row r="138" spans="2:14" x14ac:dyDescent="0.25">
      <c r="B138" t="s">
        <v>14</v>
      </c>
      <c r="C138" s="1">
        <v>46110.999988425923</v>
      </c>
      <c r="D138">
        <v>25.154981297255802</v>
      </c>
      <c r="E138">
        <v>243833.40461708501</v>
      </c>
      <c r="F138" s="1">
        <v>46110.099803240744</v>
      </c>
      <c r="G138">
        <v>52.876186847654303</v>
      </c>
      <c r="H138" t="s">
        <v>15</v>
      </c>
      <c r="J138" t="s">
        <v>16</v>
      </c>
      <c r="K138">
        <v>577007.90534456098</v>
      </c>
      <c r="L138" t="s">
        <v>17</v>
      </c>
      <c r="M138">
        <v>0</v>
      </c>
      <c r="N138">
        <v>0.42258243320163902</v>
      </c>
    </row>
    <row r="139" spans="2:14" x14ac:dyDescent="0.25">
      <c r="B139" t="s">
        <v>14</v>
      </c>
      <c r="C139" s="1">
        <v>46109.999988425923</v>
      </c>
      <c r="D139">
        <v>25.154981297255802</v>
      </c>
      <c r="E139">
        <v>217404.66294907001</v>
      </c>
      <c r="F139" s="1">
        <v>46107.606296296297</v>
      </c>
      <c r="G139">
        <v>52.876186847654303</v>
      </c>
      <c r="H139" t="s">
        <v>15</v>
      </c>
      <c r="J139" t="s">
        <v>16</v>
      </c>
      <c r="K139">
        <v>577007.90534456098</v>
      </c>
      <c r="L139" t="s">
        <v>17</v>
      </c>
      <c r="M139">
        <v>-26428.741668015598</v>
      </c>
      <c r="N139">
        <v>0.37677934900951898</v>
      </c>
    </row>
    <row r="140" spans="2:14" x14ac:dyDescent="0.25">
      <c r="B140" t="s">
        <v>14</v>
      </c>
      <c r="C140" s="1">
        <v>46108.999988425923</v>
      </c>
      <c r="D140">
        <v>25.154981297255802</v>
      </c>
      <c r="E140">
        <v>217404.66294907001</v>
      </c>
      <c r="F140" s="1">
        <v>46107.606296296297</v>
      </c>
      <c r="G140">
        <v>52.876186847654303</v>
      </c>
      <c r="H140" t="s">
        <v>15</v>
      </c>
      <c r="J140" t="s">
        <v>16</v>
      </c>
      <c r="K140">
        <v>577007.90534456098</v>
      </c>
      <c r="L140" t="s">
        <v>17</v>
      </c>
      <c r="M140">
        <v>0</v>
      </c>
      <c r="N140">
        <v>0.37677934900951898</v>
      </c>
    </row>
    <row r="141" spans="2:14" x14ac:dyDescent="0.25">
      <c r="B141" t="s">
        <v>14</v>
      </c>
      <c r="C141" s="1">
        <v>46107.999988425923</v>
      </c>
      <c r="D141">
        <v>25.154981297255802</v>
      </c>
      <c r="E141">
        <v>217404.66294907001</v>
      </c>
      <c r="F141" s="1">
        <v>46107.606296296297</v>
      </c>
      <c r="G141">
        <v>52.876186847654303</v>
      </c>
      <c r="H141" t="s">
        <v>15</v>
      </c>
      <c r="J141" t="s">
        <v>16</v>
      </c>
      <c r="K141">
        <v>577007.90534456098</v>
      </c>
      <c r="L141" t="s">
        <v>17</v>
      </c>
      <c r="M141">
        <v>0</v>
      </c>
      <c r="N141">
        <v>0.37677934900951898</v>
      </c>
    </row>
    <row r="142" spans="2:14" x14ac:dyDescent="0.25">
      <c r="B142" t="s">
        <v>14</v>
      </c>
      <c r="C142" s="1">
        <v>46106.999988425923</v>
      </c>
      <c r="D142">
        <v>25.154981297255802</v>
      </c>
      <c r="E142">
        <v>238894.608391852</v>
      </c>
      <c r="F142" s="1">
        <v>46104.099108796298</v>
      </c>
      <c r="G142">
        <v>52.876186847654303</v>
      </c>
      <c r="H142" t="s">
        <v>15</v>
      </c>
      <c r="J142" t="s">
        <v>16</v>
      </c>
      <c r="K142">
        <v>577007.90534456098</v>
      </c>
      <c r="L142" t="s">
        <v>17</v>
      </c>
      <c r="M142">
        <v>21489.9454427827</v>
      </c>
      <c r="N142">
        <v>0.41402311160571797</v>
      </c>
    </row>
    <row r="143" spans="2:14" x14ac:dyDescent="0.25">
      <c r="B143" t="s">
        <v>14</v>
      </c>
      <c r="C143" s="1">
        <v>46105.999988425923</v>
      </c>
      <c r="D143">
        <v>25.154981297255802</v>
      </c>
      <c r="E143">
        <v>238894.608391852</v>
      </c>
      <c r="F143" s="1">
        <v>46104.099108796298</v>
      </c>
      <c r="G143">
        <v>52.876186847654303</v>
      </c>
      <c r="H143" t="s">
        <v>15</v>
      </c>
      <c r="J143" t="s">
        <v>16</v>
      </c>
      <c r="K143">
        <v>577007.90534456098</v>
      </c>
      <c r="L143" t="s">
        <v>17</v>
      </c>
      <c r="M143">
        <v>0</v>
      </c>
      <c r="N143">
        <v>0.41402311160571797</v>
      </c>
    </row>
    <row r="144" spans="2:14" x14ac:dyDescent="0.25">
      <c r="B144" t="s">
        <v>14</v>
      </c>
      <c r="C144" s="1">
        <v>46104.999988425923</v>
      </c>
      <c r="D144">
        <v>25.154981297255802</v>
      </c>
      <c r="E144">
        <v>238894.608391852</v>
      </c>
      <c r="F144" s="1">
        <v>46104.099108796298</v>
      </c>
      <c r="G144">
        <v>52.876186847654303</v>
      </c>
      <c r="H144" t="s">
        <v>15</v>
      </c>
      <c r="J144" t="s">
        <v>16</v>
      </c>
      <c r="K144">
        <v>577007.90534456098</v>
      </c>
      <c r="L144" t="s">
        <v>17</v>
      </c>
      <c r="M144">
        <v>0</v>
      </c>
      <c r="N144">
        <v>0.41402311160571797</v>
      </c>
    </row>
    <row r="145" spans="2:14" x14ac:dyDescent="0.25">
      <c r="B145" t="s">
        <v>14</v>
      </c>
      <c r="C145" s="1">
        <v>46103.999988425923</v>
      </c>
      <c r="D145">
        <v>25.154981297255802</v>
      </c>
      <c r="E145">
        <v>221873.42103501101</v>
      </c>
      <c r="F145" s="1">
        <v>46101.605474537035</v>
      </c>
      <c r="G145">
        <v>52.876186847654303</v>
      </c>
      <c r="H145" t="s">
        <v>15</v>
      </c>
      <c r="J145" t="s">
        <v>16</v>
      </c>
      <c r="K145">
        <v>577007.90534456098</v>
      </c>
      <c r="L145" t="s">
        <v>17</v>
      </c>
      <c r="M145">
        <v>-17021.187356841401</v>
      </c>
      <c r="N145">
        <v>0.38452405760804798</v>
      </c>
    </row>
    <row r="146" spans="2:14" x14ac:dyDescent="0.25">
      <c r="B146" t="s">
        <v>14</v>
      </c>
      <c r="C146" s="1">
        <v>46102.999988425923</v>
      </c>
      <c r="D146">
        <v>25.154981297255802</v>
      </c>
      <c r="E146">
        <v>221873.42103501101</v>
      </c>
      <c r="F146" s="1">
        <v>46101.605474537035</v>
      </c>
      <c r="G146">
        <v>52.876186847654303</v>
      </c>
      <c r="H146" t="s">
        <v>15</v>
      </c>
      <c r="J146" t="s">
        <v>16</v>
      </c>
      <c r="K146">
        <v>577007.90534456098</v>
      </c>
      <c r="L146" t="s">
        <v>17</v>
      </c>
      <c r="M146">
        <v>0</v>
      </c>
      <c r="N146">
        <v>0.38452405760804798</v>
      </c>
    </row>
    <row r="147" spans="2:14" x14ac:dyDescent="0.25">
      <c r="B147" t="s">
        <v>14</v>
      </c>
      <c r="C147" s="1">
        <v>46101.999988425923</v>
      </c>
      <c r="D147">
        <v>25.154981297255802</v>
      </c>
      <c r="E147">
        <v>221873.42103501101</v>
      </c>
      <c r="F147" s="1">
        <v>46101.605474537035</v>
      </c>
      <c r="G147">
        <v>52.876186847654303</v>
      </c>
      <c r="H147" t="s">
        <v>15</v>
      </c>
      <c r="J147" t="s">
        <v>16</v>
      </c>
      <c r="K147">
        <v>577007.90534456098</v>
      </c>
      <c r="L147" t="s">
        <v>17</v>
      </c>
      <c r="M147">
        <v>0</v>
      </c>
      <c r="N147">
        <v>0.38452405760804798</v>
      </c>
    </row>
    <row r="148" spans="2:14" x14ac:dyDescent="0.25">
      <c r="B148" t="s">
        <v>14</v>
      </c>
      <c r="C148" s="1">
        <v>46100.999988425923</v>
      </c>
      <c r="D148">
        <v>25.154981297255802</v>
      </c>
      <c r="E148">
        <v>143329.62974496899</v>
      </c>
      <c r="F148" s="1">
        <v>46098.099803240744</v>
      </c>
      <c r="G148">
        <v>52.876186847654303</v>
      </c>
      <c r="H148" t="s">
        <v>15</v>
      </c>
      <c r="J148" t="s">
        <v>16</v>
      </c>
      <c r="K148">
        <v>577007.90534456098</v>
      </c>
      <c r="L148" t="s">
        <v>17</v>
      </c>
      <c r="M148">
        <v>-78543.791290041496</v>
      </c>
      <c r="N148">
        <v>0.24840150094543301</v>
      </c>
    </row>
    <row r="149" spans="2:14" x14ac:dyDescent="0.25">
      <c r="B149" t="s">
        <v>14</v>
      </c>
      <c r="C149" s="1">
        <v>46099.999988425923</v>
      </c>
      <c r="D149">
        <v>25.154981297255802</v>
      </c>
      <c r="E149">
        <v>143329.62974496899</v>
      </c>
      <c r="F149" s="1">
        <v>46098.099803240744</v>
      </c>
      <c r="G149">
        <v>52.876186847654303</v>
      </c>
      <c r="H149" t="s">
        <v>15</v>
      </c>
      <c r="J149" t="s">
        <v>16</v>
      </c>
      <c r="K149">
        <v>577007.90534456098</v>
      </c>
      <c r="L149" t="s">
        <v>17</v>
      </c>
      <c r="M149">
        <v>0</v>
      </c>
      <c r="N149">
        <v>0.24840150094543301</v>
      </c>
    </row>
    <row r="150" spans="2:14" x14ac:dyDescent="0.25">
      <c r="B150" t="s">
        <v>14</v>
      </c>
      <c r="C150" s="1">
        <v>46098.999988425923</v>
      </c>
      <c r="D150">
        <v>25.154981297255802</v>
      </c>
      <c r="E150">
        <v>143329.62974496899</v>
      </c>
      <c r="F150" s="1">
        <v>46098.099803240744</v>
      </c>
      <c r="G150">
        <v>52.876186847654303</v>
      </c>
      <c r="H150" t="s">
        <v>15</v>
      </c>
      <c r="J150" t="s">
        <v>16</v>
      </c>
      <c r="K150">
        <v>577007.90534456098</v>
      </c>
      <c r="L150" t="s">
        <v>17</v>
      </c>
      <c r="M150">
        <v>0</v>
      </c>
      <c r="N150">
        <v>0.24840150094543301</v>
      </c>
    </row>
    <row r="151" spans="2:14" x14ac:dyDescent="0.25">
      <c r="B151" t="s">
        <v>14</v>
      </c>
      <c r="C151" s="1">
        <v>46097.999988425923</v>
      </c>
      <c r="D151">
        <v>25.154981297255802</v>
      </c>
      <c r="E151">
        <v>233266.40760638399</v>
      </c>
      <c r="F151" s="1">
        <v>46095.606296296297</v>
      </c>
      <c r="G151">
        <v>52.876186847654303</v>
      </c>
      <c r="H151" t="s">
        <v>15</v>
      </c>
      <c r="J151" t="s">
        <v>16</v>
      </c>
      <c r="K151">
        <v>577007.90534456098</v>
      </c>
      <c r="L151" t="s">
        <v>17</v>
      </c>
      <c r="M151">
        <v>89936.777861414099</v>
      </c>
      <c r="N151">
        <v>0.40426899778277398</v>
      </c>
    </row>
    <row r="152" spans="2:14" x14ac:dyDescent="0.25">
      <c r="B152" t="s">
        <v>14</v>
      </c>
      <c r="C152" s="1">
        <v>46096.999988425923</v>
      </c>
      <c r="D152">
        <v>25.154981297255802</v>
      </c>
      <c r="E152">
        <v>233266.40760638399</v>
      </c>
      <c r="F152" s="1">
        <v>46095.606296296297</v>
      </c>
      <c r="G152">
        <v>52.876186847654303</v>
      </c>
      <c r="H152" t="s">
        <v>15</v>
      </c>
      <c r="J152" t="s">
        <v>16</v>
      </c>
      <c r="K152">
        <v>577007.90534456098</v>
      </c>
      <c r="L152" t="s">
        <v>17</v>
      </c>
      <c r="M152">
        <v>0</v>
      </c>
      <c r="N152">
        <v>0.40426899778277398</v>
      </c>
    </row>
    <row r="153" spans="2:14" x14ac:dyDescent="0.25">
      <c r="B153" t="s">
        <v>14</v>
      </c>
      <c r="C153" s="1">
        <v>46095.999988425923</v>
      </c>
      <c r="D153">
        <v>25.154981297255802</v>
      </c>
      <c r="E153">
        <v>233266.40760638399</v>
      </c>
      <c r="F153" s="1">
        <v>46095.606296296297</v>
      </c>
      <c r="G153">
        <v>52.876186847654303</v>
      </c>
      <c r="H153" t="s">
        <v>15</v>
      </c>
      <c r="J153" t="s">
        <v>16</v>
      </c>
      <c r="K153">
        <v>577007.90534456098</v>
      </c>
      <c r="L153" t="s">
        <v>17</v>
      </c>
      <c r="M153">
        <v>0</v>
      </c>
      <c r="N153">
        <v>0.40426899778277398</v>
      </c>
    </row>
    <row r="154" spans="2:14" x14ac:dyDescent="0.25">
      <c r="B154" t="s">
        <v>14</v>
      </c>
      <c r="C154" s="1">
        <v>46094.999988425923</v>
      </c>
      <c r="D154">
        <v>25.154981297255802</v>
      </c>
      <c r="E154">
        <v>244155.091310488</v>
      </c>
      <c r="F154" s="1">
        <v>46092.099097222221</v>
      </c>
      <c r="G154">
        <v>52.876186847654303</v>
      </c>
      <c r="H154" t="s">
        <v>15</v>
      </c>
      <c r="J154" t="s">
        <v>16</v>
      </c>
      <c r="K154">
        <v>577007.90534456098</v>
      </c>
      <c r="L154" t="s">
        <v>17</v>
      </c>
      <c r="M154">
        <v>10888.6837041047</v>
      </c>
      <c r="N154">
        <v>0.42313994149645301</v>
      </c>
    </row>
    <row r="155" spans="2:14" x14ac:dyDescent="0.25">
      <c r="B155" t="s">
        <v>14</v>
      </c>
      <c r="C155" s="1">
        <v>46093.999988425923</v>
      </c>
      <c r="D155">
        <v>25.154981297255802</v>
      </c>
      <c r="E155">
        <v>244155.091310488</v>
      </c>
      <c r="F155" s="1">
        <v>46092.099097222221</v>
      </c>
      <c r="G155">
        <v>52.876186847654303</v>
      </c>
      <c r="H155" t="s">
        <v>15</v>
      </c>
      <c r="J155" t="s">
        <v>16</v>
      </c>
      <c r="K155">
        <v>577007.90534456098</v>
      </c>
      <c r="L155" t="s">
        <v>17</v>
      </c>
      <c r="M155">
        <v>0</v>
      </c>
      <c r="N155">
        <v>0.42313994149645301</v>
      </c>
    </row>
    <row r="156" spans="2:14" x14ac:dyDescent="0.25">
      <c r="B156" t="s">
        <v>14</v>
      </c>
      <c r="C156" s="1">
        <v>46092.999988425923</v>
      </c>
      <c r="D156">
        <v>25.154981297255802</v>
      </c>
      <c r="E156">
        <v>244155.091310488</v>
      </c>
      <c r="F156" s="1">
        <v>46092.099097222221</v>
      </c>
      <c r="G156">
        <v>52.876186847654303</v>
      </c>
      <c r="H156" t="s">
        <v>15</v>
      </c>
      <c r="J156" t="s">
        <v>16</v>
      </c>
      <c r="K156">
        <v>577007.90534456098</v>
      </c>
      <c r="L156" t="s">
        <v>17</v>
      </c>
      <c r="M156">
        <v>0</v>
      </c>
      <c r="N156">
        <v>0.42313994149645301</v>
      </c>
    </row>
    <row r="157" spans="2:14" x14ac:dyDescent="0.25">
      <c r="B157" t="s">
        <v>14</v>
      </c>
      <c r="C157" s="1">
        <v>46091.999988425923</v>
      </c>
      <c r="D157">
        <v>25.154981297255802</v>
      </c>
      <c r="E157">
        <v>240197.78874813701</v>
      </c>
      <c r="F157" s="1">
        <v>46089.605474537035</v>
      </c>
      <c r="G157">
        <v>52.876186847654303</v>
      </c>
      <c r="H157" t="s">
        <v>15</v>
      </c>
      <c r="J157" t="s">
        <v>16</v>
      </c>
      <c r="K157">
        <v>577007.90534456098</v>
      </c>
      <c r="L157" t="s">
        <v>17</v>
      </c>
      <c r="M157">
        <v>-3957.30256235139</v>
      </c>
      <c r="N157">
        <v>0.416281625473923</v>
      </c>
    </row>
    <row r="158" spans="2:14" x14ac:dyDescent="0.25">
      <c r="B158" t="s">
        <v>14</v>
      </c>
      <c r="C158" s="1">
        <v>46090.999988425923</v>
      </c>
      <c r="D158">
        <v>25.154981297255802</v>
      </c>
      <c r="E158">
        <v>240197.78874813701</v>
      </c>
      <c r="F158" s="1">
        <v>46089.605474537035</v>
      </c>
      <c r="G158">
        <v>52.876186847654303</v>
      </c>
      <c r="H158" t="s">
        <v>15</v>
      </c>
      <c r="J158" t="s">
        <v>16</v>
      </c>
      <c r="K158">
        <v>577007.90534456098</v>
      </c>
      <c r="L158" t="s">
        <v>17</v>
      </c>
      <c r="M158">
        <v>0</v>
      </c>
      <c r="N158">
        <v>0.416281625473923</v>
      </c>
    </row>
    <row r="159" spans="2:14" x14ac:dyDescent="0.25">
      <c r="B159" t="s">
        <v>14</v>
      </c>
      <c r="C159" s="1">
        <v>46089.999988425923</v>
      </c>
      <c r="D159">
        <v>25.154981297255802</v>
      </c>
      <c r="E159">
        <v>240197.78874813701</v>
      </c>
      <c r="F159" s="1">
        <v>46089.605474537035</v>
      </c>
      <c r="G159">
        <v>52.876186847654303</v>
      </c>
      <c r="H159" t="s">
        <v>15</v>
      </c>
      <c r="J159" t="s">
        <v>16</v>
      </c>
      <c r="K159">
        <v>577007.90534456098</v>
      </c>
      <c r="L159" t="s">
        <v>17</v>
      </c>
      <c r="M159">
        <v>0</v>
      </c>
      <c r="N159">
        <v>0.416281625473923</v>
      </c>
    </row>
    <row r="160" spans="2:14" x14ac:dyDescent="0.25">
      <c r="B160" t="s">
        <v>14</v>
      </c>
      <c r="C160" s="1">
        <v>46088.999988425923</v>
      </c>
      <c r="D160">
        <v>25.154981297255802</v>
      </c>
      <c r="E160">
        <v>123862.775684033</v>
      </c>
      <c r="F160" s="1">
        <v>46086.099803240744</v>
      </c>
      <c r="G160">
        <v>52.876186847654303</v>
      </c>
      <c r="H160" t="s">
        <v>15</v>
      </c>
      <c r="J160" t="s">
        <v>16</v>
      </c>
      <c r="K160">
        <v>577007.90534456098</v>
      </c>
      <c r="L160" t="s">
        <v>17</v>
      </c>
      <c r="M160">
        <v>-116335.013064103</v>
      </c>
      <c r="N160">
        <v>0.214663914543889</v>
      </c>
    </row>
    <row r="161" spans="2:14" x14ac:dyDescent="0.25">
      <c r="B161" t="s">
        <v>14</v>
      </c>
      <c r="C161" s="1">
        <v>46087.999988425923</v>
      </c>
      <c r="D161">
        <v>25.154981297255802</v>
      </c>
      <c r="E161">
        <v>123862.775684033</v>
      </c>
      <c r="F161" s="1">
        <v>46086.099803240744</v>
      </c>
      <c r="G161">
        <v>52.876186847654303</v>
      </c>
      <c r="H161" t="s">
        <v>15</v>
      </c>
      <c r="J161" t="s">
        <v>16</v>
      </c>
      <c r="K161">
        <v>577007.90534456098</v>
      </c>
      <c r="L161" t="s">
        <v>17</v>
      </c>
      <c r="M161">
        <v>0</v>
      </c>
      <c r="N161">
        <v>0.214663914543889</v>
      </c>
    </row>
    <row r="162" spans="2:14" x14ac:dyDescent="0.25">
      <c r="B162" t="s">
        <v>14</v>
      </c>
      <c r="C162" s="1">
        <v>46086.999988425923</v>
      </c>
      <c r="D162">
        <v>25.154981297255802</v>
      </c>
      <c r="E162">
        <v>123862.775684033</v>
      </c>
      <c r="F162" s="1">
        <v>46086.099803240744</v>
      </c>
      <c r="G162">
        <v>52.876186847654303</v>
      </c>
      <c r="H162" t="s">
        <v>15</v>
      </c>
      <c r="J162" t="s">
        <v>16</v>
      </c>
      <c r="K162">
        <v>577007.90534456098</v>
      </c>
      <c r="L162" t="s">
        <v>17</v>
      </c>
      <c r="M162">
        <v>0</v>
      </c>
      <c r="N162">
        <v>0.214663914543889</v>
      </c>
    </row>
    <row r="163" spans="2:14" x14ac:dyDescent="0.25">
      <c r="B163" t="s">
        <v>14</v>
      </c>
      <c r="C163" s="1">
        <v>46085.999988425923</v>
      </c>
      <c r="D163">
        <v>25.154981297255802</v>
      </c>
      <c r="E163">
        <v>551066.12901984097</v>
      </c>
      <c r="F163" s="1">
        <v>46083.60628472222</v>
      </c>
      <c r="G163">
        <v>52.876186847654303</v>
      </c>
      <c r="H163" t="s">
        <v>15</v>
      </c>
      <c r="J163" t="s">
        <v>16</v>
      </c>
      <c r="K163">
        <v>577007.90534456098</v>
      </c>
      <c r="L163" t="s">
        <v>17</v>
      </c>
      <c r="M163">
        <v>427203.35333580797</v>
      </c>
      <c r="N163">
        <v>0.95504086497874097</v>
      </c>
    </row>
    <row r="164" spans="2:14" x14ac:dyDescent="0.25">
      <c r="B164" t="s">
        <v>14</v>
      </c>
      <c r="C164" s="1">
        <v>46084.999988425923</v>
      </c>
      <c r="D164">
        <v>25.154981297255802</v>
      </c>
      <c r="E164">
        <v>551066.12901984097</v>
      </c>
      <c r="F164" s="1">
        <v>46083.60628472222</v>
      </c>
      <c r="G164">
        <v>52.876186847654303</v>
      </c>
      <c r="H164" t="s">
        <v>15</v>
      </c>
      <c r="J164" t="s">
        <v>16</v>
      </c>
      <c r="K164">
        <v>577007.90534456098</v>
      </c>
      <c r="L164" t="s">
        <v>17</v>
      </c>
      <c r="M164">
        <v>0</v>
      </c>
      <c r="N164">
        <v>0.95504086497874097</v>
      </c>
    </row>
    <row r="165" spans="2:14" x14ac:dyDescent="0.25">
      <c r="B165" t="s">
        <v>14</v>
      </c>
      <c r="C165" s="1">
        <v>46083.999988425923</v>
      </c>
      <c r="D165">
        <v>25.154981297255802</v>
      </c>
      <c r="E165">
        <v>551066.12901984097</v>
      </c>
      <c r="F165" s="1">
        <v>46083.60628472222</v>
      </c>
      <c r="G165">
        <v>52.876186847654303</v>
      </c>
      <c r="H165" t="s">
        <v>15</v>
      </c>
      <c r="J165" t="s">
        <v>16</v>
      </c>
      <c r="K165">
        <v>577007.90534456098</v>
      </c>
      <c r="L165" t="s">
        <v>17</v>
      </c>
      <c r="M165">
        <v>0</v>
      </c>
      <c r="N165">
        <v>0.95504086497874097</v>
      </c>
    </row>
    <row r="166" spans="2:14" x14ac:dyDescent="0.25">
      <c r="B166" t="s">
        <v>14</v>
      </c>
      <c r="C166" s="1">
        <v>46082.999988425923</v>
      </c>
      <c r="D166">
        <v>25.154981297255802</v>
      </c>
      <c r="E166">
        <v>534749.85748305405</v>
      </c>
      <c r="F166" s="1">
        <v>46080.099097222221</v>
      </c>
      <c r="G166">
        <v>52.876186847654303</v>
      </c>
      <c r="H166" t="s">
        <v>15</v>
      </c>
      <c r="J166" t="s">
        <v>16</v>
      </c>
      <c r="K166">
        <v>577007.90534456098</v>
      </c>
      <c r="L166" t="s">
        <v>17</v>
      </c>
      <c r="M166">
        <v>-16316.2715367869</v>
      </c>
      <c r="N166">
        <v>0.92676348543912501</v>
      </c>
    </row>
    <row r="167" spans="2:14" x14ac:dyDescent="0.25">
      <c r="B167" t="s">
        <v>14</v>
      </c>
      <c r="C167" s="1">
        <v>46081.999988425923</v>
      </c>
      <c r="D167">
        <v>25.154981297255802</v>
      </c>
      <c r="E167">
        <v>534749.85748305405</v>
      </c>
      <c r="F167" s="1">
        <v>46080.099097222221</v>
      </c>
      <c r="G167">
        <v>52.876186847654303</v>
      </c>
      <c r="H167" t="s">
        <v>15</v>
      </c>
      <c r="J167" t="s">
        <v>16</v>
      </c>
      <c r="K167">
        <v>577007.90534456098</v>
      </c>
      <c r="L167" t="s">
        <v>17</v>
      </c>
      <c r="M167">
        <v>0</v>
      </c>
      <c r="N167">
        <v>0.92676348543912501</v>
      </c>
    </row>
    <row r="168" spans="2:14" x14ac:dyDescent="0.25">
      <c r="B168" t="s">
        <v>14</v>
      </c>
      <c r="C168" s="1">
        <v>46080.999988425923</v>
      </c>
      <c r="D168">
        <v>25.154981297255802</v>
      </c>
      <c r="E168">
        <v>534749.85748305405</v>
      </c>
      <c r="F168" s="1">
        <v>46080.099097222221</v>
      </c>
      <c r="G168">
        <v>52.876186847654303</v>
      </c>
      <c r="H168" t="s">
        <v>15</v>
      </c>
      <c r="J168" t="s">
        <v>16</v>
      </c>
      <c r="K168">
        <v>577007.90534456098</v>
      </c>
      <c r="L168" t="s">
        <v>17</v>
      </c>
      <c r="M168">
        <v>0</v>
      </c>
      <c r="N168">
        <v>0.92676348543912501</v>
      </c>
    </row>
    <row r="169" spans="2:14" x14ac:dyDescent="0.25">
      <c r="B169" t="s">
        <v>14</v>
      </c>
      <c r="C169" s="1">
        <v>46079.999988425923</v>
      </c>
      <c r="D169">
        <v>25.154981297255802</v>
      </c>
      <c r="E169">
        <v>564557.30359624804</v>
      </c>
      <c r="F169" s="1">
        <v>46077.605474537035</v>
      </c>
      <c r="G169">
        <v>52.876186847654303</v>
      </c>
      <c r="H169" t="s">
        <v>15</v>
      </c>
      <c r="J169" t="s">
        <v>16</v>
      </c>
      <c r="K169">
        <v>577007.90534456098</v>
      </c>
      <c r="L169" t="s">
        <v>17</v>
      </c>
      <c r="M169">
        <v>29807.446113193899</v>
      </c>
      <c r="N169">
        <v>0.97842212969183195</v>
      </c>
    </row>
    <row r="170" spans="2:14" x14ac:dyDescent="0.25">
      <c r="B170" t="s">
        <v>14</v>
      </c>
      <c r="C170" s="1">
        <v>46078.999988425923</v>
      </c>
      <c r="D170">
        <v>25.154981297255802</v>
      </c>
      <c r="E170">
        <v>564557.30359624804</v>
      </c>
      <c r="F170" s="1">
        <v>46077.605474537035</v>
      </c>
      <c r="G170">
        <v>52.876186847654303</v>
      </c>
      <c r="H170" t="s">
        <v>15</v>
      </c>
      <c r="J170" t="s">
        <v>16</v>
      </c>
      <c r="K170">
        <v>577007.90534456098</v>
      </c>
      <c r="L170" t="s">
        <v>17</v>
      </c>
      <c r="M170">
        <v>0</v>
      </c>
      <c r="N170">
        <v>0.97842212969183195</v>
      </c>
    </row>
    <row r="171" spans="2:14" x14ac:dyDescent="0.25">
      <c r="B171" t="s">
        <v>14</v>
      </c>
      <c r="C171" s="1">
        <v>46077.999988425923</v>
      </c>
      <c r="D171">
        <v>25.154981297255802</v>
      </c>
      <c r="E171">
        <v>564557.30359624804</v>
      </c>
      <c r="F171" s="1">
        <v>46077.605474537035</v>
      </c>
      <c r="G171">
        <v>52.876186847654303</v>
      </c>
      <c r="H171" t="s">
        <v>15</v>
      </c>
      <c r="J171" t="s">
        <v>16</v>
      </c>
      <c r="K171">
        <v>577007.90534456098</v>
      </c>
      <c r="L171" t="s">
        <v>17</v>
      </c>
      <c r="M171">
        <v>0</v>
      </c>
      <c r="N171">
        <v>0.97842212969183195</v>
      </c>
    </row>
    <row r="172" spans="2:14" x14ac:dyDescent="0.25">
      <c r="B172" t="s">
        <v>14</v>
      </c>
      <c r="C172" s="1">
        <v>46076.999988425923</v>
      </c>
      <c r="D172">
        <v>25.154981297255802</v>
      </c>
      <c r="E172">
        <v>180712.769126022</v>
      </c>
      <c r="F172" s="1">
        <v>46074.099803240744</v>
      </c>
      <c r="G172">
        <v>52.876186847654303</v>
      </c>
      <c r="H172" t="s">
        <v>15</v>
      </c>
      <c r="J172" t="s">
        <v>16</v>
      </c>
      <c r="K172">
        <v>577007.90534456098</v>
      </c>
      <c r="L172" t="s">
        <v>17</v>
      </c>
      <c r="M172">
        <v>-383844.53447022499</v>
      </c>
      <c r="N172">
        <v>0.31318941638782199</v>
      </c>
    </row>
    <row r="173" spans="2:14" x14ac:dyDescent="0.25">
      <c r="B173" t="s">
        <v>14</v>
      </c>
      <c r="C173" s="1">
        <v>46075.999988425923</v>
      </c>
      <c r="D173">
        <v>25.154981297255802</v>
      </c>
      <c r="E173">
        <v>180712.769126022</v>
      </c>
      <c r="F173" s="1">
        <v>46074.099803240744</v>
      </c>
      <c r="G173">
        <v>52.876186847654303</v>
      </c>
      <c r="H173" t="s">
        <v>15</v>
      </c>
      <c r="J173" t="s">
        <v>16</v>
      </c>
      <c r="K173">
        <v>577007.90534456098</v>
      </c>
      <c r="L173" t="s">
        <v>17</v>
      </c>
      <c r="M173">
        <v>0</v>
      </c>
      <c r="N173">
        <v>0.31318941638782199</v>
      </c>
    </row>
    <row r="174" spans="2:14" x14ac:dyDescent="0.25">
      <c r="B174" t="s">
        <v>14</v>
      </c>
      <c r="C174" s="1">
        <v>46074.999988425923</v>
      </c>
      <c r="D174">
        <v>25.154981297255802</v>
      </c>
      <c r="E174">
        <v>180712.769126022</v>
      </c>
      <c r="F174" s="1">
        <v>46074.099803240744</v>
      </c>
      <c r="G174">
        <v>52.876186847654303</v>
      </c>
      <c r="H174" t="s">
        <v>15</v>
      </c>
      <c r="J174" t="s">
        <v>16</v>
      </c>
      <c r="K174">
        <v>577007.90534456098</v>
      </c>
      <c r="L174" t="s">
        <v>17</v>
      </c>
      <c r="M174">
        <v>0</v>
      </c>
      <c r="N174">
        <v>0.31318941638782199</v>
      </c>
    </row>
    <row r="175" spans="2:14" x14ac:dyDescent="0.25">
      <c r="B175" t="s">
        <v>14</v>
      </c>
      <c r="C175" s="1">
        <v>46073.999988425923</v>
      </c>
      <c r="D175">
        <v>25.154981297255802</v>
      </c>
      <c r="E175">
        <v>554389.59105221101</v>
      </c>
      <c r="F175" s="1">
        <v>46071.606296296297</v>
      </c>
      <c r="G175">
        <v>52.876186847654303</v>
      </c>
      <c r="H175" t="s">
        <v>15</v>
      </c>
      <c r="J175" t="s">
        <v>16</v>
      </c>
      <c r="K175">
        <v>577007.90534456098</v>
      </c>
      <c r="L175" t="s">
        <v>17</v>
      </c>
      <c r="M175">
        <v>373676.82192618801</v>
      </c>
      <c r="N175">
        <v>0.96080068560092902</v>
      </c>
    </row>
    <row r="176" spans="2:14" x14ac:dyDescent="0.25">
      <c r="B176" t="s">
        <v>14</v>
      </c>
      <c r="C176" s="1">
        <v>46072.999988425923</v>
      </c>
      <c r="D176">
        <v>25.154981297255802</v>
      </c>
      <c r="E176">
        <v>554389.59105221101</v>
      </c>
      <c r="F176" s="1">
        <v>46071.606296296297</v>
      </c>
      <c r="G176">
        <v>52.876186847654303</v>
      </c>
      <c r="H176" t="s">
        <v>15</v>
      </c>
      <c r="J176" t="s">
        <v>16</v>
      </c>
      <c r="K176">
        <v>577007.90534456098</v>
      </c>
      <c r="L176" t="s">
        <v>17</v>
      </c>
      <c r="M176">
        <v>0</v>
      </c>
      <c r="N176">
        <v>0.96080068560092902</v>
      </c>
    </row>
    <row r="177" spans="2:14" x14ac:dyDescent="0.25">
      <c r="B177" t="s">
        <v>14</v>
      </c>
      <c r="C177" s="1">
        <v>46071.999988425923</v>
      </c>
      <c r="D177">
        <v>25.154981297255802</v>
      </c>
      <c r="E177">
        <v>554389.59105221101</v>
      </c>
      <c r="F177" s="1">
        <v>46071.606296296297</v>
      </c>
      <c r="G177">
        <v>52.876186847654303</v>
      </c>
      <c r="H177" t="s">
        <v>15</v>
      </c>
      <c r="J177" t="s">
        <v>16</v>
      </c>
      <c r="K177">
        <v>577007.90534456098</v>
      </c>
      <c r="L177" t="s">
        <v>17</v>
      </c>
      <c r="M177">
        <v>0</v>
      </c>
      <c r="N177">
        <v>0.96080068560092902</v>
      </c>
    </row>
    <row r="178" spans="2:14" x14ac:dyDescent="0.25">
      <c r="B178" t="s">
        <v>14</v>
      </c>
      <c r="C178" s="1">
        <v>46070.999988425923</v>
      </c>
      <c r="D178">
        <v>25.154981297255802</v>
      </c>
      <c r="E178">
        <v>145042.29460592999</v>
      </c>
      <c r="F178" s="1">
        <v>46068.099097222221</v>
      </c>
      <c r="G178">
        <v>52.876186847654303</v>
      </c>
      <c r="H178" t="s">
        <v>15</v>
      </c>
      <c r="J178" t="s">
        <v>16</v>
      </c>
      <c r="K178">
        <v>577007.90534456098</v>
      </c>
      <c r="L178" t="s">
        <v>17</v>
      </c>
      <c r="M178">
        <v>-409347.29644628102</v>
      </c>
      <c r="N178">
        <v>0.25136968360826401</v>
      </c>
    </row>
    <row r="179" spans="2:14" x14ac:dyDescent="0.25">
      <c r="B179" t="s">
        <v>14</v>
      </c>
      <c r="C179" s="1">
        <v>46069.999988425923</v>
      </c>
      <c r="D179">
        <v>25.154981297255802</v>
      </c>
      <c r="E179">
        <v>145042.29460592999</v>
      </c>
      <c r="F179" s="1">
        <v>46068.099097222221</v>
      </c>
      <c r="G179">
        <v>52.876186847654303</v>
      </c>
      <c r="H179" t="s">
        <v>15</v>
      </c>
      <c r="J179" t="s">
        <v>16</v>
      </c>
      <c r="K179">
        <v>577007.90534456098</v>
      </c>
      <c r="L179" t="s">
        <v>17</v>
      </c>
      <c r="M179">
        <v>0</v>
      </c>
      <c r="N179">
        <v>0.25136968360826401</v>
      </c>
    </row>
    <row r="180" spans="2:14" x14ac:dyDescent="0.25">
      <c r="B180" t="s">
        <v>14</v>
      </c>
      <c r="C180" s="1">
        <v>46068.999988425923</v>
      </c>
      <c r="D180">
        <v>25.154981297255802</v>
      </c>
      <c r="E180">
        <v>145042.29460592999</v>
      </c>
      <c r="F180" s="1">
        <v>46068.099097222221</v>
      </c>
      <c r="G180">
        <v>52.876186847654303</v>
      </c>
      <c r="H180" t="s">
        <v>15</v>
      </c>
      <c r="J180" t="s">
        <v>16</v>
      </c>
      <c r="K180">
        <v>577007.90534456098</v>
      </c>
      <c r="L180" t="s">
        <v>17</v>
      </c>
      <c r="M180">
        <v>0</v>
      </c>
      <c r="N180">
        <v>0.25136968360826401</v>
      </c>
    </row>
    <row r="181" spans="2:14" x14ac:dyDescent="0.25">
      <c r="B181" t="s">
        <v>14</v>
      </c>
      <c r="C181" s="1">
        <v>46067.999988425923</v>
      </c>
      <c r="D181">
        <v>25.154981297255802</v>
      </c>
      <c r="E181">
        <v>548498.79810106498</v>
      </c>
      <c r="F181" s="1">
        <v>46065.605474537035</v>
      </c>
      <c r="G181">
        <v>52.876186847654303</v>
      </c>
      <c r="H181" t="s">
        <v>15</v>
      </c>
      <c r="J181" t="s">
        <v>16</v>
      </c>
      <c r="K181">
        <v>577007.90534456098</v>
      </c>
      <c r="L181" t="s">
        <v>17</v>
      </c>
      <c r="M181">
        <v>403456.503495135</v>
      </c>
      <c r="N181">
        <v>0.95059147893914597</v>
      </c>
    </row>
    <row r="182" spans="2:14" x14ac:dyDescent="0.25">
      <c r="B182" t="s">
        <v>14</v>
      </c>
      <c r="C182" s="1">
        <v>46066.999988425923</v>
      </c>
      <c r="D182">
        <v>25.154981297255802</v>
      </c>
      <c r="E182">
        <v>548498.79810106498</v>
      </c>
      <c r="F182" s="1">
        <v>46065.605474537035</v>
      </c>
      <c r="G182">
        <v>52.876186847654303</v>
      </c>
      <c r="H182" t="s">
        <v>15</v>
      </c>
      <c r="J182" t="s">
        <v>16</v>
      </c>
      <c r="K182">
        <v>577007.90534456098</v>
      </c>
      <c r="L182" t="s">
        <v>17</v>
      </c>
      <c r="M182">
        <v>0</v>
      </c>
      <c r="N182">
        <v>0.95059147893914597</v>
      </c>
    </row>
    <row r="183" spans="2:14" x14ac:dyDescent="0.25">
      <c r="B183" t="s">
        <v>14</v>
      </c>
      <c r="C183" s="1">
        <v>46065.999988425923</v>
      </c>
      <c r="D183">
        <v>25.154981297255802</v>
      </c>
      <c r="E183">
        <v>548498.79810106498</v>
      </c>
      <c r="F183" s="1">
        <v>46065.605474537035</v>
      </c>
      <c r="G183">
        <v>52.876186847654303</v>
      </c>
      <c r="H183" t="s">
        <v>15</v>
      </c>
      <c r="J183" t="s">
        <v>16</v>
      </c>
      <c r="K183">
        <v>577007.90534456098</v>
      </c>
      <c r="L183" t="s">
        <v>17</v>
      </c>
      <c r="M183">
        <v>0</v>
      </c>
      <c r="N183">
        <v>0.95059147893914597</v>
      </c>
    </row>
    <row r="184" spans="2:14" x14ac:dyDescent="0.25">
      <c r="B184" t="s">
        <v>14</v>
      </c>
      <c r="C184" s="1">
        <v>46064.999988425923</v>
      </c>
      <c r="D184">
        <v>25.154981297255802</v>
      </c>
      <c r="E184">
        <v>475307.92461639101</v>
      </c>
      <c r="F184" s="1">
        <v>46062.099814814814</v>
      </c>
      <c r="G184">
        <v>52.876186847654303</v>
      </c>
      <c r="H184" t="s">
        <v>15</v>
      </c>
      <c r="J184" t="s">
        <v>16</v>
      </c>
      <c r="K184">
        <v>577007.90534456098</v>
      </c>
      <c r="L184" t="s">
        <v>17</v>
      </c>
      <c r="M184">
        <v>-73190.873484674099</v>
      </c>
      <c r="N184">
        <v>0.823745949082899</v>
      </c>
    </row>
    <row r="185" spans="2:14" x14ac:dyDescent="0.25">
      <c r="B185" t="s">
        <v>14</v>
      </c>
      <c r="C185" s="1">
        <v>46063.999988425923</v>
      </c>
      <c r="D185">
        <v>25.154981297255802</v>
      </c>
      <c r="E185">
        <v>475307.92461639101</v>
      </c>
      <c r="F185" s="1">
        <v>46062.099814814814</v>
      </c>
      <c r="G185">
        <v>52.876186847654303</v>
      </c>
      <c r="H185" t="s">
        <v>15</v>
      </c>
      <c r="J185" t="s">
        <v>16</v>
      </c>
      <c r="K185">
        <v>577007.90534456098</v>
      </c>
      <c r="L185" t="s">
        <v>17</v>
      </c>
      <c r="M185">
        <v>0</v>
      </c>
      <c r="N185">
        <v>0.823745949082899</v>
      </c>
    </row>
    <row r="186" spans="2:14" x14ac:dyDescent="0.25">
      <c r="B186" t="s">
        <v>14</v>
      </c>
      <c r="C186" s="1">
        <v>46062.999988425923</v>
      </c>
      <c r="D186">
        <v>25.154981297255802</v>
      </c>
      <c r="E186">
        <v>475307.92461639101</v>
      </c>
      <c r="F186" s="1">
        <v>46062.099814814814</v>
      </c>
      <c r="G186">
        <v>52.876186847654303</v>
      </c>
      <c r="H186" t="s">
        <v>15</v>
      </c>
      <c r="J186" t="s">
        <v>16</v>
      </c>
      <c r="K186">
        <v>577007.90534456098</v>
      </c>
      <c r="L186" t="s">
        <v>17</v>
      </c>
      <c r="M186">
        <v>0</v>
      </c>
      <c r="N186">
        <v>0.823745949082899</v>
      </c>
    </row>
    <row r="187" spans="2:14" x14ac:dyDescent="0.25">
      <c r="B187" t="s">
        <v>14</v>
      </c>
      <c r="C187" s="1">
        <v>46061.999988425923</v>
      </c>
      <c r="D187">
        <v>25.154981297255802</v>
      </c>
      <c r="E187">
        <v>280160.16986330098</v>
      </c>
      <c r="F187" s="1">
        <v>46059.606296296297</v>
      </c>
      <c r="G187">
        <v>52.876186847654303</v>
      </c>
      <c r="H187" t="s">
        <v>15</v>
      </c>
      <c r="J187" t="s">
        <v>16</v>
      </c>
      <c r="K187">
        <v>577007.90534456098</v>
      </c>
      <c r="L187" t="s">
        <v>17</v>
      </c>
      <c r="M187">
        <v>-195147.75475308899</v>
      </c>
      <c r="N187">
        <v>0.48553956933398201</v>
      </c>
    </row>
    <row r="188" spans="2:14" x14ac:dyDescent="0.25">
      <c r="B188" t="s">
        <v>14</v>
      </c>
      <c r="C188" s="1">
        <v>46060.999988425923</v>
      </c>
      <c r="D188">
        <v>25.154981297255802</v>
      </c>
      <c r="E188">
        <v>280160.16986330098</v>
      </c>
      <c r="F188" s="1">
        <v>46059.606296296297</v>
      </c>
      <c r="G188">
        <v>52.876186847654303</v>
      </c>
      <c r="H188" t="s">
        <v>15</v>
      </c>
      <c r="J188" t="s">
        <v>16</v>
      </c>
      <c r="K188">
        <v>577007.90534456098</v>
      </c>
      <c r="L188" t="s">
        <v>17</v>
      </c>
      <c r="M188">
        <v>0</v>
      </c>
      <c r="N188">
        <v>0.48553956933398201</v>
      </c>
    </row>
    <row r="189" spans="2:14" x14ac:dyDescent="0.25">
      <c r="B189" t="s">
        <v>14</v>
      </c>
      <c r="C189" s="1">
        <v>46059.999988425923</v>
      </c>
      <c r="D189">
        <v>25.154981297255802</v>
      </c>
      <c r="E189">
        <v>280160.16986330098</v>
      </c>
      <c r="F189" s="1">
        <v>46059.606296296297</v>
      </c>
      <c r="G189">
        <v>52.876186847654303</v>
      </c>
      <c r="H189" t="s">
        <v>15</v>
      </c>
      <c r="J189" t="s">
        <v>16</v>
      </c>
      <c r="K189">
        <v>577007.90534456098</v>
      </c>
      <c r="L189" t="s">
        <v>17</v>
      </c>
      <c r="M189">
        <v>0</v>
      </c>
      <c r="N189">
        <v>0.48553956933398201</v>
      </c>
    </row>
    <row r="190" spans="2:14" x14ac:dyDescent="0.25">
      <c r="B190" t="s">
        <v>14</v>
      </c>
      <c r="C190" s="1">
        <v>46058.999988425923</v>
      </c>
      <c r="D190">
        <v>25.154981297255802</v>
      </c>
      <c r="E190">
        <v>260685.125467965</v>
      </c>
      <c r="F190" s="1">
        <v>46056.099097222221</v>
      </c>
      <c r="G190">
        <v>52.876186847654303</v>
      </c>
      <c r="H190" t="s">
        <v>15</v>
      </c>
      <c r="J190" t="s">
        <v>16</v>
      </c>
      <c r="K190">
        <v>577007.90534456098</v>
      </c>
      <c r="L190" t="s">
        <v>17</v>
      </c>
      <c r="M190">
        <v>-19475.044395336001</v>
      </c>
      <c r="N190">
        <v>0.45178778843991202</v>
      </c>
    </row>
    <row r="191" spans="2:14" x14ac:dyDescent="0.25">
      <c r="B191" t="s">
        <v>14</v>
      </c>
      <c r="C191" s="1">
        <v>46057.999988425923</v>
      </c>
      <c r="D191">
        <v>25.154981297255802</v>
      </c>
      <c r="E191">
        <v>260685.125467965</v>
      </c>
      <c r="F191" s="1">
        <v>46056.099097222221</v>
      </c>
      <c r="G191">
        <v>52.876186847654303</v>
      </c>
      <c r="H191" t="s">
        <v>15</v>
      </c>
      <c r="J191" t="s">
        <v>16</v>
      </c>
      <c r="K191">
        <v>577007.90534456098</v>
      </c>
      <c r="L191" t="s">
        <v>17</v>
      </c>
      <c r="M191">
        <v>0</v>
      </c>
      <c r="N191">
        <v>0.45178778843991202</v>
      </c>
    </row>
    <row r="192" spans="2:14" x14ac:dyDescent="0.25">
      <c r="B192" t="s">
        <v>14</v>
      </c>
      <c r="C192" s="1">
        <v>46056.999988425923</v>
      </c>
      <c r="D192">
        <v>25.154981297255802</v>
      </c>
      <c r="E192">
        <v>260685.125467965</v>
      </c>
      <c r="F192" s="1">
        <v>46056.099097222221</v>
      </c>
      <c r="G192">
        <v>52.876186847654303</v>
      </c>
      <c r="H192" t="s">
        <v>15</v>
      </c>
      <c r="J192" t="s">
        <v>16</v>
      </c>
      <c r="K192">
        <v>577007.90534456098</v>
      </c>
      <c r="L192" t="s">
        <v>17</v>
      </c>
      <c r="M192">
        <v>0</v>
      </c>
      <c r="N192">
        <v>0.45178778843991202</v>
      </c>
    </row>
    <row r="193" spans="2:14" x14ac:dyDescent="0.25">
      <c r="B193" t="s">
        <v>14</v>
      </c>
      <c r="C193" s="1">
        <v>46055.999988425923</v>
      </c>
      <c r="D193">
        <v>25.154981297255802</v>
      </c>
      <c r="E193">
        <v>224481.273596724</v>
      </c>
      <c r="F193" s="1">
        <v>46053.605474537035</v>
      </c>
      <c r="G193">
        <v>52.876186847654303</v>
      </c>
      <c r="H193" t="s">
        <v>15</v>
      </c>
      <c r="J193" t="s">
        <v>16</v>
      </c>
      <c r="K193">
        <v>577007.90534456098</v>
      </c>
      <c r="L193" t="s">
        <v>17</v>
      </c>
      <c r="M193">
        <v>-36203.851871241503</v>
      </c>
      <c r="N193">
        <v>0.38904367083614599</v>
      </c>
    </row>
    <row r="194" spans="2:14" x14ac:dyDescent="0.25">
      <c r="B194" t="s">
        <v>14</v>
      </c>
      <c r="C194" s="1">
        <v>46054.999988425923</v>
      </c>
      <c r="D194">
        <v>25.154981297255802</v>
      </c>
      <c r="E194">
        <v>224481.273596724</v>
      </c>
      <c r="F194" s="1">
        <v>46053.605474537035</v>
      </c>
      <c r="G194">
        <v>52.876186847654303</v>
      </c>
      <c r="H194" t="s">
        <v>15</v>
      </c>
      <c r="J194" t="s">
        <v>16</v>
      </c>
      <c r="K194">
        <v>577007.90534456098</v>
      </c>
      <c r="L194" t="s">
        <v>17</v>
      </c>
      <c r="M194">
        <v>0</v>
      </c>
      <c r="N194">
        <v>0.38904367083614599</v>
      </c>
    </row>
    <row r="195" spans="2:14" x14ac:dyDescent="0.25">
      <c r="B195" t="s">
        <v>14</v>
      </c>
      <c r="C195" s="1">
        <v>46053.999988425923</v>
      </c>
      <c r="D195">
        <v>25.154981297255802</v>
      </c>
      <c r="E195">
        <v>224481.273596724</v>
      </c>
      <c r="F195" s="1">
        <v>46053.605474537035</v>
      </c>
      <c r="G195">
        <v>52.876186847654303</v>
      </c>
      <c r="H195" t="s">
        <v>15</v>
      </c>
      <c r="J195" t="s">
        <v>16</v>
      </c>
      <c r="K195">
        <v>577007.90534456098</v>
      </c>
      <c r="L195" t="s">
        <v>17</v>
      </c>
      <c r="M195">
        <v>0</v>
      </c>
      <c r="N195">
        <v>0.38904367083614599</v>
      </c>
    </row>
    <row r="196" spans="2:14" x14ac:dyDescent="0.25">
      <c r="B196" t="s">
        <v>14</v>
      </c>
      <c r="C196" s="1">
        <v>46052.999988425923</v>
      </c>
      <c r="D196">
        <v>25.154981297255802</v>
      </c>
      <c r="E196">
        <v>148554.81963147901</v>
      </c>
      <c r="F196" s="1">
        <v>46050.099814814814</v>
      </c>
      <c r="G196">
        <v>52.876186847654303</v>
      </c>
      <c r="H196" t="s">
        <v>15</v>
      </c>
      <c r="J196" t="s">
        <v>16</v>
      </c>
      <c r="K196">
        <v>577007.90534456098</v>
      </c>
      <c r="L196" t="s">
        <v>17</v>
      </c>
      <c r="M196">
        <v>-75926.4539652448</v>
      </c>
      <c r="N196">
        <v>0.25745716524069001</v>
      </c>
    </row>
    <row r="197" spans="2:14" x14ac:dyDescent="0.25">
      <c r="B197" t="s">
        <v>14</v>
      </c>
      <c r="C197" s="1">
        <v>46051.999988425923</v>
      </c>
      <c r="D197">
        <v>25.154981297255802</v>
      </c>
      <c r="E197">
        <v>148554.81963147901</v>
      </c>
      <c r="F197" s="1">
        <v>46050.099814814814</v>
      </c>
      <c r="G197">
        <v>52.876186847654303</v>
      </c>
      <c r="H197" t="s">
        <v>15</v>
      </c>
      <c r="J197" t="s">
        <v>16</v>
      </c>
      <c r="K197">
        <v>577007.90534456098</v>
      </c>
      <c r="L197" t="s">
        <v>17</v>
      </c>
      <c r="M197">
        <v>0</v>
      </c>
      <c r="N197">
        <v>0.25745716524069001</v>
      </c>
    </row>
    <row r="198" spans="2:14" x14ac:dyDescent="0.25">
      <c r="B198" t="s">
        <v>14</v>
      </c>
      <c r="C198" s="1">
        <v>46050.999988425923</v>
      </c>
      <c r="D198">
        <v>25.154981297255802</v>
      </c>
      <c r="E198">
        <v>148554.81963147901</v>
      </c>
      <c r="F198" s="1">
        <v>46050.099814814814</v>
      </c>
      <c r="G198">
        <v>52.876186847654303</v>
      </c>
      <c r="H198" t="s">
        <v>15</v>
      </c>
      <c r="J198" t="s">
        <v>16</v>
      </c>
      <c r="K198">
        <v>577007.90534456098</v>
      </c>
      <c r="L198" t="s">
        <v>17</v>
      </c>
      <c r="M198">
        <v>0</v>
      </c>
      <c r="N198">
        <v>0.25745716524069001</v>
      </c>
    </row>
    <row r="199" spans="2:14" x14ac:dyDescent="0.25">
      <c r="B199" t="s">
        <v>14</v>
      </c>
      <c r="C199" s="1">
        <v>46049.999988425923</v>
      </c>
      <c r="D199">
        <v>25.154981297255802</v>
      </c>
      <c r="E199">
        <v>572706.81897921395</v>
      </c>
      <c r="F199" s="1">
        <v>46047.606307870374</v>
      </c>
      <c r="G199">
        <v>52.876186847654303</v>
      </c>
      <c r="H199" t="s">
        <v>15</v>
      </c>
      <c r="J199" t="s">
        <v>16</v>
      </c>
      <c r="K199">
        <v>577007.90534456098</v>
      </c>
      <c r="L199" t="s">
        <v>17</v>
      </c>
      <c r="M199">
        <v>424151.99934773502</v>
      </c>
      <c r="N199">
        <v>0.99254587965691998</v>
      </c>
    </row>
    <row r="200" spans="2:14" x14ac:dyDescent="0.25">
      <c r="B200" t="s">
        <v>14</v>
      </c>
      <c r="C200" s="1">
        <v>46048.999988425923</v>
      </c>
      <c r="D200">
        <v>25.154981297255802</v>
      </c>
      <c r="E200">
        <v>572706.81897921395</v>
      </c>
      <c r="F200" s="1">
        <v>46047.606307870374</v>
      </c>
      <c r="G200">
        <v>52.876186847654303</v>
      </c>
      <c r="H200" t="s">
        <v>15</v>
      </c>
      <c r="J200" t="s">
        <v>16</v>
      </c>
      <c r="K200">
        <v>577007.90534456098</v>
      </c>
      <c r="L200" t="s">
        <v>17</v>
      </c>
      <c r="M200">
        <v>0</v>
      </c>
      <c r="N200">
        <v>0.99254587965691998</v>
      </c>
    </row>
    <row r="201" spans="2:14" x14ac:dyDescent="0.25">
      <c r="B201" t="s">
        <v>14</v>
      </c>
      <c r="C201" s="1">
        <v>46047.999988425923</v>
      </c>
      <c r="D201">
        <v>25.154981297255802</v>
      </c>
      <c r="E201">
        <v>572706.81897921395</v>
      </c>
      <c r="F201" s="1">
        <v>46047.606307870374</v>
      </c>
      <c r="G201">
        <v>52.876186847654303</v>
      </c>
      <c r="H201" t="s">
        <v>15</v>
      </c>
      <c r="J201" t="s">
        <v>16</v>
      </c>
      <c r="K201">
        <v>577007.90534456098</v>
      </c>
      <c r="L201" t="s">
        <v>17</v>
      </c>
      <c r="M201">
        <v>0</v>
      </c>
      <c r="N201">
        <v>0.99254587965691998</v>
      </c>
    </row>
    <row r="202" spans="2:14" x14ac:dyDescent="0.25">
      <c r="B202" t="s">
        <v>14</v>
      </c>
      <c r="C202" s="1">
        <v>46046.999988425923</v>
      </c>
      <c r="D202">
        <v>25.154981297255802</v>
      </c>
      <c r="E202">
        <v>540717.33806963998</v>
      </c>
      <c r="F202" s="1">
        <v>46041.605486111112</v>
      </c>
      <c r="G202">
        <v>52.876186847654303</v>
      </c>
      <c r="H202" t="s">
        <v>15</v>
      </c>
      <c r="J202" t="s">
        <v>16</v>
      </c>
      <c r="K202">
        <v>577007.90534456098</v>
      </c>
      <c r="L202" t="s">
        <v>17</v>
      </c>
      <c r="M202">
        <v>-31989.480909573402</v>
      </c>
      <c r="N202">
        <v>0.93710559779376001</v>
      </c>
    </row>
    <row r="203" spans="2:14" x14ac:dyDescent="0.25">
      <c r="B203" t="s">
        <v>14</v>
      </c>
      <c r="C203" s="1">
        <v>46045.999988425923</v>
      </c>
      <c r="D203">
        <v>25.154981297255802</v>
      </c>
      <c r="E203">
        <v>540717.33806963998</v>
      </c>
      <c r="F203" s="1">
        <v>46041.605486111112</v>
      </c>
      <c r="G203">
        <v>52.876186847654303</v>
      </c>
      <c r="H203" t="s">
        <v>15</v>
      </c>
      <c r="J203" t="s">
        <v>16</v>
      </c>
      <c r="K203">
        <v>577007.90534456098</v>
      </c>
      <c r="L203" t="s">
        <v>17</v>
      </c>
      <c r="M203">
        <v>0</v>
      </c>
      <c r="N203">
        <v>0.93710559779376001</v>
      </c>
    </row>
    <row r="204" spans="2:14" x14ac:dyDescent="0.25">
      <c r="B204" t="s">
        <v>14</v>
      </c>
      <c r="C204" s="1">
        <v>46044.999988425923</v>
      </c>
      <c r="D204">
        <v>25.154981297255802</v>
      </c>
      <c r="E204">
        <v>540717.33806963998</v>
      </c>
      <c r="F204" s="1">
        <v>46041.605486111112</v>
      </c>
      <c r="G204">
        <v>52.876186847654303</v>
      </c>
      <c r="H204" t="s">
        <v>15</v>
      </c>
      <c r="J204" t="s">
        <v>16</v>
      </c>
      <c r="K204">
        <v>577007.90534456098</v>
      </c>
      <c r="L204" t="s">
        <v>17</v>
      </c>
      <c r="M204">
        <v>0</v>
      </c>
      <c r="N204">
        <v>0.93710559779376001</v>
      </c>
    </row>
    <row r="205" spans="2:14" x14ac:dyDescent="0.25">
      <c r="B205" t="s">
        <v>14</v>
      </c>
      <c r="C205" s="1">
        <v>46043.999988425923</v>
      </c>
      <c r="D205">
        <v>25.154981297255802</v>
      </c>
      <c r="E205">
        <v>540717.33806963998</v>
      </c>
      <c r="F205" s="1">
        <v>46041.605486111112</v>
      </c>
      <c r="G205">
        <v>52.876186847654303</v>
      </c>
      <c r="H205" t="s">
        <v>15</v>
      </c>
      <c r="J205" t="s">
        <v>16</v>
      </c>
      <c r="K205">
        <v>577007.90534456098</v>
      </c>
      <c r="L205" t="s">
        <v>17</v>
      </c>
      <c r="M205">
        <v>0</v>
      </c>
      <c r="N205">
        <v>0.93710559779376001</v>
      </c>
    </row>
    <row r="206" spans="2:14" x14ac:dyDescent="0.25">
      <c r="B206" t="s">
        <v>14</v>
      </c>
      <c r="C206" s="1">
        <v>46042.999988425923</v>
      </c>
      <c r="D206">
        <v>25.154981297255802</v>
      </c>
      <c r="E206">
        <v>540717.33806963998</v>
      </c>
      <c r="F206" s="1">
        <v>46041.605486111112</v>
      </c>
      <c r="G206">
        <v>52.876186847654303</v>
      </c>
      <c r="H206" t="s">
        <v>15</v>
      </c>
      <c r="J206" t="s">
        <v>16</v>
      </c>
      <c r="K206">
        <v>577007.90534456098</v>
      </c>
      <c r="L206" t="s">
        <v>17</v>
      </c>
      <c r="M206">
        <v>0</v>
      </c>
      <c r="N206">
        <v>0.93710559779376001</v>
      </c>
    </row>
    <row r="207" spans="2:14" x14ac:dyDescent="0.25">
      <c r="B207" t="s">
        <v>14</v>
      </c>
      <c r="C207" s="1">
        <v>46041.999988425923</v>
      </c>
      <c r="D207">
        <v>25.154981297255802</v>
      </c>
      <c r="E207">
        <v>540717.33806963998</v>
      </c>
      <c r="F207" s="1">
        <v>46041.605486111112</v>
      </c>
      <c r="G207">
        <v>52.876186847654303</v>
      </c>
      <c r="H207" t="s">
        <v>15</v>
      </c>
      <c r="J207" t="s">
        <v>16</v>
      </c>
      <c r="K207">
        <v>577007.90534456098</v>
      </c>
      <c r="L207" t="s">
        <v>17</v>
      </c>
      <c r="M207">
        <v>0</v>
      </c>
      <c r="N207">
        <v>0.93710559779376001</v>
      </c>
    </row>
    <row r="208" spans="2:14" x14ac:dyDescent="0.25">
      <c r="B208" t="s">
        <v>14</v>
      </c>
      <c r="C208" s="1">
        <v>46040.999988425923</v>
      </c>
      <c r="D208">
        <v>25.154981297255802</v>
      </c>
      <c r="E208">
        <v>149381.208726602</v>
      </c>
      <c r="F208" s="1">
        <v>46038.099826388891</v>
      </c>
      <c r="G208">
        <v>52.876186847654303</v>
      </c>
      <c r="H208" t="s">
        <v>15</v>
      </c>
      <c r="J208" t="s">
        <v>16</v>
      </c>
      <c r="K208">
        <v>577007.90534456098</v>
      </c>
      <c r="L208" t="s">
        <v>17</v>
      </c>
      <c r="M208">
        <v>-391336.12934303802</v>
      </c>
      <c r="N208">
        <v>0.25888936242112498</v>
      </c>
    </row>
    <row r="209" spans="2:14" x14ac:dyDescent="0.25">
      <c r="B209" t="s">
        <v>14</v>
      </c>
      <c r="C209" s="1">
        <v>46039.999988425923</v>
      </c>
      <c r="D209">
        <v>25.154981297255802</v>
      </c>
      <c r="E209">
        <v>149381.208726602</v>
      </c>
      <c r="F209" s="1">
        <v>46038.099826388891</v>
      </c>
      <c r="G209">
        <v>52.876186847654303</v>
      </c>
      <c r="H209" t="s">
        <v>15</v>
      </c>
      <c r="J209" t="s">
        <v>16</v>
      </c>
      <c r="K209">
        <v>577007.90534456098</v>
      </c>
      <c r="L209" t="s">
        <v>17</v>
      </c>
      <c r="M209">
        <v>0</v>
      </c>
      <c r="N209">
        <v>0.25888936242112498</v>
      </c>
    </row>
    <row r="210" spans="2:14" x14ac:dyDescent="0.25">
      <c r="B210" t="s">
        <v>14</v>
      </c>
      <c r="C210" s="1">
        <v>46038.999988425923</v>
      </c>
      <c r="D210">
        <v>25.154981297255802</v>
      </c>
      <c r="E210">
        <v>149381.208726602</v>
      </c>
      <c r="F210" s="1">
        <v>46038.099826388891</v>
      </c>
      <c r="G210">
        <v>52.876186847654303</v>
      </c>
      <c r="H210" t="s">
        <v>15</v>
      </c>
      <c r="J210" t="s">
        <v>16</v>
      </c>
      <c r="K210">
        <v>577007.90534456098</v>
      </c>
      <c r="L210" t="s">
        <v>17</v>
      </c>
      <c r="M210">
        <v>0</v>
      </c>
      <c r="N210">
        <v>0.25888936242112498</v>
      </c>
    </row>
    <row r="211" spans="2:14" x14ac:dyDescent="0.25">
      <c r="B211" t="s">
        <v>14</v>
      </c>
      <c r="C211" s="1">
        <v>46037.999988425923</v>
      </c>
      <c r="D211">
        <v>25.154981297255802</v>
      </c>
      <c r="E211">
        <v>533846.938552593</v>
      </c>
      <c r="F211" s="1">
        <v>46035.606319444443</v>
      </c>
      <c r="G211">
        <v>52.876186847654303</v>
      </c>
      <c r="H211" t="s">
        <v>15</v>
      </c>
      <c r="J211" t="s">
        <v>16</v>
      </c>
      <c r="K211">
        <v>577007.90534456098</v>
      </c>
      <c r="L211" t="s">
        <v>17</v>
      </c>
      <c r="M211">
        <v>384465.72982598998</v>
      </c>
      <c r="N211">
        <v>0.92519865604580498</v>
      </c>
    </row>
    <row r="212" spans="2:14" x14ac:dyDescent="0.25">
      <c r="B212" t="s">
        <v>14</v>
      </c>
      <c r="C212" s="1">
        <v>46036.999988425923</v>
      </c>
      <c r="D212">
        <v>25.154981297255802</v>
      </c>
      <c r="E212">
        <v>533846.938552593</v>
      </c>
      <c r="F212" s="1">
        <v>46035.606319444443</v>
      </c>
      <c r="G212">
        <v>52.876186847654303</v>
      </c>
      <c r="H212" t="s">
        <v>15</v>
      </c>
      <c r="J212" t="s">
        <v>16</v>
      </c>
      <c r="K212">
        <v>577007.90534456098</v>
      </c>
      <c r="L212" t="s">
        <v>17</v>
      </c>
      <c r="M212">
        <v>0</v>
      </c>
      <c r="N212">
        <v>0.92519865604580498</v>
      </c>
    </row>
    <row r="213" spans="2:14" x14ac:dyDescent="0.25">
      <c r="B213" t="s">
        <v>14</v>
      </c>
      <c r="C213" s="1">
        <v>46035.999988425923</v>
      </c>
      <c r="D213">
        <v>25.154981297255802</v>
      </c>
      <c r="E213">
        <v>533846.938552593</v>
      </c>
      <c r="F213" s="1">
        <v>46035.606319444443</v>
      </c>
      <c r="G213">
        <v>52.876186847654303</v>
      </c>
      <c r="H213" t="s">
        <v>15</v>
      </c>
      <c r="J213" t="s">
        <v>16</v>
      </c>
      <c r="K213">
        <v>577007.90534456098</v>
      </c>
      <c r="L213" t="s">
        <v>17</v>
      </c>
      <c r="M213">
        <v>0</v>
      </c>
      <c r="N213">
        <v>0.92519865604580498</v>
      </c>
    </row>
    <row r="214" spans="2:14" x14ac:dyDescent="0.25">
      <c r="B214" t="s">
        <v>14</v>
      </c>
      <c r="C214" s="1">
        <v>46034.999988425923</v>
      </c>
      <c r="D214">
        <v>25.154981297255802</v>
      </c>
      <c r="E214">
        <v>148870.19804611901</v>
      </c>
      <c r="F214" s="1">
        <v>46032.099108796298</v>
      </c>
      <c r="G214">
        <v>52.876186847654303</v>
      </c>
      <c r="H214" t="s">
        <v>15</v>
      </c>
      <c r="J214" t="s">
        <v>16</v>
      </c>
      <c r="K214">
        <v>577007.90534456098</v>
      </c>
      <c r="L214" t="s">
        <v>17</v>
      </c>
      <c r="M214">
        <v>-384976.740506473</v>
      </c>
      <c r="N214">
        <v>0.25800374079315502</v>
      </c>
    </row>
    <row r="215" spans="2:14" x14ac:dyDescent="0.25">
      <c r="B215" t="s">
        <v>14</v>
      </c>
      <c r="C215" s="1">
        <v>46033.999988425923</v>
      </c>
      <c r="D215">
        <v>25.154981297255802</v>
      </c>
      <c r="E215">
        <v>148870.19804611901</v>
      </c>
      <c r="F215" s="1">
        <v>46032.099108796298</v>
      </c>
      <c r="G215">
        <v>52.876186847654303</v>
      </c>
      <c r="H215" t="s">
        <v>15</v>
      </c>
      <c r="J215" t="s">
        <v>16</v>
      </c>
      <c r="K215">
        <v>577007.90534456098</v>
      </c>
      <c r="L215" t="s">
        <v>17</v>
      </c>
      <c r="M215">
        <v>0</v>
      </c>
      <c r="N215">
        <v>0.25800374079315502</v>
      </c>
    </row>
    <row r="216" spans="2:14" x14ac:dyDescent="0.25">
      <c r="B216" t="s">
        <v>14</v>
      </c>
      <c r="C216" s="1">
        <v>46032.999988425923</v>
      </c>
      <c r="D216">
        <v>25.154981297255802</v>
      </c>
      <c r="E216">
        <v>148870.19804611901</v>
      </c>
      <c r="F216" s="1">
        <v>46032.099108796298</v>
      </c>
      <c r="G216">
        <v>52.876186847654303</v>
      </c>
      <c r="H216" t="s">
        <v>15</v>
      </c>
      <c r="J216" t="s">
        <v>16</v>
      </c>
      <c r="K216">
        <v>577007.90534456098</v>
      </c>
      <c r="L216" t="s">
        <v>17</v>
      </c>
      <c r="M216">
        <v>0</v>
      </c>
      <c r="N216">
        <v>0.25800374079315502</v>
      </c>
    </row>
    <row r="217" spans="2:14" x14ac:dyDescent="0.25">
      <c r="B217" t="s">
        <v>14</v>
      </c>
      <c r="C217" s="1">
        <v>46031.999988425923</v>
      </c>
      <c r="D217">
        <v>25.154981297255802</v>
      </c>
      <c r="E217">
        <v>272555.69780905702</v>
      </c>
      <c r="F217" s="1">
        <v>46029.605486111112</v>
      </c>
      <c r="G217">
        <v>52.876186847654303</v>
      </c>
      <c r="H217" t="s">
        <v>15</v>
      </c>
      <c r="J217" t="s">
        <v>16</v>
      </c>
      <c r="K217">
        <v>577007.90534456098</v>
      </c>
      <c r="L217" t="s">
        <v>17</v>
      </c>
      <c r="M217">
        <v>123685.499762937</v>
      </c>
      <c r="N217">
        <v>0.47236042224811398</v>
      </c>
    </row>
    <row r="218" spans="2:14" x14ac:dyDescent="0.25">
      <c r="B218" t="s">
        <v>14</v>
      </c>
      <c r="C218" s="1">
        <v>46030.999988425923</v>
      </c>
      <c r="D218">
        <v>25.154981297255802</v>
      </c>
      <c r="E218">
        <v>272555.69780905702</v>
      </c>
      <c r="F218" s="1">
        <v>46029.605486111112</v>
      </c>
      <c r="G218">
        <v>52.876186847654303</v>
      </c>
      <c r="H218" t="s">
        <v>15</v>
      </c>
      <c r="J218" t="s">
        <v>16</v>
      </c>
      <c r="K218">
        <v>577007.90534456098</v>
      </c>
      <c r="L218" t="s">
        <v>17</v>
      </c>
      <c r="M218">
        <v>0</v>
      </c>
      <c r="N218">
        <v>0.47236042224811398</v>
      </c>
    </row>
    <row r="219" spans="2:14" x14ac:dyDescent="0.25">
      <c r="B219" t="s">
        <v>14</v>
      </c>
      <c r="C219" s="1">
        <v>46029.999988425923</v>
      </c>
      <c r="D219">
        <v>25.154981297255802</v>
      </c>
      <c r="E219">
        <v>272555.69780905702</v>
      </c>
      <c r="F219" s="1">
        <v>46029.605486111112</v>
      </c>
      <c r="G219">
        <v>52.876186847654303</v>
      </c>
      <c r="H219" t="s">
        <v>15</v>
      </c>
      <c r="J219" t="s">
        <v>16</v>
      </c>
      <c r="K219">
        <v>577007.90534456098</v>
      </c>
      <c r="L219" t="s">
        <v>17</v>
      </c>
      <c r="M219">
        <v>0</v>
      </c>
      <c r="N219">
        <v>0.47236042224811398</v>
      </c>
    </row>
    <row r="220" spans="2:14" x14ac:dyDescent="0.25">
      <c r="B220" t="s">
        <v>14</v>
      </c>
      <c r="C220" s="1">
        <v>46028.999988425923</v>
      </c>
      <c r="D220">
        <v>25.154981297255802</v>
      </c>
      <c r="E220">
        <v>462422.66912327497</v>
      </c>
      <c r="F220" s="1">
        <v>46026.09983796296</v>
      </c>
      <c r="G220">
        <v>52.876186847654303</v>
      </c>
      <c r="H220" t="s">
        <v>15</v>
      </c>
      <c r="J220" t="s">
        <v>16</v>
      </c>
      <c r="K220">
        <v>577007.90534456098</v>
      </c>
      <c r="L220" t="s">
        <v>17</v>
      </c>
      <c r="M220">
        <v>189866.97131421801</v>
      </c>
      <c r="N220">
        <v>0.80141478971096403</v>
      </c>
    </row>
    <row r="221" spans="2:14" x14ac:dyDescent="0.25">
      <c r="B221" t="s">
        <v>14</v>
      </c>
      <c r="C221" s="1">
        <v>46027.999988425923</v>
      </c>
      <c r="D221">
        <v>25.154981297255802</v>
      </c>
      <c r="E221">
        <v>462422.66912327497</v>
      </c>
      <c r="F221" s="1">
        <v>46026.09983796296</v>
      </c>
      <c r="G221">
        <v>52.876186847654303</v>
      </c>
      <c r="H221" t="s">
        <v>15</v>
      </c>
      <c r="J221" t="s">
        <v>16</v>
      </c>
      <c r="K221">
        <v>577007.90534456098</v>
      </c>
      <c r="L221" t="s">
        <v>17</v>
      </c>
      <c r="M221">
        <v>0</v>
      </c>
      <c r="N221">
        <v>0.80141478971096403</v>
      </c>
    </row>
    <row r="222" spans="2:14" x14ac:dyDescent="0.25">
      <c r="B222" t="s">
        <v>14</v>
      </c>
      <c r="C222" s="1">
        <v>46026.999988425923</v>
      </c>
      <c r="D222">
        <v>25.154981297255802</v>
      </c>
      <c r="E222">
        <v>462422.66912327497</v>
      </c>
      <c r="F222" s="1">
        <v>46026.09983796296</v>
      </c>
      <c r="G222">
        <v>52.876186847654303</v>
      </c>
      <c r="H222" t="s">
        <v>15</v>
      </c>
      <c r="J222" t="s">
        <v>16</v>
      </c>
      <c r="K222">
        <v>577007.90534456098</v>
      </c>
      <c r="L222" t="s">
        <v>17</v>
      </c>
      <c r="M222">
        <v>0</v>
      </c>
      <c r="N222">
        <v>0.80141478971096403</v>
      </c>
    </row>
    <row r="223" spans="2:14" x14ac:dyDescent="0.25">
      <c r="B223" t="s">
        <v>14</v>
      </c>
      <c r="C223" s="1">
        <v>46025.999988425923</v>
      </c>
      <c r="D223">
        <v>25.154981297255802</v>
      </c>
      <c r="E223">
        <v>231836.217894206</v>
      </c>
      <c r="F223" s="1">
        <v>46023.60633101852</v>
      </c>
      <c r="G223">
        <v>52.876186847654303</v>
      </c>
      <c r="H223" t="s">
        <v>15</v>
      </c>
      <c r="J223" t="s">
        <v>16</v>
      </c>
      <c r="K223">
        <v>577007.90534456098</v>
      </c>
      <c r="L223" t="s">
        <v>17</v>
      </c>
      <c r="M223">
        <v>-230586.45122906801</v>
      </c>
      <c r="N223">
        <v>0.40179036672949098</v>
      </c>
    </row>
    <row r="224" spans="2:14" x14ac:dyDescent="0.25">
      <c r="B224" t="s">
        <v>14</v>
      </c>
      <c r="C224" s="1">
        <v>46024.999988425923</v>
      </c>
      <c r="D224">
        <v>25.154981297255802</v>
      </c>
      <c r="E224">
        <v>231836.217894206</v>
      </c>
      <c r="F224" s="1">
        <v>46023.60633101852</v>
      </c>
      <c r="G224">
        <v>52.876186847654303</v>
      </c>
      <c r="H224" t="s">
        <v>15</v>
      </c>
      <c r="J224" t="s">
        <v>16</v>
      </c>
      <c r="K224">
        <v>577007.90534456098</v>
      </c>
      <c r="L224" t="s">
        <v>17</v>
      </c>
      <c r="M224">
        <v>0</v>
      </c>
      <c r="N224">
        <v>0.40179036672949098</v>
      </c>
    </row>
    <row r="225" spans="2:14" x14ac:dyDescent="0.25">
      <c r="B225" t="s">
        <v>14</v>
      </c>
      <c r="C225" s="1">
        <v>46023.999988425923</v>
      </c>
      <c r="D225">
        <v>25.154981297255802</v>
      </c>
      <c r="E225">
        <v>231836.217894206</v>
      </c>
      <c r="F225" s="1">
        <v>46023.60633101852</v>
      </c>
      <c r="G225">
        <v>52.876186847654303</v>
      </c>
      <c r="H225" t="s">
        <v>15</v>
      </c>
      <c r="J225" t="s">
        <v>16</v>
      </c>
      <c r="K225">
        <v>577007.90534456098</v>
      </c>
      <c r="L225" t="s">
        <v>17</v>
      </c>
      <c r="M225">
        <v>0</v>
      </c>
      <c r="N225">
        <v>0.40179036672949098</v>
      </c>
    </row>
    <row r="226" spans="2:14" x14ac:dyDescent="0.25">
      <c r="B226" t="s">
        <v>14</v>
      </c>
      <c r="C226" s="1">
        <v>46246.999988425923</v>
      </c>
      <c r="D226">
        <v>25.155989075303999</v>
      </c>
      <c r="E226">
        <v>100887.950123498</v>
      </c>
      <c r="F226" s="1">
        <v>46246.605821759258</v>
      </c>
      <c r="G226">
        <v>52.876187050186402</v>
      </c>
      <c r="H226" t="s">
        <v>18</v>
      </c>
      <c r="J226" t="s">
        <v>16</v>
      </c>
      <c r="K226">
        <v>577007.90534456098</v>
      </c>
      <c r="L226" t="s">
        <v>17</v>
      </c>
      <c r="M226">
        <v>0</v>
      </c>
      <c r="N226">
        <v>0.17484673812788201</v>
      </c>
    </row>
    <row r="227" spans="2:14" x14ac:dyDescent="0.25">
      <c r="B227" t="s">
        <v>14</v>
      </c>
      <c r="C227" s="1">
        <v>46245.999988425923</v>
      </c>
      <c r="D227">
        <v>25.155989075303999</v>
      </c>
      <c r="E227">
        <v>98145.055000761495</v>
      </c>
      <c r="F227" s="1">
        <v>46243.09915509259</v>
      </c>
      <c r="G227">
        <v>52.876187050186402</v>
      </c>
      <c r="H227" t="s">
        <v>18</v>
      </c>
      <c r="J227" t="s">
        <v>16</v>
      </c>
      <c r="K227">
        <v>577007.90534456098</v>
      </c>
      <c r="L227" t="s">
        <v>17</v>
      </c>
      <c r="M227">
        <v>-2742.8951227368002</v>
      </c>
      <c r="N227">
        <v>0.170093085539536</v>
      </c>
    </row>
    <row r="228" spans="2:14" x14ac:dyDescent="0.25">
      <c r="B228" t="s">
        <v>14</v>
      </c>
      <c r="C228" s="1">
        <v>46244.999988425923</v>
      </c>
      <c r="D228">
        <v>25.155989075303999</v>
      </c>
      <c r="E228">
        <v>98145.055000761495</v>
      </c>
      <c r="F228" s="1">
        <v>46243.09915509259</v>
      </c>
      <c r="G228">
        <v>52.876187050186402</v>
      </c>
      <c r="H228" t="s">
        <v>18</v>
      </c>
      <c r="J228" t="s">
        <v>16</v>
      </c>
      <c r="K228">
        <v>577007.90534456098</v>
      </c>
      <c r="L228" t="s">
        <v>17</v>
      </c>
      <c r="M228">
        <v>0</v>
      </c>
      <c r="N228">
        <v>0.170093085539536</v>
      </c>
    </row>
    <row r="229" spans="2:14" x14ac:dyDescent="0.25">
      <c r="B229" t="s">
        <v>14</v>
      </c>
      <c r="C229" s="1">
        <v>46243.999988425923</v>
      </c>
      <c r="D229">
        <v>25.155989075303999</v>
      </c>
      <c r="E229">
        <v>98145.055000761495</v>
      </c>
      <c r="F229" s="1">
        <v>46243.09915509259</v>
      </c>
      <c r="G229">
        <v>52.876187050186402</v>
      </c>
      <c r="H229" t="s">
        <v>18</v>
      </c>
      <c r="J229" t="s">
        <v>16</v>
      </c>
      <c r="K229">
        <v>577007.90534456098</v>
      </c>
      <c r="L229" t="s">
        <v>17</v>
      </c>
      <c r="M229">
        <v>0</v>
      </c>
      <c r="N229">
        <v>0.170093085539536</v>
      </c>
    </row>
    <row r="230" spans="2:14" x14ac:dyDescent="0.25">
      <c r="B230" t="s">
        <v>14</v>
      </c>
      <c r="C230" s="1">
        <v>46242.999988425923</v>
      </c>
      <c r="D230">
        <v>25.155989075303999</v>
      </c>
      <c r="E230">
        <v>99114.9780703453</v>
      </c>
      <c r="F230" s="1">
        <v>46240.605520833335</v>
      </c>
      <c r="G230">
        <v>52.876187050186402</v>
      </c>
      <c r="H230" t="s">
        <v>18</v>
      </c>
      <c r="J230" t="s">
        <v>16</v>
      </c>
      <c r="K230">
        <v>577007.90534456098</v>
      </c>
      <c r="L230" t="s">
        <v>17</v>
      </c>
      <c r="M230">
        <v>969.92306958383404</v>
      </c>
      <c r="N230">
        <v>0.17177403836635199</v>
      </c>
    </row>
    <row r="231" spans="2:14" x14ac:dyDescent="0.25">
      <c r="B231" t="s">
        <v>14</v>
      </c>
      <c r="C231" s="1">
        <v>46241.999988425923</v>
      </c>
      <c r="D231">
        <v>25.155989075303999</v>
      </c>
      <c r="E231">
        <v>99114.9780703453</v>
      </c>
      <c r="F231" s="1">
        <v>46240.605520833335</v>
      </c>
      <c r="G231">
        <v>52.876187050186402</v>
      </c>
      <c r="H231" t="s">
        <v>18</v>
      </c>
      <c r="J231" t="s">
        <v>16</v>
      </c>
      <c r="K231">
        <v>577007.90534456098</v>
      </c>
      <c r="L231" t="s">
        <v>17</v>
      </c>
      <c r="M231">
        <v>0</v>
      </c>
      <c r="N231">
        <v>0.17177403836635199</v>
      </c>
    </row>
    <row r="232" spans="2:14" x14ac:dyDescent="0.25">
      <c r="B232" t="s">
        <v>14</v>
      </c>
      <c r="C232" s="1">
        <v>46240.999988425923</v>
      </c>
      <c r="D232">
        <v>25.155989075303999</v>
      </c>
      <c r="E232">
        <v>99114.9780703453</v>
      </c>
      <c r="F232" s="1">
        <v>46240.605520833335</v>
      </c>
      <c r="G232">
        <v>52.876187050186402</v>
      </c>
      <c r="H232" t="s">
        <v>18</v>
      </c>
      <c r="J232" t="s">
        <v>16</v>
      </c>
      <c r="K232">
        <v>577007.90534456098</v>
      </c>
      <c r="L232" t="s">
        <v>17</v>
      </c>
      <c r="M232">
        <v>0</v>
      </c>
      <c r="N232">
        <v>0.17177403836635199</v>
      </c>
    </row>
    <row r="233" spans="2:14" x14ac:dyDescent="0.25">
      <c r="B233" t="s">
        <v>14</v>
      </c>
      <c r="C233" s="1">
        <v>46239.999988425923</v>
      </c>
      <c r="D233">
        <v>25.155989075303999</v>
      </c>
      <c r="E233">
        <v>98285.357397699307</v>
      </c>
      <c r="F233" s="1">
        <v>46237.099328703705</v>
      </c>
      <c r="G233">
        <v>52.876187050186402</v>
      </c>
      <c r="H233" t="s">
        <v>18</v>
      </c>
      <c r="J233" t="s">
        <v>16</v>
      </c>
      <c r="K233">
        <v>577007.90534456098</v>
      </c>
      <c r="L233" t="s">
        <v>17</v>
      </c>
      <c r="M233">
        <v>-829.62067264597795</v>
      </c>
      <c r="N233">
        <v>0.170336240608364</v>
      </c>
    </row>
    <row r="234" spans="2:14" x14ac:dyDescent="0.25">
      <c r="B234" t="s">
        <v>14</v>
      </c>
      <c r="C234" s="1">
        <v>46238.999988425923</v>
      </c>
      <c r="D234">
        <v>25.155989075303999</v>
      </c>
      <c r="E234">
        <v>98285.357397699307</v>
      </c>
      <c r="F234" s="1">
        <v>46237.099328703705</v>
      </c>
      <c r="G234">
        <v>52.876187050186402</v>
      </c>
      <c r="H234" t="s">
        <v>18</v>
      </c>
      <c r="J234" t="s">
        <v>16</v>
      </c>
      <c r="K234">
        <v>577007.90534456098</v>
      </c>
      <c r="L234" t="s">
        <v>17</v>
      </c>
      <c r="M234">
        <v>0</v>
      </c>
      <c r="N234">
        <v>0.170336240608364</v>
      </c>
    </row>
    <row r="235" spans="2:14" x14ac:dyDescent="0.25">
      <c r="B235" t="s">
        <v>14</v>
      </c>
      <c r="C235" s="1">
        <v>46237.999988425923</v>
      </c>
      <c r="D235">
        <v>25.155989075303999</v>
      </c>
      <c r="E235">
        <v>98285.357397699307</v>
      </c>
      <c r="F235" s="1">
        <v>46237.099328703705</v>
      </c>
      <c r="G235">
        <v>52.876187050186402</v>
      </c>
      <c r="H235" t="s">
        <v>18</v>
      </c>
      <c r="J235" t="s">
        <v>16</v>
      </c>
      <c r="K235">
        <v>577007.90534456098</v>
      </c>
      <c r="L235" t="s">
        <v>17</v>
      </c>
      <c r="M235">
        <v>0</v>
      </c>
      <c r="N235">
        <v>0.170336240608364</v>
      </c>
    </row>
    <row r="236" spans="2:14" x14ac:dyDescent="0.25">
      <c r="B236" t="s">
        <v>14</v>
      </c>
      <c r="C236" s="1">
        <v>46236.999988425923</v>
      </c>
      <c r="D236">
        <v>25.155989075303999</v>
      </c>
      <c r="E236">
        <v>99278.621639178804</v>
      </c>
      <c r="F236" s="1">
        <v>46234.605810185189</v>
      </c>
      <c r="G236">
        <v>52.876187050186402</v>
      </c>
      <c r="H236" t="s">
        <v>18</v>
      </c>
      <c r="J236" t="s">
        <v>16</v>
      </c>
      <c r="K236">
        <v>577007.90534456098</v>
      </c>
      <c r="L236" t="s">
        <v>17</v>
      </c>
      <c r="M236">
        <v>993.26424147945295</v>
      </c>
      <c r="N236">
        <v>0.17205764551855501</v>
      </c>
    </row>
    <row r="237" spans="2:14" x14ac:dyDescent="0.25">
      <c r="B237" t="s">
        <v>14</v>
      </c>
      <c r="C237" s="1">
        <v>46235.999988425923</v>
      </c>
      <c r="D237">
        <v>25.155989075303999</v>
      </c>
      <c r="E237">
        <v>99278.621639178804</v>
      </c>
      <c r="F237" s="1">
        <v>46234.605810185189</v>
      </c>
      <c r="G237">
        <v>52.876187050186402</v>
      </c>
      <c r="H237" t="s">
        <v>18</v>
      </c>
      <c r="J237" t="s">
        <v>16</v>
      </c>
      <c r="K237">
        <v>577007.90534456098</v>
      </c>
      <c r="L237" t="s">
        <v>17</v>
      </c>
      <c r="M237">
        <v>0</v>
      </c>
      <c r="N237">
        <v>0.17205764551855501</v>
      </c>
    </row>
    <row r="238" spans="2:14" x14ac:dyDescent="0.25">
      <c r="B238" t="s">
        <v>14</v>
      </c>
      <c r="C238" s="1">
        <v>46234.999988425923</v>
      </c>
      <c r="D238">
        <v>25.155989075303999</v>
      </c>
      <c r="E238">
        <v>99278.621639178804</v>
      </c>
      <c r="F238" s="1">
        <v>46234.605810185189</v>
      </c>
      <c r="G238">
        <v>52.876187050186402</v>
      </c>
      <c r="H238" t="s">
        <v>18</v>
      </c>
      <c r="J238" t="s">
        <v>16</v>
      </c>
      <c r="K238">
        <v>577007.90534456098</v>
      </c>
      <c r="L238" t="s">
        <v>17</v>
      </c>
      <c r="M238">
        <v>0</v>
      </c>
      <c r="N238">
        <v>0.17205764551855501</v>
      </c>
    </row>
    <row r="239" spans="2:14" x14ac:dyDescent="0.25">
      <c r="B239" t="s">
        <v>14</v>
      </c>
      <c r="C239" s="1">
        <v>46233.999988425923</v>
      </c>
      <c r="D239">
        <v>25.155989075303999</v>
      </c>
      <c r="E239">
        <v>95606.697450106294</v>
      </c>
      <c r="F239" s="1">
        <v>46231.09915509259</v>
      </c>
      <c r="G239">
        <v>52.876187050186402</v>
      </c>
      <c r="H239" t="s">
        <v>18</v>
      </c>
      <c r="J239" t="s">
        <v>16</v>
      </c>
      <c r="K239">
        <v>577007.90534456098</v>
      </c>
      <c r="L239" t="s">
        <v>17</v>
      </c>
      <c r="M239">
        <v>-3671.9241890725002</v>
      </c>
      <c r="N239">
        <v>0.165693912621551</v>
      </c>
    </row>
    <row r="240" spans="2:14" x14ac:dyDescent="0.25">
      <c r="B240" t="s">
        <v>14</v>
      </c>
      <c r="C240" s="1">
        <v>46232.999988425923</v>
      </c>
      <c r="D240">
        <v>25.155989075303999</v>
      </c>
      <c r="E240">
        <v>95606.697450106294</v>
      </c>
      <c r="F240" s="1">
        <v>46231.09915509259</v>
      </c>
      <c r="G240">
        <v>52.876187050186402</v>
      </c>
      <c r="H240" t="s">
        <v>18</v>
      </c>
      <c r="J240" t="s">
        <v>16</v>
      </c>
      <c r="K240">
        <v>577007.90534456098</v>
      </c>
      <c r="L240" t="s">
        <v>17</v>
      </c>
      <c r="M240">
        <v>0</v>
      </c>
      <c r="N240">
        <v>0.165693912621551</v>
      </c>
    </row>
    <row r="241" spans="2:14" x14ac:dyDescent="0.25">
      <c r="B241" t="s">
        <v>14</v>
      </c>
      <c r="C241" s="1">
        <v>46231.999988425923</v>
      </c>
      <c r="D241">
        <v>25.155989075303999</v>
      </c>
      <c r="E241">
        <v>95606.697450106294</v>
      </c>
      <c r="F241" s="1">
        <v>46231.09915509259</v>
      </c>
      <c r="G241">
        <v>52.876187050186402</v>
      </c>
      <c r="H241" t="s">
        <v>18</v>
      </c>
      <c r="J241" t="s">
        <v>16</v>
      </c>
      <c r="K241">
        <v>577007.90534456098</v>
      </c>
      <c r="L241" t="s">
        <v>17</v>
      </c>
      <c r="M241">
        <v>0</v>
      </c>
      <c r="N241">
        <v>0.165693912621551</v>
      </c>
    </row>
    <row r="242" spans="2:14" x14ac:dyDescent="0.25">
      <c r="B242" t="s">
        <v>14</v>
      </c>
      <c r="C242" s="1">
        <v>46230.999988425923</v>
      </c>
      <c r="D242">
        <v>25.155989075303999</v>
      </c>
      <c r="E242">
        <v>95797.952556413802</v>
      </c>
      <c r="F242" s="1">
        <v>46228.605520833335</v>
      </c>
      <c r="G242">
        <v>52.876187050186402</v>
      </c>
      <c r="H242" t="s">
        <v>18</v>
      </c>
      <c r="J242" t="s">
        <v>16</v>
      </c>
      <c r="K242">
        <v>577007.90534456098</v>
      </c>
      <c r="L242" t="s">
        <v>17</v>
      </c>
      <c r="M242">
        <v>191.25510630750699</v>
      </c>
      <c r="N242">
        <v>0.16602537273593801</v>
      </c>
    </row>
    <row r="243" spans="2:14" x14ac:dyDescent="0.25">
      <c r="B243" t="s">
        <v>14</v>
      </c>
      <c r="C243" s="1">
        <v>46229.999988425923</v>
      </c>
      <c r="D243">
        <v>25.155989075303999</v>
      </c>
      <c r="E243">
        <v>95797.952556413802</v>
      </c>
      <c r="F243" s="1">
        <v>46228.605520833335</v>
      </c>
      <c r="G243">
        <v>52.876187050186402</v>
      </c>
      <c r="H243" t="s">
        <v>18</v>
      </c>
      <c r="J243" t="s">
        <v>16</v>
      </c>
      <c r="K243">
        <v>577007.90534456098</v>
      </c>
      <c r="L243" t="s">
        <v>17</v>
      </c>
      <c r="M243">
        <v>0</v>
      </c>
      <c r="N243">
        <v>0.16602537273593801</v>
      </c>
    </row>
    <row r="244" spans="2:14" x14ac:dyDescent="0.25">
      <c r="B244" t="s">
        <v>14</v>
      </c>
      <c r="C244" s="1">
        <v>46228.999988425923</v>
      </c>
      <c r="D244">
        <v>25.155989075303999</v>
      </c>
      <c r="E244">
        <v>95797.952556413802</v>
      </c>
      <c r="F244" s="1">
        <v>46228.605520833335</v>
      </c>
      <c r="G244">
        <v>52.876187050186402</v>
      </c>
      <c r="H244" t="s">
        <v>18</v>
      </c>
      <c r="J244" t="s">
        <v>16</v>
      </c>
      <c r="K244">
        <v>577007.90534456098</v>
      </c>
      <c r="L244" t="s">
        <v>17</v>
      </c>
      <c r="M244">
        <v>0</v>
      </c>
      <c r="N244">
        <v>0.16602537273593801</v>
      </c>
    </row>
    <row r="245" spans="2:14" x14ac:dyDescent="0.25">
      <c r="B245" t="s">
        <v>14</v>
      </c>
      <c r="C245" s="1">
        <v>46227.999988425923</v>
      </c>
      <c r="D245">
        <v>25.155989075303999</v>
      </c>
      <c r="E245">
        <v>100218.840328865</v>
      </c>
      <c r="F245" s="1">
        <v>46225.099317129629</v>
      </c>
      <c r="G245">
        <v>52.876187050186402</v>
      </c>
      <c r="H245" t="s">
        <v>18</v>
      </c>
      <c r="J245" t="s">
        <v>16</v>
      </c>
      <c r="K245">
        <v>577007.90534456098</v>
      </c>
      <c r="L245" t="s">
        <v>17</v>
      </c>
      <c r="M245">
        <v>4420.8877724514396</v>
      </c>
      <c r="N245">
        <v>0.17368711832296199</v>
      </c>
    </row>
    <row r="246" spans="2:14" x14ac:dyDescent="0.25">
      <c r="B246" t="s">
        <v>14</v>
      </c>
      <c r="C246" s="1">
        <v>46226.999988425923</v>
      </c>
      <c r="D246">
        <v>25.155989075303999</v>
      </c>
      <c r="E246">
        <v>100218.840328865</v>
      </c>
      <c r="F246" s="1">
        <v>46225.099317129629</v>
      </c>
      <c r="G246">
        <v>52.876187050186402</v>
      </c>
      <c r="H246" t="s">
        <v>18</v>
      </c>
      <c r="J246" t="s">
        <v>16</v>
      </c>
      <c r="K246">
        <v>577007.90534456098</v>
      </c>
      <c r="L246" t="s">
        <v>17</v>
      </c>
      <c r="M246">
        <v>0</v>
      </c>
      <c r="N246">
        <v>0.17368711832296199</v>
      </c>
    </row>
    <row r="247" spans="2:14" x14ac:dyDescent="0.25">
      <c r="B247" t="s">
        <v>14</v>
      </c>
      <c r="C247" s="1">
        <v>46225.999988425923</v>
      </c>
      <c r="D247">
        <v>25.155989075303999</v>
      </c>
      <c r="E247">
        <v>100218.840328865</v>
      </c>
      <c r="F247" s="1">
        <v>46225.099317129629</v>
      </c>
      <c r="G247">
        <v>52.876187050186402</v>
      </c>
      <c r="H247" t="s">
        <v>18</v>
      </c>
      <c r="J247" t="s">
        <v>16</v>
      </c>
      <c r="K247">
        <v>577007.90534456098</v>
      </c>
      <c r="L247" t="s">
        <v>17</v>
      </c>
      <c r="M247">
        <v>0</v>
      </c>
      <c r="N247">
        <v>0.17368711832296199</v>
      </c>
    </row>
    <row r="248" spans="2:14" x14ac:dyDescent="0.25">
      <c r="B248" t="s">
        <v>14</v>
      </c>
      <c r="C248" s="1">
        <v>46224.999988425923</v>
      </c>
      <c r="D248">
        <v>25.155989075303999</v>
      </c>
      <c r="E248">
        <v>104548.806435694</v>
      </c>
      <c r="F248" s="1">
        <v>46222.605810185189</v>
      </c>
      <c r="G248">
        <v>52.876187050186402</v>
      </c>
      <c r="H248" t="s">
        <v>18</v>
      </c>
      <c r="J248" t="s">
        <v>16</v>
      </c>
      <c r="K248">
        <v>577007.90534456098</v>
      </c>
      <c r="L248" t="s">
        <v>17</v>
      </c>
      <c r="M248">
        <v>4329.9661068292298</v>
      </c>
      <c r="N248">
        <v>0.181191289525336</v>
      </c>
    </row>
    <row r="249" spans="2:14" x14ac:dyDescent="0.25">
      <c r="B249" t="s">
        <v>14</v>
      </c>
      <c r="C249" s="1">
        <v>46223.999988425923</v>
      </c>
      <c r="D249">
        <v>25.155989075303999</v>
      </c>
      <c r="E249">
        <v>104548.806435694</v>
      </c>
      <c r="F249" s="1">
        <v>46222.605810185189</v>
      </c>
      <c r="G249">
        <v>52.876187050186402</v>
      </c>
      <c r="H249" t="s">
        <v>18</v>
      </c>
      <c r="J249" t="s">
        <v>16</v>
      </c>
      <c r="K249">
        <v>577007.90534456098</v>
      </c>
      <c r="L249" t="s">
        <v>17</v>
      </c>
      <c r="M249">
        <v>0</v>
      </c>
      <c r="N249">
        <v>0.181191289525336</v>
      </c>
    </row>
    <row r="250" spans="2:14" x14ac:dyDescent="0.25">
      <c r="B250" t="s">
        <v>14</v>
      </c>
      <c r="C250" s="1">
        <v>46222.999988425923</v>
      </c>
      <c r="D250">
        <v>25.155989075303999</v>
      </c>
      <c r="E250">
        <v>104548.806435694</v>
      </c>
      <c r="F250" s="1">
        <v>46222.605810185189</v>
      </c>
      <c r="G250">
        <v>52.876187050186402</v>
      </c>
      <c r="H250" t="s">
        <v>18</v>
      </c>
      <c r="J250" t="s">
        <v>16</v>
      </c>
      <c r="K250">
        <v>577007.90534456098</v>
      </c>
      <c r="L250" t="s">
        <v>17</v>
      </c>
      <c r="M250">
        <v>0</v>
      </c>
      <c r="N250">
        <v>0.181191289525336</v>
      </c>
    </row>
    <row r="251" spans="2:14" x14ac:dyDescent="0.25">
      <c r="B251" t="s">
        <v>14</v>
      </c>
      <c r="C251" s="1">
        <v>46221.999988425923</v>
      </c>
      <c r="D251">
        <v>25.155989075303999</v>
      </c>
      <c r="E251">
        <v>97150.702113563399</v>
      </c>
      <c r="F251" s="1">
        <v>46219.099143518521</v>
      </c>
      <c r="G251">
        <v>52.876187050186402</v>
      </c>
      <c r="H251" t="s">
        <v>18</v>
      </c>
      <c r="J251" t="s">
        <v>16</v>
      </c>
      <c r="K251">
        <v>577007.90534456098</v>
      </c>
      <c r="L251" t="s">
        <v>17</v>
      </c>
      <c r="M251">
        <v>-7398.1043221310201</v>
      </c>
      <c r="N251">
        <v>0.168369793920847</v>
      </c>
    </row>
    <row r="252" spans="2:14" x14ac:dyDescent="0.25">
      <c r="B252" t="s">
        <v>14</v>
      </c>
      <c r="C252" s="1">
        <v>46220.999988425923</v>
      </c>
      <c r="D252">
        <v>25.155989075303999</v>
      </c>
      <c r="E252">
        <v>97150.702113563399</v>
      </c>
      <c r="F252" s="1">
        <v>46219.099143518521</v>
      </c>
      <c r="G252">
        <v>52.876187050186402</v>
      </c>
      <c r="H252" t="s">
        <v>18</v>
      </c>
      <c r="J252" t="s">
        <v>16</v>
      </c>
      <c r="K252">
        <v>577007.90534456098</v>
      </c>
      <c r="L252" t="s">
        <v>17</v>
      </c>
      <c r="M252">
        <v>0</v>
      </c>
      <c r="N252">
        <v>0.168369793920847</v>
      </c>
    </row>
    <row r="253" spans="2:14" x14ac:dyDescent="0.25">
      <c r="B253" t="s">
        <v>14</v>
      </c>
      <c r="C253" s="1">
        <v>46219.999988425923</v>
      </c>
      <c r="D253">
        <v>25.155989075303999</v>
      </c>
      <c r="E253">
        <v>97150.702113563399</v>
      </c>
      <c r="F253" s="1">
        <v>46219.099143518521</v>
      </c>
      <c r="G253">
        <v>52.876187050186402</v>
      </c>
      <c r="H253" t="s">
        <v>18</v>
      </c>
      <c r="J253" t="s">
        <v>16</v>
      </c>
      <c r="K253">
        <v>577007.90534456098</v>
      </c>
      <c r="L253" t="s">
        <v>17</v>
      </c>
      <c r="M253">
        <v>0</v>
      </c>
      <c r="N253">
        <v>0.168369793920847</v>
      </c>
    </row>
    <row r="254" spans="2:14" x14ac:dyDescent="0.25">
      <c r="B254" t="s">
        <v>14</v>
      </c>
      <c r="C254" s="1">
        <v>46218.999988425923</v>
      </c>
      <c r="D254">
        <v>25.155989075303999</v>
      </c>
      <c r="E254">
        <v>100980.18159699001</v>
      </c>
      <c r="F254" s="1">
        <v>46216.605509259258</v>
      </c>
      <c r="G254">
        <v>52.876187050186402</v>
      </c>
      <c r="H254" t="s">
        <v>18</v>
      </c>
      <c r="J254" t="s">
        <v>16</v>
      </c>
      <c r="K254">
        <v>577007.90534456098</v>
      </c>
      <c r="L254" t="s">
        <v>17</v>
      </c>
      <c r="M254">
        <v>3829.4794834270701</v>
      </c>
      <c r="N254">
        <v>0.17500658251240001</v>
      </c>
    </row>
    <row r="255" spans="2:14" x14ac:dyDescent="0.25">
      <c r="B255" t="s">
        <v>14</v>
      </c>
      <c r="C255" s="1">
        <v>46217.999988425923</v>
      </c>
      <c r="D255">
        <v>25.155989075303999</v>
      </c>
      <c r="E255">
        <v>100980.18159699001</v>
      </c>
      <c r="F255" s="1">
        <v>46216.605509259258</v>
      </c>
      <c r="G255">
        <v>52.876187050186402</v>
      </c>
      <c r="H255" t="s">
        <v>18</v>
      </c>
      <c r="J255" t="s">
        <v>16</v>
      </c>
      <c r="K255">
        <v>577007.90534456098</v>
      </c>
      <c r="L255" t="s">
        <v>17</v>
      </c>
      <c r="M255">
        <v>0</v>
      </c>
      <c r="N255">
        <v>0.17500658251240001</v>
      </c>
    </row>
    <row r="256" spans="2:14" x14ac:dyDescent="0.25">
      <c r="B256" t="s">
        <v>14</v>
      </c>
      <c r="C256" s="1">
        <v>46216.999988425923</v>
      </c>
      <c r="D256">
        <v>25.155989075303999</v>
      </c>
      <c r="E256">
        <v>100980.18159699001</v>
      </c>
      <c r="F256" s="1">
        <v>46216.605509259258</v>
      </c>
      <c r="G256">
        <v>52.876187050186402</v>
      </c>
      <c r="H256" t="s">
        <v>18</v>
      </c>
      <c r="J256" t="s">
        <v>16</v>
      </c>
      <c r="K256">
        <v>577007.90534456098</v>
      </c>
      <c r="L256" t="s">
        <v>17</v>
      </c>
      <c r="M256">
        <v>0</v>
      </c>
      <c r="N256">
        <v>0.17500658251240001</v>
      </c>
    </row>
    <row r="257" spans="2:14" x14ac:dyDescent="0.25">
      <c r="B257" t="s">
        <v>14</v>
      </c>
      <c r="C257" s="1">
        <v>46215.999988425923</v>
      </c>
      <c r="D257">
        <v>25.155989075303999</v>
      </c>
      <c r="E257">
        <v>98366.502733031797</v>
      </c>
      <c r="F257" s="1">
        <v>46213.099305555559</v>
      </c>
      <c r="G257">
        <v>52.876187050186402</v>
      </c>
      <c r="H257" t="s">
        <v>18</v>
      </c>
      <c r="J257" t="s">
        <v>16</v>
      </c>
      <c r="K257">
        <v>577007.90534456098</v>
      </c>
      <c r="L257" t="s">
        <v>17</v>
      </c>
      <c r="M257">
        <v>-2613.6788639586798</v>
      </c>
      <c r="N257">
        <v>0.170476871845095</v>
      </c>
    </row>
    <row r="258" spans="2:14" x14ac:dyDescent="0.25">
      <c r="B258" t="s">
        <v>14</v>
      </c>
      <c r="C258" s="1">
        <v>46214.999988425923</v>
      </c>
      <c r="D258">
        <v>25.155989075303999</v>
      </c>
      <c r="E258">
        <v>98366.502733031797</v>
      </c>
      <c r="F258" s="1">
        <v>46213.099305555559</v>
      </c>
      <c r="G258">
        <v>52.876187050186402</v>
      </c>
      <c r="H258" t="s">
        <v>18</v>
      </c>
      <c r="J258" t="s">
        <v>16</v>
      </c>
      <c r="K258">
        <v>577007.90534456098</v>
      </c>
      <c r="L258" t="s">
        <v>17</v>
      </c>
      <c r="M258">
        <v>0</v>
      </c>
      <c r="N258">
        <v>0.170476871845095</v>
      </c>
    </row>
    <row r="259" spans="2:14" x14ac:dyDescent="0.25">
      <c r="B259" t="s">
        <v>14</v>
      </c>
      <c r="C259" s="1">
        <v>46213.999988425923</v>
      </c>
      <c r="D259">
        <v>25.155989075303999</v>
      </c>
      <c r="E259">
        <v>98366.502733031797</v>
      </c>
      <c r="F259" s="1">
        <v>46213.099305555559</v>
      </c>
      <c r="G259">
        <v>52.876187050186402</v>
      </c>
      <c r="H259" t="s">
        <v>18</v>
      </c>
      <c r="J259" t="s">
        <v>16</v>
      </c>
      <c r="K259">
        <v>577007.90534456098</v>
      </c>
      <c r="L259" t="s">
        <v>17</v>
      </c>
      <c r="M259">
        <v>0</v>
      </c>
      <c r="N259">
        <v>0.170476871845095</v>
      </c>
    </row>
    <row r="260" spans="2:14" x14ac:dyDescent="0.25">
      <c r="B260" t="s">
        <v>14</v>
      </c>
      <c r="C260" s="1">
        <v>46212.999988425923</v>
      </c>
      <c r="D260">
        <v>25.155989075303999</v>
      </c>
      <c r="E260">
        <v>104272.60638949899</v>
      </c>
      <c r="F260" s="1">
        <v>46210.605798611112</v>
      </c>
      <c r="G260">
        <v>52.876187050186402</v>
      </c>
      <c r="H260" t="s">
        <v>18</v>
      </c>
      <c r="J260" t="s">
        <v>16</v>
      </c>
      <c r="K260">
        <v>577007.90534456098</v>
      </c>
      <c r="L260" t="s">
        <v>17</v>
      </c>
      <c r="M260">
        <v>5906.1036564675696</v>
      </c>
      <c r="N260">
        <v>0.180712613161223</v>
      </c>
    </row>
    <row r="261" spans="2:14" x14ac:dyDescent="0.25">
      <c r="B261" t="s">
        <v>14</v>
      </c>
      <c r="C261" s="1">
        <v>46211.999988425923</v>
      </c>
      <c r="D261">
        <v>25.155989075303999</v>
      </c>
      <c r="E261">
        <v>104272.60638949899</v>
      </c>
      <c r="F261" s="1">
        <v>46210.605798611112</v>
      </c>
      <c r="G261">
        <v>52.876187050186402</v>
      </c>
      <c r="H261" t="s">
        <v>18</v>
      </c>
      <c r="J261" t="s">
        <v>16</v>
      </c>
      <c r="K261">
        <v>577007.90534456098</v>
      </c>
      <c r="L261" t="s">
        <v>17</v>
      </c>
      <c r="M261">
        <v>0</v>
      </c>
      <c r="N261">
        <v>0.180712613161223</v>
      </c>
    </row>
    <row r="262" spans="2:14" x14ac:dyDescent="0.25">
      <c r="B262" t="s">
        <v>14</v>
      </c>
      <c r="C262" s="1">
        <v>46210.999988425923</v>
      </c>
      <c r="D262">
        <v>25.155989075303999</v>
      </c>
      <c r="E262">
        <v>104272.60638949899</v>
      </c>
      <c r="F262" s="1">
        <v>46210.605798611112</v>
      </c>
      <c r="G262">
        <v>52.876187050186402</v>
      </c>
      <c r="H262" t="s">
        <v>18</v>
      </c>
      <c r="J262" t="s">
        <v>16</v>
      </c>
      <c r="K262">
        <v>577007.90534456098</v>
      </c>
      <c r="L262" t="s">
        <v>17</v>
      </c>
      <c r="M262">
        <v>0</v>
      </c>
      <c r="N262">
        <v>0.180712613161223</v>
      </c>
    </row>
    <row r="263" spans="2:14" x14ac:dyDescent="0.25">
      <c r="B263" t="s">
        <v>14</v>
      </c>
      <c r="C263" s="1">
        <v>46209.999988425923</v>
      </c>
      <c r="D263">
        <v>25.155989075303999</v>
      </c>
      <c r="E263">
        <v>95963.137000228293</v>
      </c>
      <c r="F263" s="1">
        <v>46207.099131944444</v>
      </c>
      <c r="G263">
        <v>52.876187050186402</v>
      </c>
      <c r="H263" t="s">
        <v>18</v>
      </c>
      <c r="J263" t="s">
        <v>16</v>
      </c>
      <c r="K263">
        <v>577007.90534456098</v>
      </c>
      <c r="L263" t="s">
        <v>17</v>
      </c>
      <c r="M263">
        <v>-8309.4693892711002</v>
      </c>
      <c r="N263">
        <v>0.166311650345455</v>
      </c>
    </row>
    <row r="264" spans="2:14" x14ac:dyDescent="0.25">
      <c r="B264" t="s">
        <v>14</v>
      </c>
      <c r="C264" s="1">
        <v>46208.999988425923</v>
      </c>
      <c r="D264">
        <v>25.155989075303999</v>
      </c>
      <c r="E264">
        <v>95963.137000228293</v>
      </c>
      <c r="F264" s="1">
        <v>46207.099131944444</v>
      </c>
      <c r="G264">
        <v>52.876187050186402</v>
      </c>
      <c r="H264" t="s">
        <v>18</v>
      </c>
      <c r="J264" t="s">
        <v>16</v>
      </c>
      <c r="K264">
        <v>577007.90534456098</v>
      </c>
      <c r="L264" t="s">
        <v>17</v>
      </c>
      <c r="M264">
        <v>0</v>
      </c>
      <c r="N264">
        <v>0.166311650345455</v>
      </c>
    </row>
    <row r="265" spans="2:14" x14ac:dyDescent="0.25">
      <c r="B265" t="s">
        <v>14</v>
      </c>
      <c r="C265" s="1">
        <v>46207.999988425923</v>
      </c>
      <c r="D265">
        <v>25.155989075303999</v>
      </c>
      <c r="E265">
        <v>95963.137000228293</v>
      </c>
      <c r="F265" s="1">
        <v>46207.099131944444</v>
      </c>
      <c r="G265">
        <v>52.876187050186402</v>
      </c>
      <c r="H265" t="s">
        <v>18</v>
      </c>
      <c r="J265" t="s">
        <v>16</v>
      </c>
      <c r="K265">
        <v>577007.90534456098</v>
      </c>
      <c r="L265" t="s">
        <v>17</v>
      </c>
      <c r="M265">
        <v>0</v>
      </c>
      <c r="N265">
        <v>0.166311650345455</v>
      </c>
    </row>
    <row r="266" spans="2:14" x14ac:dyDescent="0.25">
      <c r="B266" t="s">
        <v>14</v>
      </c>
      <c r="C266" s="1">
        <v>46206.999988425923</v>
      </c>
      <c r="D266">
        <v>25.155989075303999</v>
      </c>
      <c r="E266">
        <v>101647.606501521</v>
      </c>
      <c r="F266" s="1">
        <v>46204.605509259258</v>
      </c>
      <c r="G266">
        <v>52.876187050186402</v>
      </c>
      <c r="H266" t="s">
        <v>18</v>
      </c>
      <c r="J266" t="s">
        <v>16</v>
      </c>
      <c r="K266">
        <v>577007.90534456098</v>
      </c>
      <c r="L266" t="s">
        <v>17</v>
      </c>
      <c r="M266">
        <v>5684.4695012931998</v>
      </c>
      <c r="N266">
        <v>0.17616328227049499</v>
      </c>
    </row>
    <row r="267" spans="2:14" x14ac:dyDescent="0.25">
      <c r="B267" t="s">
        <v>14</v>
      </c>
      <c r="C267" s="1">
        <v>46205.999988425923</v>
      </c>
      <c r="D267">
        <v>25.155989075303999</v>
      </c>
      <c r="E267">
        <v>101647.606501521</v>
      </c>
      <c r="F267" s="1">
        <v>46204.605509259258</v>
      </c>
      <c r="G267">
        <v>52.876187050186402</v>
      </c>
      <c r="H267" t="s">
        <v>18</v>
      </c>
      <c r="J267" t="s">
        <v>16</v>
      </c>
      <c r="K267">
        <v>577007.90534456098</v>
      </c>
      <c r="L267" t="s">
        <v>17</v>
      </c>
      <c r="M267">
        <v>0</v>
      </c>
      <c r="N267">
        <v>0.17616328227049499</v>
      </c>
    </row>
    <row r="268" spans="2:14" x14ac:dyDescent="0.25">
      <c r="B268" t="s">
        <v>14</v>
      </c>
      <c r="C268" s="1">
        <v>46204.999988425923</v>
      </c>
      <c r="D268">
        <v>25.155989075303999</v>
      </c>
      <c r="E268">
        <v>101647.606501521</v>
      </c>
      <c r="F268" s="1">
        <v>46204.605509259258</v>
      </c>
      <c r="G268">
        <v>52.876187050186402</v>
      </c>
      <c r="H268" t="s">
        <v>18</v>
      </c>
      <c r="J268" t="s">
        <v>16</v>
      </c>
      <c r="K268">
        <v>577007.90534456098</v>
      </c>
      <c r="L268" t="s">
        <v>17</v>
      </c>
      <c r="M268">
        <v>0</v>
      </c>
      <c r="N268">
        <v>0.17616328227049499</v>
      </c>
    </row>
    <row r="269" spans="2:14" x14ac:dyDescent="0.25">
      <c r="B269" t="s">
        <v>14</v>
      </c>
      <c r="C269" s="1">
        <v>46203.999988425923</v>
      </c>
      <c r="D269">
        <v>25.155989075303999</v>
      </c>
      <c r="E269">
        <v>96329.310378365</v>
      </c>
      <c r="F269" s="1">
        <v>46201.099305555559</v>
      </c>
      <c r="G269">
        <v>52.876187050186402</v>
      </c>
      <c r="H269" t="s">
        <v>18</v>
      </c>
      <c r="J269" t="s">
        <v>16</v>
      </c>
      <c r="K269">
        <v>577007.90534456098</v>
      </c>
      <c r="L269" t="s">
        <v>17</v>
      </c>
      <c r="M269">
        <v>-5318.2961231564896</v>
      </c>
      <c r="N269">
        <v>0.16694625755749701</v>
      </c>
    </row>
    <row r="270" spans="2:14" x14ac:dyDescent="0.25">
      <c r="B270" t="s">
        <v>14</v>
      </c>
      <c r="C270" s="1">
        <v>46202.999988425923</v>
      </c>
      <c r="D270">
        <v>25.155989075303999</v>
      </c>
      <c r="E270">
        <v>96329.310378365</v>
      </c>
      <c r="F270" s="1">
        <v>46201.099305555559</v>
      </c>
      <c r="G270">
        <v>52.876187050186402</v>
      </c>
      <c r="H270" t="s">
        <v>18</v>
      </c>
      <c r="J270" t="s">
        <v>16</v>
      </c>
      <c r="K270">
        <v>577007.90534456098</v>
      </c>
      <c r="L270" t="s">
        <v>17</v>
      </c>
      <c r="M270">
        <v>0</v>
      </c>
      <c r="N270">
        <v>0.16694625755749701</v>
      </c>
    </row>
    <row r="271" spans="2:14" x14ac:dyDescent="0.25">
      <c r="B271" t="s">
        <v>14</v>
      </c>
      <c r="C271" s="1">
        <v>46201.999988425923</v>
      </c>
      <c r="D271">
        <v>25.155989075303999</v>
      </c>
      <c r="E271">
        <v>96329.310378365</v>
      </c>
      <c r="F271" s="1">
        <v>46201.099305555559</v>
      </c>
      <c r="G271">
        <v>52.876187050186402</v>
      </c>
      <c r="H271" t="s">
        <v>18</v>
      </c>
      <c r="J271" t="s">
        <v>16</v>
      </c>
      <c r="K271">
        <v>577007.90534456098</v>
      </c>
      <c r="L271" t="s">
        <v>17</v>
      </c>
      <c r="M271">
        <v>0</v>
      </c>
      <c r="N271">
        <v>0.16694625755749701</v>
      </c>
    </row>
    <row r="272" spans="2:14" x14ac:dyDescent="0.25">
      <c r="B272" t="s">
        <v>14</v>
      </c>
      <c r="C272" s="1">
        <v>46200.999988425923</v>
      </c>
      <c r="D272">
        <v>25.155989075303999</v>
      </c>
      <c r="E272">
        <v>101958.714954061</v>
      </c>
      <c r="F272" s="1">
        <v>46198.605787037035</v>
      </c>
      <c r="G272">
        <v>52.876187050186402</v>
      </c>
      <c r="H272" t="s">
        <v>18</v>
      </c>
      <c r="J272" t="s">
        <v>16</v>
      </c>
      <c r="K272">
        <v>577007.90534456098</v>
      </c>
      <c r="L272" t="s">
        <v>17</v>
      </c>
      <c r="M272">
        <v>5629.4045756965597</v>
      </c>
      <c r="N272">
        <v>0.176702457643412</v>
      </c>
    </row>
    <row r="273" spans="2:14" x14ac:dyDescent="0.25">
      <c r="B273" t="s">
        <v>14</v>
      </c>
      <c r="C273" s="1">
        <v>46199.999988425923</v>
      </c>
      <c r="D273">
        <v>25.155989075303999</v>
      </c>
      <c r="E273">
        <v>101958.714954061</v>
      </c>
      <c r="F273" s="1">
        <v>46198.605787037035</v>
      </c>
      <c r="G273">
        <v>52.876187050186402</v>
      </c>
      <c r="H273" t="s">
        <v>18</v>
      </c>
      <c r="J273" t="s">
        <v>16</v>
      </c>
      <c r="K273">
        <v>577007.90534456098</v>
      </c>
      <c r="L273" t="s">
        <v>17</v>
      </c>
      <c r="M273">
        <v>0</v>
      </c>
      <c r="N273">
        <v>0.176702457643412</v>
      </c>
    </row>
    <row r="274" spans="2:14" x14ac:dyDescent="0.25">
      <c r="B274" t="s">
        <v>14</v>
      </c>
      <c r="C274" s="1">
        <v>46198.999988425923</v>
      </c>
      <c r="D274">
        <v>25.155989075303999</v>
      </c>
      <c r="E274">
        <v>101958.714954061</v>
      </c>
      <c r="F274" s="1">
        <v>46198.605787037035</v>
      </c>
      <c r="G274">
        <v>52.876187050186402</v>
      </c>
      <c r="H274" t="s">
        <v>18</v>
      </c>
      <c r="J274" t="s">
        <v>16</v>
      </c>
      <c r="K274">
        <v>577007.90534456098</v>
      </c>
      <c r="L274" t="s">
        <v>17</v>
      </c>
      <c r="M274">
        <v>0</v>
      </c>
      <c r="N274">
        <v>0.176702457643412</v>
      </c>
    </row>
    <row r="275" spans="2:14" x14ac:dyDescent="0.25">
      <c r="B275" t="s">
        <v>14</v>
      </c>
      <c r="C275" s="1">
        <v>46197.999988425923</v>
      </c>
      <c r="D275">
        <v>25.155989075303999</v>
      </c>
      <c r="E275">
        <v>98687.675182586201</v>
      </c>
      <c r="F275" s="1">
        <v>46194.099780092591</v>
      </c>
      <c r="G275">
        <v>52.876187050186402</v>
      </c>
      <c r="H275" t="s">
        <v>18</v>
      </c>
      <c r="J275" t="s">
        <v>16</v>
      </c>
      <c r="K275">
        <v>577007.90534456098</v>
      </c>
      <c r="L275" t="s">
        <v>17</v>
      </c>
      <c r="M275">
        <v>-3271.0397714753599</v>
      </c>
      <c r="N275">
        <v>0.17103348891494699</v>
      </c>
    </row>
    <row r="276" spans="2:14" x14ac:dyDescent="0.25">
      <c r="B276" t="s">
        <v>14</v>
      </c>
      <c r="C276" s="1">
        <v>46196.999988425923</v>
      </c>
      <c r="D276">
        <v>25.155989075303999</v>
      </c>
      <c r="E276">
        <v>98687.675182586201</v>
      </c>
      <c r="F276" s="1">
        <v>46194.099780092591</v>
      </c>
      <c r="G276">
        <v>52.876187050186402</v>
      </c>
      <c r="H276" t="s">
        <v>18</v>
      </c>
      <c r="J276" t="s">
        <v>16</v>
      </c>
      <c r="K276">
        <v>577007.90534456098</v>
      </c>
      <c r="L276" t="s">
        <v>17</v>
      </c>
      <c r="M276">
        <v>0</v>
      </c>
      <c r="N276">
        <v>0.17103348891494699</v>
      </c>
    </row>
    <row r="277" spans="2:14" x14ac:dyDescent="0.25">
      <c r="B277" t="s">
        <v>14</v>
      </c>
      <c r="C277" s="1">
        <v>46195.999988425923</v>
      </c>
      <c r="D277">
        <v>25.155989075303999</v>
      </c>
      <c r="E277">
        <v>98687.675182586201</v>
      </c>
      <c r="F277" s="1">
        <v>46194.099780092591</v>
      </c>
      <c r="G277">
        <v>52.876187050186402</v>
      </c>
      <c r="H277" t="s">
        <v>18</v>
      </c>
      <c r="J277" t="s">
        <v>16</v>
      </c>
      <c r="K277">
        <v>577007.90534456098</v>
      </c>
      <c r="L277" t="s">
        <v>17</v>
      </c>
      <c r="M277">
        <v>0</v>
      </c>
      <c r="N277">
        <v>0.17103348891494699</v>
      </c>
    </row>
    <row r="278" spans="2:14" x14ac:dyDescent="0.25">
      <c r="B278" t="s">
        <v>14</v>
      </c>
      <c r="C278" s="1">
        <v>46194.999988425923</v>
      </c>
      <c r="D278">
        <v>25.155989075303999</v>
      </c>
      <c r="E278">
        <v>98687.675182586201</v>
      </c>
      <c r="F278" s="1">
        <v>46194.099780092591</v>
      </c>
      <c r="G278">
        <v>52.876187050186402</v>
      </c>
      <c r="H278" t="s">
        <v>18</v>
      </c>
      <c r="J278" t="s">
        <v>16</v>
      </c>
      <c r="K278">
        <v>577007.90534456098</v>
      </c>
      <c r="L278" t="s">
        <v>17</v>
      </c>
      <c r="M278">
        <v>0</v>
      </c>
      <c r="N278">
        <v>0.17103348891494699</v>
      </c>
    </row>
    <row r="279" spans="2:14" x14ac:dyDescent="0.25">
      <c r="B279" t="s">
        <v>14</v>
      </c>
      <c r="C279" s="1">
        <v>46193.999988425923</v>
      </c>
      <c r="D279">
        <v>25.155989075303999</v>
      </c>
      <c r="E279">
        <v>101110.156204538</v>
      </c>
      <c r="F279" s="1">
        <v>46191.606261574074</v>
      </c>
      <c r="G279">
        <v>52.876187050186402</v>
      </c>
      <c r="H279" t="s">
        <v>18</v>
      </c>
      <c r="J279" t="s">
        <v>16</v>
      </c>
      <c r="K279">
        <v>577007.90534456098</v>
      </c>
      <c r="L279" t="s">
        <v>17</v>
      </c>
      <c r="M279">
        <v>2422.4810219522301</v>
      </c>
      <c r="N279">
        <v>0.175231838711395</v>
      </c>
    </row>
    <row r="280" spans="2:14" x14ac:dyDescent="0.25">
      <c r="B280" t="s">
        <v>14</v>
      </c>
      <c r="C280" s="1">
        <v>46192.999988425923</v>
      </c>
      <c r="D280">
        <v>25.155989075303999</v>
      </c>
      <c r="E280">
        <v>101110.156204538</v>
      </c>
      <c r="F280" s="1">
        <v>46191.606261574074</v>
      </c>
      <c r="G280">
        <v>52.876187050186402</v>
      </c>
      <c r="H280" t="s">
        <v>18</v>
      </c>
      <c r="J280" t="s">
        <v>16</v>
      </c>
      <c r="K280">
        <v>577007.90534456098</v>
      </c>
      <c r="L280" t="s">
        <v>17</v>
      </c>
      <c r="M280">
        <v>0</v>
      </c>
      <c r="N280">
        <v>0.175231838711395</v>
      </c>
    </row>
    <row r="281" spans="2:14" x14ac:dyDescent="0.25">
      <c r="B281" t="s">
        <v>14</v>
      </c>
      <c r="C281" s="1">
        <v>46191.999988425923</v>
      </c>
      <c r="D281">
        <v>25.155989075303999</v>
      </c>
      <c r="E281">
        <v>101110.156204538</v>
      </c>
      <c r="F281" s="1">
        <v>46191.606261574074</v>
      </c>
      <c r="G281">
        <v>52.876187050186402</v>
      </c>
      <c r="H281" t="s">
        <v>18</v>
      </c>
      <c r="J281" t="s">
        <v>16</v>
      </c>
      <c r="K281">
        <v>577007.90534456098</v>
      </c>
      <c r="L281" t="s">
        <v>17</v>
      </c>
      <c r="M281">
        <v>0</v>
      </c>
      <c r="N281">
        <v>0.175231838711395</v>
      </c>
    </row>
    <row r="282" spans="2:14" x14ac:dyDescent="0.25">
      <c r="B282" t="s">
        <v>14</v>
      </c>
      <c r="C282" s="1">
        <v>46190.999988425923</v>
      </c>
      <c r="D282">
        <v>25.155989075303999</v>
      </c>
      <c r="E282">
        <v>99198.105879617302</v>
      </c>
      <c r="F282" s="1">
        <v>46189.099270833336</v>
      </c>
      <c r="G282">
        <v>52.876187050186402</v>
      </c>
      <c r="H282" t="s">
        <v>18</v>
      </c>
      <c r="J282" t="s">
        <v>16</v>
      </c>
      <c r="K282">
        <v>577007.90534456098</v>
      </c>
      <c r="L282" t="s">
        <v>17</v>
      </c>
      <c r="M282">
        <v>-1912.0503249210799</v>
      </c>
      <c r="N282">
        <v>0.171918105386062</v>
      </c>
    </row>
    <row r="283" spans="2:14" x14ac:dyDescent="0.25">
      <c r="B283" t="s">
        <v>14</v>
      </c>
      <c r="C283" s="1">
        <v>46189.999988425923</v>
      </c>
      <c r="D283">
        <v>25.155989075303999</v>
      </c>
      <c r="E283">
        <v>99198.105879617302</v>
      </c>
      <c r="F283" s="1">
        <v>46189.099270833336</v>
      </c>
      <c r="G283">
        <v>52.876187050186402</v>
      </c>
      <c r="H283" t="s">
        <v>18</v>
      </c>
      <c r="J283" t="s">
        <v>16</v>
      </c>
      <c r="K283">
        <v>577007.90534456098</v>
      </c>
      <c r="L283" t="s">
        <v>17</v>
      </c>
      <c r="M283">
        <v>0</v>
      </c>
      <c r="N283">
        <v>0.171918105386062</v>
      </c>
    </row>
    <row r="284" spans="2:14" x14ac:dyDescent="0.25">
      <c r="B284" t="s">
        <v>14</v>
      </c>
      <c r="C284" s="1">
        <v>46188.999988425923</v>
      </c>
      <c r="D284">
        <v>25.155989075303999</v>
      </c>
      <c r="E284">
        <v>102018.512731132</v>
      </c>
      <c r="F284" s="1">
        <v>46186.60564814815</v>
      </c>
      <c r="G284">
        <v>52.876187050186402</v>
      </c>
      <c r="H284" t="s">
        <v>18</v>
      </c>
      <c r="J284" t="s">
        <v>16</v>
      </c>
      <c r="K284">
        <v>577007.90534456098</v>
      </c>
      <c r="L284" t="s">
        <v>17</v>
      </c>
      <c r="M284">
        <v>2820.4068515148801</v>
      </c>
      <c r="N284">
        <v>0.176806091885711</v>
      </c>
    </row>
    <row r="285" spans="2:14" x14ac:dyDescent="0.25">
      <c r="B285" t="s">
        <v>14</v>
      </c>
      <c r="C285" s="1">
        <v>46187.999988425923</v>
      </c>
      <c r="D285">
        <v>25.155989075303999</v>
      </c>
      <c r="E285">
        <v>102018.512731132</v>
      </c>
      <c r="F285" s="1">
        <v>46186.60564814815</v>
      </c>
      <c r="G285">
        <v>52.876187050186402</v>
      </c>
      <c r="H285" t="s">
        <v>18</v>
      </c>
      <c r="J285" t="s">
        <v>16</v>
      </c>
      <c r="K285">
        <v>577007.90534456098</v>
      </c>
      <c r="L285" t="s">
        <v>17</v>
      </c>
      <c r="M285">
        <v>0</v>
      </c>
      <c r="N285">
        <v>0.176806091885711</v>
      </c>
    </row>
    <row r="286" spans="2:14" x14ac:dyDescent="0.25">
      <c r="B286" t="s">
        <v>14</v>
      </c>
      <c r="C286" s="1">
        <v>46186.999988425923</v>
      </c>
      <c r="D286">
        <v>25.155989075303999</v>
      </c>
      <c r="E286">
        <v>102018.512731132</v>
      </c>
      <c r="F286" s="1">
        <v>46186.60564814815</v>
      </c>
      <c r="G286">
        <v>52.876187050186402</v>
      </c>
      <c r="H286" t="s">
        <v>18</v>
      </c>
      <c r="J286" t="s">
        <v>16</v>
      </c>
      <c r="K286">
        <v>577007.90534456098</v>
      </c>
      <c r="L286" t="s">
        <v>17</v>
      </c>
      <c r="M286">
        <v>0</v>
      </c>
      <c r="N286">
        <v>0.176806091885711</v>
      </c>
    </row>
    <row r="287" spans="2:14" x14ac:dyDescent="0.25">
      <c r="B287" t="s">
        <v>14</v>
      </c>
      <c r="C287" s="1">
        <v>46185.999988425923</v>
      </c>
      <c r="D287">
        <v>25.155989075303999</v>
      </c>
      <c r="E287">
        <v>96597.480660676301</v>
      </c>
      <c r="F287" s="1">
        <v>46182.099780092591</v>
      </c>
      <c r="G287">
        <v>52.876187050186402</v>
      </c>
      <c r="H287" t="s">
        <v>18</v>
      </c>
      <c r="J287" t="s">
        <v>16</v>
      </c>
      <c r="K287">
        <v>577007.90534456098</v>
      </c>
      <c r="L287" t="s">
        <v>17</v>
      </c>
      <c r="M287">
        <v>-5421.0320704559499</v>
      </c>
      <c r="N287">
        <v>0.16741101771039499</v>
      </c>
    </row>
    <row r="288" spans="2:14" x14ac:dyDescent="0.25">
      <c r="B288" t="s">
        <v>14</v>
      </c>
      <c r="C288" s="1">
        <v>46184.999988425923</v>
      </c>
      <c r="D288">
        <v>25.155989075303999</v>
      </c>
      <c r="E288">
        <v>96597.480660676301</v>
      </c>
      <c r="F288" s="1">
        <v>46182.099780092591</v>
      </c>
      <c r="G288">
        <v>52.876187050186402</v>
      </c>
      <c r="H288" t="s">
        <v>18</v>
      </c>
      <c r="J288" t="s">
        <v>16</v>
      </c>
      <c r="K288">
        <v>577007.90534456098</v>
      </c>
      <c r="L288" t="s">
        <v>17</v>
      </c>
      <c r="M288">
        <v>0</v>
      </c>
      <c r="N288">
        <v>0.16741101771039499</v>
      </c>
    </row>
    <row r="289" spans="2:14" x14ac:dyDescent="0.25">
      <c r="B289" t="s">
        <v>14</v>
      </c>
      <c r="C289" s="1">
        <v>46183.999988425923</v>
      </c>
      <c r="D289">
        <v>25.155989075303999</v>
      </c>
      <c r="E289">
        <v>96597.480660676301</v>
      </c>
      <c r="F289" s="1">
        <v>46182.099780092591</v>
      </c>
      <c r="G289">
        <v>52.876187050186402</v>
      </c>
      <c r="H289" t="s">
        <v>18</v>
      </c>
      <c r="J289" t="s">
        <v>16</v>
      </c>
      <c r="K289">
        <v>577007.90534456098</v>
      </c>
      <c r="L289" t="s">
        <v>17</v>
      </c>
      <c r="M289">
        <v>0</v>
      </c>
      <c r="N289">
        <v>0.16741101771039499</v>
      </c>
    </row>
    <row r="290" spans="2:14" x14ac:dyDescent="0.25">
      <c r="B290" t="s">
        <v>14</v>
      </c>
      <c r="C290" s="1">
        <v>46182.999988425923</v>
      </c>
      <c r="D290">
        <v>25.155989075303999</v>
      </c>
      <c r="E290">
        <v>96597.480660676301</v>
      </c>
      <c r="F290" s="1">
        <v>46182.099780092591</v>
      </c>
      <c r="G290">
        <v>52.876187050186402</v>
      </c>
      <c r="H290" t="s">
        <v>18</v>
      </c>
      <c r="J290" t="s">
        <v>16</v>
      </c>
      <c r="K290">
        <v>577007.90534456098</v>
      </c>
      <c r="L290" t="s">
        <v>17</v>
      </c>
      <c r="M290">
        <v>0</v>
      </c>
      <c r="N290">
        <v>0.16741101771039499</v>
      </c>
    </row>
    <row r="291" spans="2:14" x14ac:dyDescent="0.25">
      <c r="B291" t="s">
        <v>14</v>
      </c>
      <c r="C291" s="1">
        <v>46181.999988425923</v>
      </c>
      <c r="D291">
        <v>25.155989075303999</v>
      </c>
      <c r="E291">
        <v>102815.52137761201</v>
      </c>
      <c r="F291" s="1">
        <v>46179.606273148151</v>
      </c>
      <c r="G291">
        <v>52.876187050186402</v>
      </c>
      <c r="H291" t="s">
        <v>18</v>
      </c>
      <c r="J291" t="s">
        <v>16</v>
      </c>
      <c r="K291">
        <v>577007.90534456098</v>
      </c>
      <c r="L291" t="s">
        <v>17</v>
      </c>
      <c r="M291">
        <v>6218.0407169357004</v>
      </c>
      <c r="N291">
        <v>0.17818737044203101</v>
      </c>
    </row>
    <row r="292" spans="2:14" x14ac:dyDescent="0.25">
      <c r="B292" t="s">
        <v>14</v>
      </c>
      <c r="C292" s="1">
        <v>46180.999988425923</v>
      </c>
      <c r="D292">
        <v>25.155989075303999</v>
      </c>
      <c r="E292">
        <v>102815.52137761201</v>
      </c>
      <c r="F292" s="1">
        <v>46179.606273148151</v>
      </c>
      <c r="G292">
        <v>52.876187050186402</v>
      </c>
      <c r="H292" t="s">
        <v>18</v>
      </c>
      <c r="J292" t="s">
        <v>16</v>
      </c>
      <c r="K292">
        <v>577007.90534456098</v>
      </c>
      <c r="L292" t="s">
        <v>17</v>
      </c>
      <c r="M292">
        <v>0</v>
      </c>
      <c r="N292">
        <v>0.17818737044203101</v>
      </c>
    </row>
    <row r="293" spans="2:14" x14ac:dyDescent="0.25">
      <c r="B293" t="s">
        <v>14</v>
      </c>
      <c r="C293" s="1">
        <v>46179.999988425923</v>
      </c>
      <c r="D293">
        <v>25.155989075303999</v>
      </c>
      <c r="E293">
        <v>102815.52137761201</v>
      </c>
      <c r="F293" s="1">
        <v>46179.606273148151</v>
      </c>
      <c r="G293">
        <v>52.876187050186402</v>
      </c>
      <c r="H293" t="s">
        <v>18</v>
      </c>
      <c r="J293" t="s">
        <v>16</v>
      </c>
      <c r="K293">
        <v>577007.90534456098</v>
      </c>
      <c r="L293" t="s">
        <v>17</v>
      </c>
      <c r="M293">
        <v>0</v>
      </c>
      <c r="N293">
        <v>0.17818737044203101</v>
      </c>
    </row>
    <row r="294" spans="2:14" x14ac:dyDescent="0.25">
      <c r="B294" t="s">
        <v>14</v>
      </c>
      <c r="C294" s="1">
        <v>46178.999988425923</v>
      </c>
      <c r="D294">
        <v>25.155989075303999</v>
      </c>
      <c r="E294">
        <v>98773.709367956297</v>
      </c>
      <c r="F294" s="1">
        <v>46177.099259259259</v>
      </c>
      <c r="G294">
        <v>52.876187050186402</v>
      </c>
      <c r="H294" t="s">
        <v>18</v>
      </c>
      <c r="J294" t="s">
        <v>16</v>
      </c>
      <c r="K294">
        <v>577007.90534456098</v>
      </c>
      <c r="L294" t="s">
        <v>17</v>
      </c>
      <c r="M294">
        <v>-4041.8120096556299</v>
      </c>
      <c r="N294">
        <v>0.17118259291261001</v>
      </c>
    </row>
    <row r="295" spans="2:14" x14ac:dyDescent="0.25">
      <c r="B295" t="s">
        <v>14</v>
      </c>
      <c r="C295" s="1">
        <v>46177.999988425923</v>
      </c>
      <c r="D295">
        <v>25.155989075303999</v>
      </c>
      <c r="E295">
        <v>98773.709367956297</v>
      </c>
      <c r="F295" s="1">
        <v>46177.099259259259</v>
      </c>
      <c r="G295">
        <v>52.876187050186402</v>
      </c>
      <c r="H295" t="s">
        <v>18</v>
      </c>
      <c r="J295" t="s">
        <v>16</v>
      </c>
      <c r="K295">
        <v>577007.90534456098</v>
      </c>
      <c r="L295" t="s">
        <v>17</v>
      </c>
      <c r="M295">
        <v>0</v>
      </c>
      <c r="N295">
        <v>0.17118259291261001</v>
      </c>
    </row>
    <row r="296" spans="2:14" x14ac:dyDescent="0.25">
      <c r="B296" t="s">
        <v>14</v>
      </c>
      <c r="C296" s="1">
        <v>46176.999988425923</v>
      </c>
      <c r="D296">
        <v>25.155989075303999</v>
      </c>
      <c r="E296">
        <v>97927.939369422194</v>
      </c>
      <c r="F296" s="1">
        <v>46176.099143518521</v>
      </c>
      <c r="G296">
        <v>52.876187050186402</v>
      </c>
      <c r="H296" t="s">
        <v>18</v>
      </c>
      <c r="J296" t="s">
        <v>16</v>
      </c>
      <c r="K296">
        <v>577007.90534456098</v>
      </c>
      <c r="L296" t="s">
        <v>17</v>
      </c>
      <c r="M296">
        <v>-845.76999853411598</v>
      </c>
      <c r="N296">
        <v>0.16971680710499801</v>
      </c>
    </row>
    <row r="297" spans="2:14" x14ac:dyDescent="0.25">
      <c r="B297" t="s">
        <v>14</v>
      </c>
      <c r="C297" s="1">
        <v>46175.999988425923</v>
      </c>
      <c r="D297">
        <v>25.155989075303999</v>
      </c>
      <c r="E297">
        <v>101041.307350073</v>
      </c>
      <c r="F297" s="1">
        <v>46173.605520833335</v>
      </c>
      <c r="G297">
        <v>52.876187050186402</v>
      </c>
      <c r="H297" t="s">
        <v>18</v>
      </c>
      <c r="J297" t="s">
        <v>16</v>
      </c>
      <c r="K297">
        <v>577007.90534456098</v>
      </c>
      <c r="L297" t="s">
        <v>17</v>
      </c>
      <c r="M297">
        <v>3113.3679806516102</v>
      </c>
      <c r="N297">
        <v>0.17511251824138599</v>
      </c>
    </row>
    <row r="298" spans="2:14" x14ac:dyDescent="0.25">
      <c r="B298" t="s">
        <v>14</v>
      </c>
      <c r="C298" s="1">
        <v>46174.999988425923</v>
      </c>
      <c r="D298">
        <v>25.155989075303999</v>
      </c>
      <c r="E298">
        <v>101041.307350073</v>
      </c>
      <c r="F298" s="1">
        <v>46173.605520833335</v>
      </c>
      <c r="G298">
        <v>52.876187050186402</v>
      </c>
      <c r="H298" t="s">
        <v>18</v>
      </c>
      <c r="J298" t="s">
        <v>16</v>
      </c>
      <c r="K298">
        <v>577007.90534456098</v>
      </c>
      <c r="L298" t="s">
        <v>17</v>
      </c>
      <c r="M298">
        <v>0</v>
      </c>
      <c r="N298">
        <v>0.17511251824138599</v>
      </c>
    </row>
    <row r="299" spans="2:14" x14ac:dyDescent="0.25">
      <c r="B299" t="s">
        <v>14</v>
      </c>
      <c r="C299" s="1">
        <v>46173.999988425923</v>
      </c>
      <c r="D299">
        <v>25.155989075303999</v>
      </c>
      <c r="E299">
        <v>101041.307350073</v>
      </c>
      <c r="F299" s="1">
        <v>46173.605520833335</v>
      </c>
      <c r="G299">
        <v>52.876187050186402</v>
      </c>
      <c r="H299" t="s">
        <v>18</v>
      </c>
      <c r="J299" t="s">
        <v>16</v>
      </c>
      <c r="K299">
        <v>577007.90534456098</v>
      </c>
      <c r="L299" t="s">
        <v>17</v>
      </c>
      <c r="M299">
        <v>0</v>
      </c>
      <c r="N299">
        <v>0.17511251824138599</v>
      </c>
    </row>
    <row r="300" spans="2:14" x14ac:dyDescent="0.25">
      <c r="B300" t="s">
        <v>14</v>
      </c>
      <c r="C300" s="1">
        <v>46172.999988425923</v>
      </c>
      <c r="D300">
        <v>25.155989075303999</v>
      </c>
      <c r="E300">
        <v>96975.992718349997</v>
      </c>
      <c r="F300" s="1">
        <v>46170.099791666667</v>
      </c>
      <c r="G300">
        <v>52.876187050186402</v>
      </c>
      <c r="H300" t="s">
        <v>18</v>
      </c>
      <c r="J300" t="s">
        <v>16</v>
      </c>
      <c r="K300">
        <v>577007.90534456098</v>
      </c>
      <c r="L300" t="s">
        <v>17</v>
      </c>
      <c r="M300">
        <v>-4065.3146317238502</v>
      </c>
      <c r="N300">
        <v>0.16806700882276501</v>
      </c>
    </row>
    <row r="301" spans="2:14" x14ac:dyDescent="0.25">
      <c r="B301" t="s">
        <v>14</v>
      </c>
      <c r="C301" s="1">
        <v>46171.999988425923</v>
      </c>
      <c r="D301">
        <v>25.155989075303999</v>
      </c>
      <c r="E301">
        <v>96975.992718349997</v>
      </c>
      <c r="F301" s="1">
        <v>46170.099791666667</v>
      </c>
      <c r="G301">
        <v>52.876187050186402</v>
      </c>
      <c r="H301" t="s">
        <v>18</v>
      </c>
      <c r="J301" t="s">
        <v>16</v>
      </c>
      <c r="K301">
        <v>577007.90534456098</v>
      </c>
      <c r="L301" t="s">
        <v>17</v>
      </c>
      <c r="M301">
        <v>0</v>
      </c>
      <c r="N301">
        <v>0.16806700882276501</v>
      </c>
    </row>
    <row r="302" spans="2:14" x14ac:dyDescent="0.25">
      <c r="B302" t="s">
        <v>14</v>
      </c>
      <c r="C302" s="1">
        <v>46170.999988425923</v>
      </c>
      <c r="D302">
        <v>25.155989075303999</v>
      </c>
      <c r="E302">
        <v>96975.992718349997</v>
      </c>
      <c r="F302" s="1">
        <v>46170.099791666667</v>
      </c>
      <c r="G302">
        <v>52.876187050186402</v>
      </c>
      <c r="H302" t="s">
        <v>18</v>
      </c>
      <c r="J302" t="s">
        <v>16</v>
      </c>
      <c r="K302">
        <v>577007.90534456098</v>
      </c>
      <c r="L302" t="s">
        <v>17</v>
      </c>
      <c r="M302">
        <v>0</v>
      </c>
      <c r="N302">
        <v>0.16806700882276501</v>
      </c>
    </row>
    <row r="303" spans="2:14" x14ac:dyDescent="0.25">
      <c r="B303" t="s">
        <v>14</v>
      </c>
      <c r="C303" s="1">
        <v>46169.999988425923</v>
      </c>
      <c r="D303">
        <v>25.155989075303999</v>
      </c>
      <c r="E303">
        <v>105276.303722467</v>
      </c>
      <c r="F303" s="1">
        <v>46167.60628472222</v>
      </c>
      <c r="G303">
        <v>52.876187050186402</v>
      </c>
      <c r="H303" t="s">
        <v>18</v>
      </c>
      <c r="J303" t="s">
        <v>16</v>
      </c>
      <c r="K303">
        <v>577007.90534456098</v>
      </c>
      <c r="L303" t="s">
        <v>17</v>
      </c>
      <c r="M303">
        <v>8300.3110041177697</v>
      </c>
      <c r="N303">
        <v>0.18245209943805099</v>
      </c>
    </row>
    <row r="304" spans="2:14" x14ac:dyDescent="0.25">
      <c r="B304" t="s">
        <v>14</v>
      </c>
      <c r="C304" s="1">
        <v>46168.999988425923</v>
      </c>
      <c r="D304">
        <v>25.155989075303999</v>
      </c>
      <c r="E304">
        <v>105276.303722467</v>
      </c>
      <c r="F304" s="1">
        <v>46167.60628472222</v>
      </c>
      <c r="G304">
        <v>52.876187050186402</v>
      </c>
      <c r="H304" t="s">
        <v>18</v>
      </c>
      <c r="J304" t="s">
        <v>16</v>
      </c>
      <c r="K304">
        <v>577007.90534456098</v>
      </c>
      <c r="L304" t="s">
        <v>17</v>
      </c>
      <c r="M304">
        <v>0</v>
      </c>
      <c r="N304">
        <v>0.18245209943805099</v>
      </c>
    </row>
    <row r="305" spans="2:14" x14ac:dyDescent="0.25">
      <c r="B305" t="s">
        <v>14</v>
      </c>
      <c r="C305" s="1">
        <v>46167.999988425923</v>
      </c>
      <c r="D305">
        <v>25.155989075303999</v>
      </c>
      <c r="E305">
        <v>105276.303722467</v>
      </c>
      <c r="F305" s="1">
        <v>46167.60628472222</v>
      </c>
      <c r="G305">
        <v>52.876187050186402</v>
      </c>
      <c r="H305" t="s">
        <v>18</v>
      </c>
      <c r="J305" t="s">
        <v>16</v>
      </c>
      <c r="K305">
        <v>577007.90534456098</v>
      </c>
      <c r="L305" t="s">
        <v>17</v>
      </c>
      <c r="M305">
        <v>0</v>
      </c>
      <c r="N305">
        <v>0.18245209943805099</v>
      </c>
    </row>
    <row r="306" spans="2:14" x14ac:dyDescent="0.25">
      <c r="B306" t="s">
        <v>14</v>
      </c>
      <c r="C306" s="1">
        <v>46166.999988425923</v>
      </c>
      <c r="D306">
        <v>25.155989075303999</v>
      </c>
      <c r="E306">
        <v>98047.0335502417</v>
      </c>
      <c r="F306" s="1">
        <v>46165.099259259259</v>
      </c>
      <c r="G306">
        <v>52.876187050186402</v>
      </c>
      <c r="H306" t="s">
        <v>18</v>
      </c>
      <c r="J306" t="s">
        <v>16</v>
      </c>
      <c r="K306">
        <v>577007.90534456098</v>
      </c>
      <c r="L306" t="s">
        <v>17</v>
      </c>
      <c r="M306">
        <v>-7229.2701722260099</v>
      </c>
      <c r="N306">
        <v>0.169923206670267</v>
      </c>
    </row>
    <row r="307" spans="2:14" x14ac:dyDescent="0.25">
      <c r="B307" t="s">
        <v>14</v>
      </c>
      <c r="C307" s="1">
        <v>46165.999988425923</v>
      </c>
      <c r="D307">
        <v>25.155989075303999</v>
      </c>
      <c r="E307">
        <v>98047.0335502417</v>
      </c>
      <c r="F307" s="1">
        <v>46165.099259259259</v>
      </c>
      <c r="G307">
        <v>52.876187050186402</v>
      </c>
      <c r="H307" t="s">
        <v>18</v>
      </c>
      <c r="J307" t="s">
        <v>16</v>
      </c>
      <c r="K307">
        <v>577007.90534456098</v>
      </c>
      <c r="L307" t="s">
        <v>17</v>
      </c>
      <c r="M307">
        <v>0</v>
      </c>
      <c r="N307">
        <v>0.169923206670267</v>
      </c>
    </row>
    <row r="308" spans="2:14" x14ac:dyDescent="0.25">
      <c r="B308" t="s">
        <v>14</v>
      </c>
      <c r="C308" s="1">
        <v>46164.999988425923</v>
      </c>
      <c r="D308">
        <v>25.155989075303999</v>
      </c>
      <c r="E308">
        <v>97054.198814814299</v>
      </c>
      <c r="F308" s="1">
        <v>46164.099143518521</v>
      </c>
      <c r="G308">
        <v>52.876187050186402</v>
      </c>
      <c r="H308" t="s">
        <v>18</v>
      </c>
      <c r="J308" t="s">
        <v>16</v>
      </c>
      <c r="K308">
        <v>577007.90534456098</v>
      </c>
      <c r="L308" t="s">
        <v>17</v>
      </c>
      <c r="M308">
        <v>-992.83473542740103</v>
      </c>
      <c r="N308">
        <v>0.16820254612778299</v>
      </c>
    </row>
    <row r="309" spans="2:14" x14ac:dyDescent="0.25">
      <c r="B309" t="s">
        <v>14</v>
      </c>
      <c r="C309" s="1">
        <v>46163.999988425923</v>
      </c>
      <c r="D309">
        <v>25.155989075303999</v>
      </c>
      <c r="E309">
        <v>103201.593139216</v>
      </c>
      <c r="F309" s="1">
        <v>46162.605624999997</v>
      </c>
      <c r="G309">
        <v>52.876187050186402</v>
      </c>
      <c r="H309" t="s">
        <v>18</v>
      </c>
      <c r="J309" t="s">
        <v>16</v>
      </c>
      <c r="K309">
        <v>577007.90534456098</v>
      </c>
      <c r="L309" t="s">
        <v>17</v>
      </c>
      <c r="M309">
        <v>6147.3943244017401</v>
      </c>
      <c r="N309">
        <v>0.17885646311481401</v>
      </c>
    </row>
    <row r="310" spans="2:14" x14ac:dyDescent="0.25">
      <c r="B310" t="s">
        <v>14</v>
      </c>
      <c r="C310" s="1">
        <v>46162.999988425923</v>
      </c>
      <c r="D310">
        <v>25.155989075303999</v>
      </c>
      <c r="E310">
        <v>103201.593139216</v>
      </c>
      <c r="F310" s="1">
        <v>46162.605624999997</v>
      </c>
      <c r="G310">
        <v>52.876187050186402</v>
      </c>
      <c r="H310" t="s">
        <v>18</v>
      </c>
      <c r="J310" t="s">
        <v>16</v>
      </c>
      <c r="K310">
        <v>577007.90534456098</v>
      </c>
      <c r="L310" t="s">
        <v>17</v>
      </c>
      <c r="M310">
        <v>0</v>
      </c>
      <c r="N310">
        <v>0.17885646311481401</v>
      </c>
    </row>
    <row r="311" spans="2:14" x14ac:dyDescent="0.25">
      <c r="B311" t="s">
        <v>14</v>
      </c>
      <c r="C311" s="1">
        <v>46161.999988425923</v>
      </c>
      <c r="D311">
        <v>25.155989075303999</v>
      </c>
      <c r="E311">
        <v>96230.470502016396</v>
      </c>
      <c r="F311" s="1">
        <v>46161.605509259258</v>
      </c>
      <c r="G311">
        <v>52.876187050186402</v>
      </c>
      <c r="H311" t="s">
        <v>18</v>
      </c>
      <c r="J311" t="s">
        <v>16</v>
      </c>
      <c r="K311">
        <v>577007.90534456098</v>
      </c>
      <c r="L311" t="s">
        <v>17</v>
      </c>
      <c r="M311">
        <v>-6971.1226371996399</v>
      </c>
      <c r="N311">
        <v>0.166774960292012</v>
      </c>
    </row>
    <row r="312" spans="2:14" x14ac:dyDescent="0.25">
      <c r="B312" t="s">
        <v>14</v>
      </c>
      <c r="C312" s="1">
        <v>46160.999988425923</v>
      </c>
      <c r="D312">
        <v>25.155989075303999</v>
      </c>
      <c r="E312">
        <v>99530.229575605699</v>
      </c>
      <c r="F312" s="1">
        <v>46158.099791666667</v>
      </c>
      <c r="G312">
        <v>52.876187050186402</v>
      </c>
      <c r="H312" t="s">
        <v>18</v>
      </c>
      <c r="J312" t="s">
        <v>16</v>
      </c>
      <c r="K312">
        <v>577007.90534456098</v>
      </c>
      <c r="L312" t="s">
        <v>17</v>
      </c>
      <c r="M312">
        <v>3299.75907358928</v>
      </c>
      <c r="N312">
        <v>0.17249370182575</v>
      </c>
    </row>
    <row r="313" spans="2:14" x14ac:dyDescent="0.25">
      <c r="B313" t="s">
        <v>14</v>
      </c>
      <c r="C313" s="1">
        <v>46159.999988425923</v>
      </c>
      <c r="D313">
        <v>25.155989075303999</v>
      </c>
      <c r="E313">
        <v>99530.229575605699</v>
      </c>
      <c r="F313" s="1">
        <v>46158.099791666667</v>
      </c>
      <c r="G313">
        <v>52.876187050186402</v>
      </c>
      <c r="H313" t="s">
        <v>18</v>
      </c>
      <c r="J313" t="s">
        <v>16</v>
      </c>
      <c r="K313">
        <v>577007.90534456098</v>
      </c>
      <c r="L313" t="s">
        <v>17</v>
      </c>
      <c r="M313">
        <v>0</v>
      </c>
      <c r="N313">
        <v>0.17249370182575</v>
      </c>
    </row>
    <row r="314" spans="2:14" x14ac:dyDescent="0.25">
      <c r="B314" t="s">
        <v>14</v>
      </c>
      <c r="C314" s="1">
        <v>46158.999988425923</v>
      </c>
      <c r="D314">
        <v>25.155989075303999</v>
      </c>
      <c r="E314">
        <v>99530.229575605699</v>
      </c>
      <c r="F314" s="1">
        <v>46158.099791666667</v>
      </c>
      <c r="G314">
        <v>52.876187050186402</v>
      </c>
      <c r="H314" t="s">
        <v>18</v>
      </c>
      <c r="J314" t="s">
        <v>16</v>
      </c>
      <c r="K314">
        <v>577007.90534456098</v>
      </c>
      <c r="L314" t="s">
        <v>17</v>
      </c>
      <c r="M314">
        <v>0</v>
      </c>
      <c r="N314">
        <v>0.17249370182575</v>
      </c>
    </row>
    <row r="315" spans="2:14" x14ac:dyDescent="0.25">
      <c r="B315" t="s">
        <v>14</v>
      </c>
      <c r="C315" s="1">
        <v>46157.999988425923</v>
      </c>
      <c r="D315">
        <v>25.155989075303999</v>
      </c>
      <c r="E315">
        <v>104780.56974973599</v>
      </c>
      <c r="F315" s="1">
        <v>46155.60628472222</v>
      </c>
      <c r="G315">
        <v>52.876187050186402</v>
      </c>
      <c r="H315" t="s">
        <v>18</v>
      </c>
      <c r="J315" t="s">
        <v>16</v>
      </c>
      <c r="K315">
        <v>577007.90534456098</v>
      </c>
      <c r="L315" t="s">
        <v>17</v>
      </c>
      <c r="M315">
        <v>5250.3401741310299</v>
      </c>
      <c r="N315">
        <v>0.18159295354396701</v>
      </c>
    </row>
    <row r="316" spans="2:14" x14ac:dyDescent="0.25">
      <c r="B316" t="s">
        <v>14</v>
      </c>
      <c r="C316" s="1">
        <v>46156.999988425923</v>
      </c>
      <c r="D316">
        <v>25.155989075303999</v>
      </c>
      <c r="E316">
        <v>104780.56974973599</v>
      </c>
      <c r="F316" s="1">
        <v>46155.60628472222</v>
      </c>
      <c r="G316">
        <v>52.876187050186402</v>
      </c>
      <c r="H316" t="s">
        <v>18</v>
      </c>
      <c r="J316" t="s">
        <v>16</v>
      </c>
      <c r="K316">
        <v>577007.90534456098</v>
      </c>
      <c r="L316" t="s">
        <v>17</v>
      </c>
      <c r="M316">
        <v>0</v>
      </c>
      <c r="N316">
        <v>0.18159295354396701</v>
      </c>
    </row>
    <row r="317" spans="2:14" x14ac:dyDescent="0.25">
      <c r="B317" t="s">
        <v>14</v>
      </c>
      <c r="C317" s="1">
        <v>46155.999988425923</v>
      </c>
      <c r="D317">
        <v>25.155989075303999</v>
      </c>
      <c r="E317">
        <v>104780.56974973599</v>
      </c>
      <c r="F317" s="1">
        <v>46155.60628472222</v>
      </c>
      <c r="G317">
        <v>52.876187050186402</v>
      </c>
      <c r="H317" t="s">
        <v>18</v>
      </c>
      <c r="J317" t="s">
        <v>16</v>
      </c>
      <c r="K317">
        <v>577007.90534456098</v>
      </c>
      <c r="L317" t="s">
        <v>17</v>
      </c>
      <c r="M317">
        <v>0</v>
      </c>
      <c r="N317">
        <v>0.18159295354396701</v>
      </c>
    </row>
    <row r="318" spans="2:14" x14ac:dyDescent="0.25">
      <c r="B318" t="s">
        <v>14</v>
      </c>
      <c r="C318" s="1">
        <v>46154.999988425923</v>
      </c>
      <c r="D318">
        <v>25.155989075303999</v>
      </c>
      <c r="E318">
        <v>99914.187595348805</v>
      </c>
      <c r="F318" s="1">
        <v>46153.099247685182</v>
      </c>
      <c r="G318">
        <v>52.876187050186402</v>
      </c>
      <c r="H318" t="s">
        <v>18</v>
      </c>
      <c r="J318" t="s">
        <v>16</v>
      </c>
      <c r="K318">
        <v>577007.90534456098</v>
      </c>
      <c r="L318" t="s">
        <v>17</v>
      </c>
      <c r="M318">
        <v>-4866.3821543879403</v>
      </c>
      <c r="N318">
        <v>0.17315913121794199</v>
      </c>
    </row>
    <row r="319" spans="2:14" x14ac:dyDescent="0.25">
      <c r="B319" t="s">
        <v>14</v>
      </c>
      <c r="C319" s="1">
        <v>46153.999988425923</v>
      </c>
      <c r="D319">
        <v>25.155989075303999</v>
      </c>
      <c r="E319">
        <v>99914.187595348805</v>
      </c>
      <c r="F319" s="1">
        <v>46153.099247685182</v>
      </c>
      <c r="G319">
        <v>52.876187050186402</v>
      </c>
      <c r="H319" t="s">
        <v>18</v>
      </c>
      <c r="J319" t="s">
        <v>16</v>
      </c>
      <c r="K319">
        <v>577007.90534456098</v>
      </c>
      <c r="L319" t="s">
        <v>17</v>
      </c>
      <c r="M319">
        <v>0</v>
      </c>
      <c r="N319">
        <v>0.17315913121794199</v>
      </c>
    </row>
    <row r="320" spans="2:14" x14ac:dyDescent="0.25">
      <c r="B320" t="s">
        <v>14</v>
      </c>
      <c r="C320" s="1">
        <v>46152.999988425923</v>
      </c>
      <c r="D320">
        <v>25.155989075303999</v>
      </c>
      <c r="E320">
        <v>102446.71156528901</v>
      </c>
      <c r="F320" s="1">
        <v>46150.605613425927</v>
      </c>
      <c r="G320">
        <v>52.876187050186402</v>
      </c>
      <c r="H320" t="s">
        <v>18</v>
      </c>
      <c r="J320" t="s">
        <v>16</v>
      </c>
      <c r="K320">
        <v>577007.90534456098</v>
      </c>
      <c r="L320" t="s">
        <v>17</v>
      </c>
      <c r="M320">
        <v>2532.5239699410099</v>
      </c>
      <c r="N320">
        <v>0.177548194082563</v>
      </c>
    </row>
    <row r="321" spans="2:14" x14ac:dyDescent="0.25">
      <c r="B321" t="s">
        <v>14</v>
      </c>
      <c r="C321" s="1">
        <v>46151.999988425923</v>
      </c>
      <c r="D321">
        <v>25.155989075303999</v>
      </c>
      <c r="E321">
        <v>102446.71156528901</v>
      </c>
      <c r="F321" s="1">
        <v>46150.605613425927</v>
      </c>
      <c r="G321">
        <v>52.876187050186402</v>
      </c>
      <c r="H321" t="s">
        <v>18</v>
      </c>
      <c r="J321" t="s">
        <v>16</v>
      </c>
      <c r="K321">
        <v>577007.90534456098</v>
      </c>
      <c r="L321" t="s">
        <v>17</v>
      </c>
      <c r="M321">
        <v>0</v>
      </c>
      <c r="N321">
        <v>0.177548194082563</v>
      </c>
    </row>
    <row r="322" spans="2:14" x14ac:dyDescent="0.25">
      <c r="B322" t="s">
        <v>14</v>
      </c>
      <c r="C322" s="1">
        <v>46150.999988425923</v>
      </c>
      <c r="D322">
        <v>25.155989075303999</v>
      </c>
      <c r="E322">
        <v>102446.71156528901</v>
      </c>
      <c r="F322" s="1">
        <v>46150.605613425927</v>
      </c>
      <c r="G322">
        <v>52.876187050186402</v>
      </c>
      <c r="H322" t="s">
        <v>18</v>
      </c>
      <c r="J322" t="s">
        <v>16</v>
      </c>
      <c r="K322">
        <v>577007.90534456098</v>
      </c>
      <c r="L322" t="s">
        <v>17</v>
      </c>
      <c r="M322">
        <v>0</v>
      </c>
      <c r="N322">
        <v>0.177548194082563</v>
      </c>
    </row>
    <row r="323" spans="2:14" x14ac:dyDescent="0.25">
      <c r="B323" t="s">
        <v>14</v>
      </c>
      <c r="C323" s="1">
        <v>46149.999988425923</v>
      </c>
      <c r="D323">
        <v>25.155989075303999</v>
      </c>
      <c r="E323">
        <v>100782.111719343</v>
      </c>
      <c r="F323" s="1">
        <v>46149.605497685188</v>
      </c>
      <c r="G323">
        <v>52.876187050186402</v>
      </c>
      <c r="H323" t="s">
        <v>18</v>
      </c>
      <c r="J323" t="s">
        <v>16</v>
      </c>
      <c r="K323">
        <v>577007.90534456098</v>
      </c>
      <c r="L323" t="s">
        <v>17</v>
      </c>
      <c r="M323">
        <v>-1664.5998459463499</v>
      </c>
      <c r="N323">
        <v>0.17466331186426501</v>
      </c>
    </row>
    <row r="324" spans="2:14" x14ac:dyDescent="0.25">
      <c r="B324" t="s">
        <v>14</v>
      </c>
      <c r="C324" s="1">
        <v>46148.999988425923</v>
      </c>
      <c r="D324">
        <v>25.155989075303999</v>
      </c>
      <c r="E324">
        <v>98763.288768331506</v>
      </c>
      <c r="F324" s="1">
        <v>46146.099803240744</v>
      </c>
      <c r="G324">
        <v>52.876187050186402</v>
      </c>
      <c r="H324" t="s">
        <v>18</v>
      </c>
      <c r="J324" t="s">
        <v>16</v>
      </c>
      <c r="K324">
        <v>577007.90534456098</v>
      </c>
      <c r="L324" t="s">
        <v>17</v>
      </c>
      <c r="M324">
        <v>-2018.822951012</v>
      </c>
      <c r="N324">
        <v>0.17116453319535499</v>
      </c>
    </row>
    <row r="325" spans="2:14" x14ac:dyDescent="0.25">
      <c r="B325" t="s">
        <v>14</v>
      </c>
      <c r="C325" s="1">
        <v>46147.999988425923</v>
      </c>
      <c r="D325">
        <v>25.155989075303999</v>
      </c>
      <c r="E325">
        <v>98763.288768331506</v>
      </c>
      <c r="F325" s="1">
        <v>46146.099803240744</v>
      </c>
      <c r="G325">
        <v>52.876187050186402</v>
      </c>
      <c r="H325" t="s">
        <v>18</v>
      </c>
      <c r="J325" t="s">
        <v>16</v>
      </c>
      <c r="K325">
        <v>577007.90534456098</v>
      </c>
      <c r="L325" t="s">
        <v>17</v>
      </c>
      <c r="M325">
        <v>0</v>
      </c>
      <c r="N325">
        <v>0.17116453319535499</v>
      </c>
    </row>
    <row r="326" spans="2:14" x14ac:dyDescent="0.25">
      <c r="B326" t="s">
        <v>14</v>
      </c>
      <c r="C326" s="1">
        <v>46146.999988425923</v>
      </c>
      <c r="D326">
        <v>25.155989075303999</v>
      </c>
      <c r="E326">
        <v>98763.288768331506</v>
      </c>
      <c r="F326" s="1">
        <v>46146.099803240744</v>
      </c>
      <c r="G326">
        <v>52.876187050186402</v>
      </c>
      <c r="H326" t="s">
        <v>18</v>
      </c>
      <c r="J326" t="s">
        <v>16</v>
      </c>
      <c r="K326">
        <v>577007.90534456098</v>
      </c>
      <c r="L326" t="s">
        <v>17</v>
      </c>
      <c r="M326">
        <v>0</v>
      </c>
      <c r="N326">
        <v>0.17116453319535499</v>
      </c>
    </row>
    <row r="327" spans="2:14" x14ac:dyDescent="0.25">
      <c r="B327" t="s">
        <v>14</v>
      </c>
      <c r="C327" s="1">
        <v>46145.999988425923</v>
      </c>
      <c r="D327">
        <v>25.155989075303999</v>
      </c>
      <c r="E327">
        <v>103647.308324552</v>
      </c>
      <c r="F327" s="1">
        <v>46143.606296296297</v>
      </c>
      <c r="G327">
        <v>52.876187050186402</v>
      </c>
      <c r="H327" t="s">
        <v>18</v>
      </c>
      <c r="J327" t="s">
        <v>16</v>
      </c>
      <c r="K327">
        <v>577007.90534456098</v>
      </c>
      <c r="L327" t="s">
        <v>17</v>
      </c>
      <c r="M327">
        <v>4884.01955622067</v>
      </c>
      <c r="N327">
        <v>0.17962892252344201</v>
      </c>
    </row>
    <row r="328" spans="2:14" x14ac:dyDescent="0.25">
      <c r="B328" t="s">
        <v>14</v>
      </c>
      <c r="C328" s="1">
        <v>46144.999988425923</v>
      </c>
      <c r="D328">
        <v>25.155989075303999</v>
      </c>
      <c r="E328">
        <v>103647.308324552</v>
      </c>
      <c r="F328" s="1">
        <v>46143.606296296297</v>
      </c>
      <c r="G328">
        <v>52.876187050186402</v>
      </c>
      <c r="H328" t="s">
        <v>18</v>
      </c>
      <c r="J328" t="s">
        <v>16</v>
      </c>
      <c r="K328">
        <v>577007.90534456098</v>
      </c>
      <c r="L328" t="s">
        <v>17</v>
      </c>
      <c r="M328">
        <v>0</v>
      </c>
      <c r="N328">
        <v>0.17962892252344201</v>
      </c>
    </row>
    <row r="329" spans="2:14" x14ac:dyDescent="0.25">
      <c r="B329" t="s">
        <v>14</v>
      </c>
      <c r="C329" s="1">
        <v>46143.999988425923</v>
      </c>
      <c r="D329">
        <v>25.155989075303999</v>
      </c>
      <c r="E329">
        <v>103647.308324552</v>
      </c>
      <c r="F329" s="1">
        <v>46143.606296296297</v>
      </c>
      <c r="G329">
        <v>52.876187050186402</v>
      </c>
      <c r="H329" t="s">
        <v>18</v>
      </c>
      <c r="J329" t="s">
        <v>16</v>
      </c>
      <c r="K329">
        <v>577007.90534456098</v>
      </c>
      <c r="L329" t="s">
        <v>17</v>
      </c>
      <c r="M329">
        <v>0</v>
      </c>
      <c r="N329">
        <v>0.17962892252344201</v>
      </c>
    </row>
    <row r="330" spans="2:14" x14ac:dyDescent="0.25">
      <c r="B330" t="s">
        <v>14</v>
      </c>
      <c r="C330" s="1">
        <v>46142.999988425923</v>
      </c>
      <c r="D330">
        <v>25.155989075303999</v>
      </c>
      <c r="E330">
        <v>96293.748640714693</v>
      </c>
      <c r="F330" s="1">
        <v>46140.099120370367</v>
      </c>
      <c r="G330">
        <v>52.876187050186402</v>
      </c>
      <c r="H330" t="s">
        <v>18</v>
      </c>
      <c r="J330" t="s">
        <v>16</v>
      </c>
      <c r="K330">
        <v>577007.90534456098</v>
      </c>
      <c r="L330" t="s">
        <v>17</v>
      </c>
      <c r="M330">
        <v>-7353.5596838374604</v>
      </c>
      <c r="N330">
        <v>0.16688462627424899</v>
      </c>
    </row>
    <row r="331" spans="2:14" x14ac:dyDescent="0.25">
      <c r="B331" t="s">
        <v>14</v>
      </c>
      <c r="C331" s="1">
        <v>46141.999988425923</v>
      </c>
      <c r="D331">
        <v>25.155989075303999</v>
      </c>
      <c r="E331">
        <v>96293.748640714693</v>
      </c>
      <c r="F331" s="1">
        <v>46140.099120370367</v>
      </c>
      <c r="G331">
        <v>52.876187050186402</v>
      </c>
      <c r="H331" t="s">
        <v>18</v>
      </c>
      <c r="J331" t="s">
        <v>16</v>
      </c>
      <c r="K331">
        <v>577007.90534456098</v>
      </c>
      <c r="L331" t="s">
        <v>17</v>
      </c>
      <c r="M331">
        <v>0</v>
      </c>
      <c r="N331">
        <v>0.16688462627424899</v>
      </c>
    </row>
    <row r="332" spans="2:14" x14ac:dyDescent="0.25">
      <c r="B332" t="s">
        <v>14</v>
      </c>
      <c r="C332" s="1">
        <v>46140.999988425923</v>
      </c>
      <c r="D332">
        <v>25.155989075303999</v>
      </c>
      <c r="E332">
        <v>96293.748640714693</v>
      </c>
      <c r="F332" s="1">
        <v>46140.099120370367</v>
      </c>
      <c r="G332">
        <v>52.876187050186402</v>
      </c>
      <c r="H332" t="s">
        <v>18</v>
      </c>
      <c r="J332" t="s">
        <v>16</v>
      </c>
      <c r="K332">
        <v>577007.90534456098</v>
      </c>
      <c r="L332" t="s">
        <v>17</v>
      </c>
      <c r="M332">
        <v>0</v>
      </c>
      <c r="N332">
        <v>0.16688462627424899</v>
      </c>
    </row>
    <row r="333" spans="2:14" x14ac:dyDescent="0.25">
      <c r="B333" t="s">
        <v>14</v>
      </c>
      <c r="C333" s="1">
        <v>46139.999988425923</v>
      </c>
      <c r="D333">
        <v>25.155989075303999</v>
      </c>
      <c r="E333">
        <v>102608.175117697</v>
      </c>
      <c r="F333" s="1">
        <v>46137.605486111112</v>
      </c>
      <c r="G333">
        <v>52.876187050186402</v>
      </c>
      <c r="H333" t="s">
        <v>18</v>
      </c>
      <c r="J333" t="s">
        <v>16</v>
      </c>
      <c r="K333">
        <v>577007.90534456098</v>
      </c>
      <c r="L333" t="s">
        <v>17</v>
      </c>
      <c r="M333">
        <v>6314.4264769827096</v>
      </c>
      <c r="N333">
        <v>0.177828023095151</v>
      </c>
    </row>
    <row r="334" spans="2:14" x14ac:dyDescent="0.25">
      <c r="B334" t="s">
        <v>14</v>
      </c>
      <c r="C334" s="1">
        <v>46138.999988425923</v>
      </c>
      <c r="D334">
        <v>25.155989075303999</v>
      </c>
      <c r="E334">
        <v>102608.175117697</v>
      </c>
      <c r="F334" s="1">
        <v>46137.605486111112</v>
      </c>
      <c r="G334">
        <v>52.876187050186402</v>
      </c>
      <c r="H334" t="s">
        <v>18</v>
      </c>
      <c r="J334" t="s">
        <v>16</v>
      </c>
      <c r="K334">
        <v>577007.90534456098</v>
      </c>
      <c r="L334" t="s">
        <v>17</v>
      </c>
      <c r="M334">
        <v>0</v>
      </c>
      <c r="N334">
        <v>0.177828023095151</v>
      </c>
    </row>
    <row r="335" spans="2:14" x14ac:dyDescent="0.25">
      <c r="B335" t="s">
        <v>14</v>
      </c>
      <c r="C335" s="1">
        <v>46137.999988425923</v>
      </c>
      <c r="D335">
        <v>25.155989075303999</v>
      </c>
      <c r="E335">
        <v>102608.175117697</v>
      </c>
      <c r="F335" s="1">
        <v>46137.605486111112</v>
      </c>
      <c r="G335">
        <v>52.876187050186402</v>
      </c>
      <c r="H335" t="s">
        <v>18</v>
      </c>
      <c r="J335" t="s">
        <v>16</v>
      </c>
      <c r="K335">
        <v>577007.90534456098</v>
      </c>
      <c r="L335" t="s">
        <v>17</v>
      </c>
      <c r="M335">
        <v>0</v>
      </c>
      <c r="N335">
        <v>0.177828023095151</v>
      </c>
    </row>
    <row r="336" spans="2:14" x14ac:dyDescent="0.25">
      <c r="B336" t="s">
        <v>14</v>
      </c>
      <c r="C336" s="1">
        <v>46136.999988425923</v>
      </c>
      <c r="D336">
        <v>25.155989075303999</v>
      </c>
      <c r="E336">
        <v>98043.6970306531</v>
      </c>
      <c r="F336" s="1">
        <v>46134.099803240744</v>
      </c>
      <c r="G336">
        <v>52.876187050186402</v>
      </c>
      <c r="H336" t="s">
        <v>18</v>
      </c>
      <c r="J336" t="s">
        <v>16</v>
      </c>
      <c r="K336">
        <v>577007.90534456098</v>
      </c>
      <c r="L336" t="s">
        <v>17</v>
      </c>
      <c r="M336">
        <v>-4564.4780870443201</v>
      </c>
      <c r="N336">
        <v>0.16991742421987399</v>
      </c>
    </row>
    <row r="337" spans="2:14" x14ac:dyDescent="0.25">
      <c r="B337" t="s">
        <v>14</v>
      </c>
      <c r="C337" s="1">
        <v>46135.999988425923</v>
      </c>
      <c r="D337">
        <v>25.155989075303999</v>
      </c>
      <c r="E337">
        <v>98043.6970306531</v>
      </c>
      <c r="F337" s="1">
        <v>46134.099803240744</v>
      </c>
      <c r="G337">
        <v>52.876187050186402</v>
      </c>
      <c r="H337" t="s">
        <v>18</v>
      </c>
      <c r="J337" t="s">
        <v>16</v>
      </c>
      <c r="K337">
        <v>577007.90534456098</v>
      </c>
      <c r="L337" t="s">
        <v>17</v>
      </c>
      <c r="M337">
        <v>0</v>
      </c>
      <c r="N337">
        <v>0.16991742421987399</v>
      </c>
    </row>
    <row r="338" spans="2:14" x14ac:dyDescent="0.25">
      <c r="B338" t="s">
        <v>14</v>
      </c>
      <c r="C338" s="1">
        <v>46134.999988425923</v>
      </c>
      <c r="D338">
        <v>25.155989075303999</v>
      </c>
      <c r="E338">
        <v>98043.6970306531</v>
      </c>
      <c r="F338" s="1">
        <v>46134.099803240744</v>
      </c>
      <c r="G338">
        <v>52.876187050186402</v>
      </c>
      <c r="H338" t="s">
        <v>18</v>
      </c>
      <c r="J338" t="s">
        <v>16</v>
      </c>
      <c r="K338">
        <v>577007.90534456098</v>
      </c>
      <c r="L338" t="s">
        <v>17</v>
      </c>
      <c r="M338">
        <v>0</v>
      </c>
      <c r="N338">
        <v>0.16991742421987399</v>
      </c>
    </row>
    <row r="339" spans="2:14" x14ac:dyDescent="0.25">
      <c r="B339" t="s">
        <v>14</v>
      </c>
      <c r="C339" s="1">
        <v>46133.999988425923</v>
      </c>
      <c r="D339">
        <v>25.155989075303999</v>
      </c>
      <c r="E339">
        <v>101850.131100125</v>
      </c>
      <c r="F339" s="1">
        <v>46131.606296296297</v>
      </c>
      <c r="G339">
        <v>52.876187050186402</v>
      </c>
      <c r="H339" t="s">
        <v>18</v>
      </c>
      <c r="J339" t="s">
        <v>16</v>
      </c>
      <c r="K339">
        <v>577007.90534456098</v>
      </c>
      <c r="L339" t="s">
        <v>17</v>
      </c>
      <c r="M339">
        <v>3806.4340694724801</v>
      </c>
      <c r="N339">
        <v>0.176514273299783</v>
      </c>
    </row>
    <row r="340" spans="2:14" x14ac:dyDescent="0.25">
      <c r="B340" t="s">
        <v>14</v>
      </c>
      <c r="C340" s="1">
        <v>46132.999988425923</v>
      </c>
      <c r="D340">
        <v>25.155989075303999</v>
      </c>
      <c r="E340">
        <v>101850.131100125</v>
      </c>
      <c r="F340" s="1">
        <v>46131.606296296297</v>
      </c>
      <c r="G340">
        <v>52.876187050186402</v>
      </c>
      <c r="H340" t="s">
        <v>18</v>
      </c>
      <c r="J340" t="s">
        <v>16</v>
      </c>
      <c r="K340">
        <v>577007.90534456098</v>
      </c>
      <c r="L340" t="s">
        <v>17</v>
      </c>
      <c r="M340">
        <v>0</v>
      </c>
      <c r="N340">
        <v>0.176514273299783</v>
      </c>
    </row>
    <row r="341" spans="2:14" x14ac:dyDescent="0.25">
      <c r="B341" t="s">
        <v>14</v>
      </c>
      <c r="C341" s="1">
        <v>46131.999988425923</v>
      </c>
      <c r="D341">
        <v>25.155989075303999</v>
      </c>
      <c r="E341">
        <v>101850.131100125</v>
      </c>
      <c r="F341" s="1">
        <v>46131.606296296297</v>
      </c>
      <c r="G341">
        <v>52.876187050186402</v>
      </c>
      <c r="H341" t="s">
        <v>18</v>
      </c>
      <c r="J341" t="s">
        <v>16</v>
      </c>
      <c r="K341">
        <v>577007.90534456098</v>
      </c>
      <c r="L341" t="s">
        <v>17</v>
      </c>
      <c r="M341">
        <v>0</v>
      </c>
      <c r="N341">
        <v>0.176514273299783</v>
      </c>
    </row>
    <row r="342" spans="2:14" x14ac:dyDescent="0.25">
      <c r="B342" t="s">
        <v>14</v>
      </c>
      <c r="C342" s="1">
        <v>46130.999988425923</v>
      </c>
      <c r="D342">
        <v>25.155989075303999</v>
      </c>
      <c r="E342">
        <v>99204.746435209294</v>
      </c>
      <c r="F342" s="1">
        <v>46128.099108796298</v>
      </c>
      <c r="G342">
        <v>52.876187050186402</v>
      </c>
      <c r="H342" t="s">
        <v>18</v>
      </c>
      <c r="J342" t="s">
        <v>16</v>
      </c>
      <c r="K342">
        <v>577007.90534456098</v>
      </c>
      <c r="L342" t="s">
        <v>17</v>
      </c>
      <c r="M342">
        <v>-2645.3846649162501</v>
      </c>
      <c r="N342">
        <v>0.17192961399024301</v>
      </c>
    </row>
    <row r="343" spans="2:14" x14ac:dyDescent="0.25">
      <c r="B343" t="s">
        <v>14</v>
      </c>
      <c r="C343" s="1">
        <v>46129.999988425923</v>
      </c>
      <c r="D343">
        <v>25.155989075303999</v>
      </c>
      <c r="E343">
        <v>99204.746435209294</v>
      </c>
      <c r="F343" s="1">
        <v>46128.099108796298</v>
      </c>
      <c r="G343">
        <v>52.876187050186402</v>
      </c>
      <c r="H343" t="s">
        <v>18</v>
      </c>
      <c r="J343" t="s">
        <v>16</v>
      </c>
      <c r="K343">
        <v>577007.90534456098</v>
      </c>
      <c r="L343" t="s">
        <v>17</v>
      </c>
      <c r="M343">
        <v>0</v>
      </c>
      <c r="N343">
        <v>0.17192961399024301</v>
      </c>
    </row>
    <row r="344" spans="2:14" x14ac:dyDescent="0.25">
      <c r="B344" t="s">
        <v>14</v>
      </c>
      <c r="C344" s="1">
        <v>46128.999988425923</v>
      </c>
      <c r="D344">
        <v>25.155989075303999</v>
      </c>
      <c r="E344">
        <v>99204.746435209294</v>
      </c>
      <c r="F344" s="1">
        <v>46128.099108796298</v>
      </c>
      <c r="G344">
        <v>52.876187050186402</v>
      </c>
      <c r="H344" t="s">
        <v>18</v>
      </c>
      <c r="J344" t="s">
        <v>16</v>
      </c>
      <c r="K344">
        <v>577007.90534456098</v>
      </c>
      <c r="L344" t="s">
        <v>17</v>
      </c>
      <c r="M344">
        <v>0</v>
      </c>
      <c r="N344">
        <v>0.17192961399024301</v>
      </c>
    </row>
    <row r="345" spans="2:14" x14ac:dyDescent="0.25">
      <c r="B345" t="s">
        <v>14</v>
      </c>
      <c r="C345" s="1">
        <v>46127.999988425923</v>
      </c>
      <c r="D345">
        <v>25.155989075303999</v>
      </c>
      <c r="E345">
        <v>101799.14049754399</v>
      </c>
      <c r="F345" s="1">
        <v>46125.605486111112</v>
      </c>
      <c r="G345">
        <v>52.876187050186402</v>
      </c>
      <c r="H345" t="s">
        <v>18</v>
      </c>
      <c r="J345" t="s">
        <v>16</v>
      </c>
      <c r="K345">
        <v>577007.90534456098</v>
      </c>
      <c r="L345" t="s">
        <v>17</v>
      </c>
      <c r="M345">
        <v>2594.3940623353701</v>
      </c>
      <c r="N345">
        <v>0.176425902582314</v>
      </c>
    </row>
    <row r="346" spans="2:14" x14ac:dyDescent="0.25">
      <c r="B346" t="s">
        <v>14</v>
      </c>
      <c r="C346" s="1">
        <v>46126.999988425923</v>
      </c>
      <c r="D346">
        <v>25.155989075303999</v>
      </c>
      <c r="E346">
        <v>101799.14049754399</v>
      </c>
      <c r="F346" s="1">
        <v>46125.605486111112</v>
      </c>
      <c r="G346">
        <v>52.876187050186402</v>
      </c>
      <c r="H346" t="s">
        <v>18</v>
      </c>
      <c r="J346" t="s">
        <v>16</v>
      </c>
      <c r="K346">
        <v>577007.90534456098</v>
      </c>
      <c r="L346" t="s">
        <v>17</v>
      </c>
      <c r="M346">
        <v>0</v>
      </c>
      <c r="N346">
        <v>0.176425902582314</v>
      </c>
    </row>
    <row r="347" spans="2:14" x14ac:dyDescent="0.25">
      <c r="B347" t="s">
        <v>14</v>
      </c>
      <c r="C347" s="1">
        <v>46125.999988425923</v>
      </c>
      <c r="D347">
        <v>25.155989075303999</v>
      </c>
      <c r="E347">
        <v>101799.14049754399</v>
      </c>
      <c r="F347" s="1">
        <v>46125.605486111112</v>
      </c>
      <c r="G347">
        <v>52.876187050186402</v>
      </c>
      <c r="H347" t="s">
        <v>18</v>
      </c>
      <c r="J347" t="s">
        <v>16</v>
      </c>
      <c r="K347">
        <v>577007.90534456098</v>
      </c>
      <c r="L347" t="s">
        <v>17</v>
      </c>
      <c r="M347">
        <v>0</v>
      </c>
      <c r="N347">
        <v>0.176425902582314</v>
      </c>
    </row>
    <row r="348" spans="2:14" x14ac:dyDescent="0.25">
      <c r="B348" t="s">
        <v>14</v>
      </c>
      <c r="C348" s="1">
        <v>46124.999988425923</v>
      </c>
      <c r="D348">
        <v>25.155989075303999</v>
      </c>
      <c r="E348">
        <v>97644.033537063602</v>
      </c>
      <c r="F348" s="1">
        <v>46122.099803240744</v>
      </c>
      <c r="G348">
        <v>52.876187050186402</v>
      </c>
      <c r="H348" t="s">
        <v>18</v>
      </c>
      <c r="J348" t="s">
        <v>16</v>
      </c>
      <c r="K348">
        <v>577007.90534456098</v>
      </c>
      <c r="L348" t="s">
        <v>17</v>
      </c>
      <c r="M348">
        <v>-4155.10696048109</v>
      </c>
      <c r="N348">
        <v>0.16922477600849301</v>
      </c>
    </row>
    <row r="349" spans="2:14" x14ac:dyDescent="0.25">
      <c r="B349" t="s">
        <v>14</v>
      </c>
      <c r="C349" s="1">
        <v>46123.999988425923</v>
      </c>
      <c r="D349">
        <v>25.155989075303999</v>
      </c>
      <c r="E349">
        <v>97644.033537063602</v>
      </c>
      <c r="F349" s="1">
        <v>46122.099803240744</v>
      </c>
      <c r="G349">
        <v>52.876187050186402</v>
      </c>
      <c r="H349" t="s">
        <v>18</v>
      </c>
      <c r="J349" t="s">
        <v>16</v>
      </c>
      <c r="K349">
        <v>577007.90534456098</v>
      </c>
      <c r="L349" t="s">
        <v>17</v>
      </c>
      <c r="M349">
        <v>0</v>
      </c>
      <c r="N349">
        <v>0.16922477600849301</v>
      </c>
    </row>
    <row r="350" spans="2:14" x14ac:dyDescent="0.25">
      <c r="B350" t="s">
        <v>14</v>
      </c>
      <c r="C350" s="1">
        <v>46122.999988425923</v>
      </c>
      <c r="D350">
        <v>25.155989075303999</v>
      </c>
      <c r="E350">
        <v>97644.033537063602</v>
      </c>
      <c r="F350" s="1">
        <v>46122.099803240744</v>
      </c>
      <c r="G350">
        <v>52.876187050186402</v>
      </c>
      <c r="H350" t="s">
        <v>18</v>
      </c>
      <c r="J350" t="s">
        <v>16</v>
      </c>
      <c r="K350">
        <v>577007.90534456098</v>
      </c>
      <c r="L350" t="s">
        <v>17</v>
      </c>
      <c r="M350">
        <v>0</v>
      </c>
      <c r="N350">
        <v>0.16922477600849301</v>
      </c>
    </row>
    <row r="351" spans="2:14" x14ac:dyDescent="0.25">
      <c r="B351" t="s">
        <v>14</v>
      </c>
      <c r="C351" s="1">
        <v>46121.999988425923</v>
      </c>
      <c r="D351">
        <v>25.155989075303999</v>
      </c>
      <c r="E351">
        <v>102866.806892782</v>
      </c>
      <c r="F351" s="1">
        <v>46119.606296296297</v>
      </c>
      <c r="G351">
        <v>52.876187050186402</v>
      </c>
      <c r="H351" t="s">
        <v>18</v>
      </c>
      <c r="J351" t="s">
        <v>16</v>
      </c>
      <c r="K351">
        <v>577007.90534456098</v>
      </c>
      <c r="L351" t="s">
        <v>17</v>
      </c>
      <c r="M351">
        <v>5222.7733557191004</v>
      </c>
      <c r="N351">
        <v>0.178276252266172</v>
      </c>
    </row>
    <row r="352" spans="2:14" x14ac:dyDescent="0.25">
      <c r="B352" t="s">
        <v>14</v>
      </c>
      <c r="C352" s="1">
        <v>46120.999988425923</v>
      </c>
      <c r="D352">
        <v>25.155989075303999</v>
      </c>
      <c r="E352">
        <v>102866.806892782</v>
      </c>
      <c r="F352" s="1">
        <v>46119.606296296297</v>
      </c>
      <c r="G352">
        <v>52.876187050186402</v>
      </c>
      <c r="H352" t="s">
        <v>18</v>
      </c>
      <c r="J352" t="s">
        <v>16</v>
      </c>
      <c r="K352">
        <v>577007.90534456098</v>
      </c>
      <c r="L352" t="s">
        <v>17</v>
      </c>
      <c r="M352">
        <v>0</v>
      </c>
      <c r="N352">
        <v>0.178276252266172</v>
      </c>
    </row>
    <row r="353" spans="2:14" x14ac:dyDescent="0.25">
      <c r="B353" t="s">
        <v>14</v>
      </c>
      <c r="C353" s="1">
        <v>46119.999988425923</v>
      </c>
      <c r="D353">
        <v>25.155989075303999</v>
      </c>
      <c r="E353">
        <v>102866.806892782</v>
      </c>
      <c r="F353" s="1">
        <v>46119.606296296297</v>
      </c>
      <c r="G353">
        <v>52.876187050186402</v>
      </c>
      <c r="H353" t="s">
        <v>18</v>
      </c>
      <c r="J353" t="s">
        <v>16</v>
      </c>
      <c r="K353">
        <v>577007.90534456098</v>
      </c>
      <c r="L353" t="s">
        <v>17</v>
      </c>
      <c r="M353">
        <v>0</v>
      </c>
      <c r="N353">
        <v>0.178276252266172</v>
      </c>
    </row>
    <row r="354" spans="2:14" x14ac:dyDescent="0.25">
      <c r="B354" t="s">
        <v>14</v>
      </c>
      <c r="C354" s="1">
        <v>46118.999988425923</v>
      </c>
      <c r="D354">
        <v>25.155989075303999</v>
      </c>
      <c r="E354">
        <v>97908.618436413701</v>
      </c>
      <c r="F354" s="1">
        <v>46116.099108796298</v>
      </c>
      <c r="G354">
        <v>52.876187050186402</v>
      </c>
      <c r="H354" t="s">
        <v>18</v>
      </c>
      <c r="J354" t="s">
        <v>16</v>
      </c>
      <c r="K354">
        <v>577007.90534456098</v>
      </c>
      <c r="L354" t="s">
        <v>17</v>
      </c>
      <c r="M354">
        <v>-4958.1884563690401</v>
      </c>
      <c r="N354">
        <v>0.16968332241123599</v>
      </c>
    </row>
    <row r="355" spans="2:14" x14ac:dyDescent="0.25">
      <c r="B355" t="s">
        <v>14</v>
      </c>
      <c r="C355" s="1">
        <v>46117.999988425923</v>
      </c>
      <c r="D355">
        <v>25.155989075303999</v>
      </c>
      <c r="E355">
        <v>97908.618436413701</v>
      </c>
      <c r="F355" s="1">
        <v>46116.099108796298</v>
      </c>
      <c r="G355">
        <v>52.876187050186402</v>
      </c>
      <c r="H355" t="s">
        <v>18</v>
      </c>
      <c r="J355" t="s">
        <v>16</v>
      </c>
      <c r="K355">
        <v>577007.90534456098</v>
      </c>
      <c r="L355" t="s">
        <v>17</v>
      </c>
      <c r="M355">
        <v>0</v>
      </c>
      <c r="N355">
        <v>0.16968332241123599</v>
      </c>
    </row>
    <row r="356" spans="2:14" x14ac:dyDescent="0.25">
      <c r="B356" t="s">
        <v>14</v>
      </c>
      <c r="C356" s="1">
        <v>46116.999988425923</v>
      </c>
      <c r="D356">
        <v>25.155989075303999</v>
      </c>
      <c r="E356">
        <v>97908.618436413701</v>
      </c>
      <c r="F356" s="1">
        <v>46116.099108796298</v>
      </c>
      <c r="G356">
        <v>52.876187050186402</v>
      </c>
      <c r="H356" t="s">
        <v>18</v>
      </c>
      <c r="J356" t="s">
        <v>16</v>
      </c>
      <c r="K356">
        <v>577007.90534456098</v>
      </c>
      <c r="L356" t="s">
        <v>17</v>
      </c>
      <c r="M356">
        <v>0</v>
      </c>
      <c r="N356">
        <v>0.16968332241123599</v>
      </c>
    </row>
    <row r="357" spans="2:14" x14ac:dyDescent="0.25">
      <c r="B357" t="s">
        <v>14</v>
      </c>
      <c r="C357" s="1">
        <v>46115.999988425923</v>
      </c>
      <c r="D357">
        <v>25.155989075303999</v>
      </c>
      <c r="E357">
        <v>98614.230619806898</v>
      </c>
      <c r="F357" s="1">
        <v>46113.605474537035</v>
      </c>
      <c r="G357">
        <v>52.876187050186402</v>
      </c>
      <c r="H357" t="s">
        <v>18</v>
      </c>
      <c r="J357" t="s">
        <v>16</v>
      </c>
      <c r="K357">
        <v>577007.90534456098</v>
      </c>
      <c r="L357" t="s">
        <v>17</v>
      </c>
      <c r="M357">
        <v>705.61218339327002</v>
      </c>
      <c r="N357">
        <v>0.17090620372162699</v>
      </c>
    </row>
    <row r="358" spans="2:14" x14ac:dyDescent="0.25">
      <c r="B358" t="s">
        <v>14</v>
      </c>
      <c r="C358" s="1">
        <v>46114.999988425923</v>
      </c>
      <c r="D358">
        <v>25.155989075303999</v>
      </c>
      <c r="E358">
        <v>98614.230619806898</v>
      </c>
      <c r="F358" s="1">
        <v>46113.605474537035</v>
      </c>
      <c r="G358">
        <v>52.876187050186402</v>
      </c>
      <c r="H358" t="s">
        <v>18</v>
      </c>
      <c r="J358" t="s">
        <v>16</v>
      </c>
      <c r="K358">
        <v>577007.90534456098</v>
      </c>
      <c r="L358" t="s">
        <v>17</v>
      </c>
      <c r="M358">
        <v>0</v>
      </c>
      <c r="N358">
        <v>0.17090620372162699</v>
      </c>
    </row>
    <row r="359" spans="2:14" x14ac:dyDescent="0.25">
      <c r="B359" t="s">
        <v>14</v>
      </c>
      <c r="C359" s="1">
        <v>46113.999988425923</v>
      </c>
      <c r="D359">
        <v>25.155989075303999</v>
      </c>
      <c r="E359">
        <v>98614.230619806898</v>
      </c>
      <c r="F359" s="1">
        <v>46113.605474537035</v>
      </c>
      <c r="G359">
        <v>52.876187050186402</v>
      </c>
      <c r="H359" t="s">
        <v>18</v>
      </c>
      <c r="J359" t="s">
        <v>16</v>
      </c>
      <c r="K359">
        <v>577007.90534456098</v>
      </c>
      <c r="L359" t="s">
        <v>17</v>
      </c>
      <c r="M359">
        <v>0</v>
      </c>
      <c r="N359">
        <v>0.17090620372162699</v>
      </c>
    </row>
    <row r="360" spans="2:14" x14ac:dyDescent="0.25">
      <c r="B360" t="s">
        <v>14</v>
      </c>
      <c r="C360" s="1">
        <v>46112.999988425923</v>
      </c>
      <c r="D360">
        <v>25.155989075303999</v>
      </c>
      <c r="E360">
        <v>96528.654499732307</v>
      </c>
      <c r="F360" s="1">
        <v>46110.099803240744</v>
      </c>
      <c r="G360">
        <v>52.876187050186402</v>
      </c>
      <c r="H360" t="s">
        <v>18</v>
      </c>
      <c r="J360" t="s">
        <v>16</v>
      </c>
      <c r="K360">
        <v>577007.90534456098</v>
      </c>
      <c r="L360" t="s">
        <v>17</v>
      </c>
      <c r="M360">
        <v>-2085.5761200746001</v>
      </c>
      <c r="N360">
        <v>0.16729173657003901</v>
      </c>
    </row>
    <row r="361" spans="2:14" x14ac:dyDescent="0.25">
      <c r="B361" t="s">
        <v>14</v>
      </c>
      <c r="C361" s="1">
        <v>46111.999988425923</v>
      </c>
      <c r="D361">
        <v>25.155989075303999</v>
      </c>
      <c r="E361">
        <v>96528.654499732307</v>
      </c>
      <c r="F361" s="1">
        <v>46110.099803240744</v>
      </c>
      <c r="G361">
        <v>52.876187050186402</v>
      </c>
      <c r="H361" t="s">
        <v>18</v>
      </c>
      <c r="J361" t="s">
        <v>16</v>
      </c>
      <c r="K361">
        <v>577007.90534456098</v>
      </c>
      <c r="L361" t="s">
        <v>17</v>
      </c>
      <c r="M361">
        <v>0</v>
      </c>
      <c r="N361">
        <v>0.16729173657003901</v>
      </c>
    </row>
    <row r="362" spans="2:14" x14ac:dyDescent="0.25">
      <c r="B362" t="s">
        <v>14</v>
      </c>
      <c r="C362" s="1">
        <v>46110.999988425923</v>
      </c>
      <c r="D362">
        <v>25.155989075303999</v>
      </c>
      <c r="E362">
        <v>96528.654499732307</v>
      </c>
      <c r="F362" s="1">
        <v>46110.099803240744</v>
      </c>
      <c r="G362">
        <v>52.876187050186402</v>
      </c>
      <c r="H362" t="s">
        <v>18</v>
      </c>
      <c r="J362" t="s">
        <v>16</v>
      </c>
      <c r="K362">
        <v>577007.90534456098</v>
      </c>
      <c r="L362" t="s">
        <v>17</v>
      </c>
      <c r="M362">
        <v>0</v>
      </c>
      <c r="N362">
        <v>0.16729173657003901</v>
      </c>
    </row>
    <row r="363" spans="2:14" x14ac:dyDescent="0.25">
      <c r="B363" t="s">
        <v>14</v>
      </c>
      <c r="C363" s="1">
        <v>46109.999988425923</v>
      </c>
      <c r="D363">
        <v>25.155989075303999</v>
      </c>
      <c r="E363">
        <v>101475.80990493399</v>
      </c>
      <c r="F363" s="1">
        <v>46107.606296296297</v>
      </c>
      <c r="G363">
        <v>52.876187050186402</v>
      </c>
      <c r="H363" t="s">
        <v>18</v>
      </c>
      <c r="J363" t="s">
        <v>16</v>
      </c>
      <c r="K363">
        <v>577007.90534456098</v>
      </c>
      <c r="L363" t="s">
        <v>17</v>
      </c>
      <c r="M363">
        <v>4947.1554052024703</v>
      </c>
      <c r="N363">
        <v>0.17586554528111401</v>
      </c>
    </row>
    <row r="364" spans="2:14" x14ac:dyDescent="0.25">
      <c r="B364" t="s">
        <v>14</v>
      </c>
      <c r="C364" s="1">
        <v>46108.999988425923</v>
      </c>
      <c r="D364">
        <v>25.155989075303999</v>
      </c>
      <c r="E364">
        <v>101475.80990493399</v>
      </c>
      <c r="F364" s="1">
        <v>46107.606296296297</v>
      </c>
      <c r="G364">
        <v>52.876187050186402</v>
      </c>
      <c r="H364" t="s">
        <v>18</v>
      </c>
      <c r="J364" t="s">
        <v>16</v>
      </c>
      <c r="K364">
        <v>577007.90534456098</v>
      </c>
      <c r="L364" t="s">
        <v>17</v>
      </c>
      <c r="M364">
        <v>0</v>
      </c>
      <c r="N364">
        <v>0.17586554528111401</v>
      </c>
    </row>
    <row r="365" spans="2:14" x14ac:dyDescent="0.25">
      <c r="B365" t="s">
        <v>14</v>
      </c>
      <c r="C365" s="1">
        <v>46107.999988425923</v>
      </c>
      <c r="D365">
        <v>25.155989075303999</v>
      </c>
      <c r="E365">
        <v>101475.80990493399</v>
      </c>
      <c r="F365" s="1">
        <v>46107.606296296297</v>
      </c>
      <c r="G365">
        <v>52.876187050186402</v>
      </c>
      <c r="H365" t="s">
        <v>18</v>
      </c>
      <c r="J365" t="s">
        <v>16</v>
      </c>
      <c r="K365">
        <v>577007.90534456098</v>
      </c>
      <c r="L365" t="s">
        <v>17</v>
      </c>
      <c r="M365">
        <v>0</v>
      </c>
      <c r="N365">
        <v>0.17586554528111401</v>
      </c>
    </row>
    <row r="366" spans="2:14" x14ac:dyDescent="0.25">
      <c r="B366" t="s">
        <v>14</v>
      </c>
      <c r="C366" s="1">
        <v>46106.999988425923</v>
      </c>
      <c r="D366">
        <v>25.155989075303999</v>
      </c>
      <c r="E366">
        <v>96382.408567265593</v>
      </c>
      <c r="F366" s="1">
        <v>46104.099108796298</v>
      </c>
      <c r="G366">
        <v>52.876187050186402</v>
      </c>
      <c r="H366" t="s">
        <v>18</v>
      </c>
      <c r="J366" t="s">
        <v>16</v>
      </c>
      <c r="K366">
        <v>577007.90534456098</v>
      </c>
      <c r="L366" t="s">
        <v>17</v>
      </c>
      <c r="M366">
        <v>-5093.4013376692301</v>
      </c>
      <c r="N366">
        <v>0.16703828088752201</v>
      </c>
    </row>
    <row r="367" spans="2:14" x14ac:dyDescent="0.25">
      <c r="B367" t="s">
        <v>14</v>
      </c>
      <c r="C367" s="1">
        <v>46105.999988425923</v>
      </c>
      <c r="D367">
        <v>25.155989075303999</v>
      </c>
      <c r="E367">
        <v>96382.408567265593</v>
      </c>
      <c r="F367" s="1">
        <v>46104.099108796298</v>
      </c>
      <c r="G367">
        <v>52.876187050186402</v>
      </c>
      <c r="H367" t="s">
        <v>18</v>
      </c>
      <c r="J367" t="s">
        <v>16</v>
      </c>
      <c r="K367">
        <v>577007.90534456098</v>
      </c>
      <c r="L367" t="s">
        <v>17</v>
      </c>
      <c r="M367">
        <v>0</v>
      </c>
      <c r="N367">
        <v>0.16703828088752201</v>
      </c>
    </row>
    <row r="368" spans="2:14" x14ac:dyDescent="0.25">
      <c r="B368" t="s">
        <v>14</v>
      </c>
      <c r="C368" s="1">
        <v>46104.999988425923</v>
      </c>
      <c r="D368">
        <v>25.155989075303999</v>
      </c>
      <c r="E368">
        <v>96382.408567265593</v>
      </c>
      <c r="F368" s="1">
        <v>46104.099108796298</v>
      </c>
      <c r="G368">
        <v>52.876187050186402</v>
      </c>
      <c r="H368" t="s">
        <v>18</v>
      </c>
      <c r="J368" t="s">
        <v>16</v>
      </c>
      <c r="K368">
        <v>577007.90534456098</v>
      </c>
      <c r="L368" t="s">
        <v>17</v>
      </c>
      <c r="M368">
        <v>0</v>
      </c>
      <c r="N368">
        <v>0.16703828088752201</v>
      </c>
    </row>
    <row r="369" spans="2:14" x14ac:dyDescent="0.25">
      <c r="B369" t="s">
        <v>14</v>
      </c>
      <c r="C369" s="1">
        <v>46103.999988425923</v>
      </c>
      <c r="D369">
        <v>25.155989075303999</v>
      </c>
      <c r="E369">
        <v>100464.013076537</v>
      </c>
      <c r="F369" s="1">
        <v>46101.605474537035</v>
      </c>
      <c r="G369">
        <v>52.876187050186402</v>
      </c>
      <c r="H369" t="s">
        <v>18</v>
      </c>
      <c r="J369" t="s">
        <v>16</v>
      </c>
      <c r="K369">
        <v>577007.90534456098</v>
      </c>
      <c r="L369" t="s">
        <v>17</v>
      </c>
      <c r="M369">
        <v>4081.6045092719701</v>
      </c>
      <c r="N369">
        <v>0.17411202194282799</v>
      </c>
    </row>
    <row r="370" spans="2:14" x14ac:dyDescent="0.25">
      <c r="B370" t="s">
        <v>14</v>
      </c>
      <c r="C370" s="1">
        <v>46102.999988425923</v>
      </c>
      <c r="D370">
        <v>25.155989075303999</v>
      </c>
      <c r="E370">
        <v>100464.013076537</v>
      </c>
      <c r="F370" s="1">
        <v>46101.605474537035</v>
      </c>
      <c r="G370">
        <v>52.876187050186402</v>
      </c>
      <c r="H370" t="s">
        <v>18</v>
      </c>
      <c r="J370" t="s">
        <v>16</v>
      </c>
      <c r="K370">
        <v>577007.90534456098</v>
      </c>
      <c r="L370" t="s">
        <v>17</v>
      </c>
      <c r="M370">
        <v>0</v>
      </c>
      <c r="N370">
        <v>0.17411202194282799</v>
      </c>
    </row>
    <row r="371" spans="2:14" x14ac:dyDescent="0.25">
      <c r="B371" t="s">
        <v>14</v>
      </c>
      <c r="C371" s="1">
        <v>46101.999988425923</v>
      </c>
      <c r="D371">
        <v>25.155989075303999</v>
      </c>
      <c r="E371">
        <v>100464.013076537</v>
      </c>
      <c r="F371" s="1">
        <v>46101.605474537035</v>
      </c>
      <c r="G371">
        <v>52.876187050186402</v>
      </c>
      <c r="H371" t="s">
        <v>18</v>
      </c>
      <c r="J371" t="s">
        <v>16</v>
      </c>
      <c r="K371">
        <v>577007.90534456098</v>
      </c>
      <c r="L371" t="s">
        <v>17</v>
      </c>
      <c r="M371">
        <v>0</v>
      </c>
      <c r="N371">
        <v>0.17411202194282799</v>
      </c>
    </row>
    <row r="372" spans="2:14" x14ac:dyDescent="0.25">
      <c r="B372" t="s">
        <v>14</v>
      </c>
      <c r="C372" s="1">
        <v>46100.999988425923</v>
      </c>
      <c r="D372">
        <v>25.155989075303999</v>
      </c>
      <c r="E372">
        <v>96427.114958123406</v>
      </c>
      <c r="F372" s="1">
        <v>46098.099803240744</v>
      </c>
      <c r="G372">
        <v>52.876187050186402</v>
      </c>
      <c r="H372" t="s">
        <v>18</v>
      </c>
      <c r="J372" t="s">
        <v>16</v>
      </c>
      <c r="K372">
        <v>577007.90534456098</v>
      </c>
      <c r="L372" t="s">
        <v>17</v>
      </c>
      <c r="M372">
        <v>-4036.8981184141498</v>
      </c>
      <c r="N372">
        <v>0.16711576057271099</v>
      </c>
    </row>
    <row r="373" spans="2:14" x14ac:dyDescent="0.25">
      <c r="B373" t="s">
        <v>14</v>
      </c>
      <c r="C373" s="1">
        <v>46099.999988425923</v>
      </c>
      <c r="D373">
        <v>25.155989075303999</v>
      </c>
      <c r="E373">
        <v>96427.114958123406</v>
      </c>
      <c r="F373" s="1">
        <v>46098.099803240744</v>
      </c>
      <c r="G373">
        <v>52.876187050186402</v>
      </c>
      <c r="H373" t="s">
        <v>18</v>
      </c>
      <c r="J373" t="s">
        <v>16</v>
      </c>
      <c r="K373">
        <v>577007.90534456098</v>
      </c>
      <c r="L373" t="s">
        <v>17</v>
      </c>
      <c r="M373">
        <v>0</v>
      </c>
      <c r="N373">
        <v>0.16711576057271099</v>
      </c>
    </row>
    <row r="374" spans="2:14" x14ac:dyDescent="0.25">
      <c r="B374" t="s">
        <v>14</v>
      </c>
      <c r="C374" s="1">
        <v>46098.999988425923</v>
      </c>
      <c r="D374">
        <v>25.155989075303999</v>
      </c>
      <c r="E374">
        <v>96427.114958123406</v>
      </c>
      <c r="F374" s="1">
        <v>46098.099803240744</v>
      </c>
      <c r="G374">
        <v>52.876187050186402</v>
      </c>
      <c r="H374" t="s">
        <v>18</v>
      </c>
      <c r="J374" t="s">
        <v>16</v>
      </c>
      <c r="K374">
        <v>577007.90534456098</v>
      </c>
      <c r="L374" t="s">
        <v>17</v>
      </c>
      <c r="M374">
        <v>0</v>
      </c>
      <c r="N374">
        <v>0.16711576057271099</v>
      </c>
    </row>
    <row r="375" spans="2:14" x14ac:dyDescent="0.25">
      <c r="B375" t="s">
        <v>14</v>
      </c>
      <c r="C375" s="1">
        <v>46097.999988425923</v>
      </c>
      <c r="D375">
        <v>25.155989075303999</v>
      </c>
      <c r="E375">
        <v>99984.039236812096</v>
      </c>
      <c r="F375" s="1">
        <v>46095.606296296297</v>
      </c>
      <c r="G375">
        <v>52.876187050186402</v>
      </c>
      <c r="H375" t="s">
        <v>18</v>
      </c>
      <c r="J375" t="s">
        <v>16</v>
      </c>
      <c r="K375">
        <v>577007.90534456098</v>
      </c>
      <c r="L375" t="s">
        <v>17</v>
      </c>
      <c r="M375">
        <v>3556.9242786886698</v>
      </c>
      <c r="N375">
        <v>0.17328018959654701</v>
      </c>
    </row>
    <row r="376" spans="2:14" x14ac:dyDescent="0.25">
      <c r="B376" t="s">
        <v>14</v>
      </c>
      <c r="C376" s="1">
        <v>46096.999988425923</v>
      </c>
      <c r="D376">
        <v>25.155989075303999</v>
      </c>
      <c r="E376">
        <v>99984.039236812096</v>
      </c>
      <c r="F376" s="1">
        <v>46095.606296296297</v>
      </c>
      <c r="G376">
        <v>52.876187050186402</v>
      </c>
      <c r="H376" t="s">
        <v>18</v>
      </c>
      <c r="J376" t="s">
        <v>16</v>
      </c>
      <c r="K376">
        <v>577007.90534456098</v>
      </c>
      <c r="L376" t="s">
        <v>17</v>
      </c>
      <c r="M376">
        <v>0</v>
      </c>
      <c r="N376">
        <v>0.17328018959654701</v>
      </c>
    </row>
    <row r="377" spans="2:14" x14ac:dyDescent="0.25">
      <c r="B377" t="s">
        <v>14</v>
      </c>
      <c r="C377" s="1">
        <v>46095.999988425923</v>
      </c>
      <c r="D377">
        <v>25.155989075303999</v>
      </c>
      <c r="E377">
        <v>99984.039236812096</v>
      </c>
      <c r="F377" s="1">
        <v>46095.606296296297</v>
      </c>
      <c r="G377">
        <v>52.876187050186402</v>
      </c>
      <c r="H377" t="s">
        <v>18</v>
      </c>
      <c r="J377" t="s">
        <v>16</v>
      </c>
      <c r="K377">
        <v>577007.90534456098</v>
      </c>
      <c r="L377" t="s">
        <v>17</v>
      </c>
      <c r="M377">
        <v>0</v>
      </c>
      <c r="N377">
        <v>0.17328018959654701</v>
      </c>
    </row>
    <row r="378" spans="2:14" x14ac:dyDescent="0.25">
      <c r="B378" t="s">
        <v>14</v>
      </c>
      <c r="C378" s="1">
        <v>46094.999988425923</v>
      </c>
      <c r="D378">
        <v>25.155989075303999</v>
      </c>
      <c r="E378">
        <v>95337.027142502004</v>
      </c>
      <c r="F378" s="1">
        <v>46092.099097222221</v>
      </c>
      <c r="G378">
        <v>52.876187050186402</v>
      </c>
      <c r="H378" t="s">
        <v>18</v>
      </c>
      <c r="J378" t="s">
        <v>16</v>
      </c>
      <c r="K378">
        <v>577007.90534456098</v>
      </c>
      <c r="L378" t="s">
        <v>17</v>
      </c>
      <c r="M378">
        <v>-4647.0120943100701</v>
      </c>
      <c r="N378">
        <v>0.165226552807056</v>
      </c>
    </row>
    <row r="379" spans="2:14" x14ac:dyDescent="0.25">
      <c r="B379" t="s">
        <v>14</v>
      </c>
      <c r="C379" s="1">
        <v>46093.999988425923</v>
      </c>
      <c r="D379">
        <v>25.155989075303999</v>
      </c>
      <c r="E379">
        <v>95337.027142502004</v>
      </c>
      <c r="F379" s="1">
        <v>46092.099097222221</v>
      </c>
      <c r="G379">
        <v>52.876187050186402</v>
      </c>
      <c r="H379" t="s">
        <v>18</v>
      </c>
      <c r="J379" t="s">
        <v>16</v>
      </c>
      <c r="K379">
        <v>577007.90534456098</v>
      </c>
      <c r="L379" t="s">
        <v>17</v>
      </c>
      <c r="M379">
        <v>0</v>
      </c>
      <c r="N379">
        <v>0.165226552807056</v>
      </c>
    </row>
    <row r="380" spans="2:14" x14ac:dyDescent="0.25">
      <c r="B380" t="s">
        <v>14</v>
      </c>
      <c r="C380" s="1">
        <v>46092.999988425923</v>
      </c>
      <c r="D380">
        <v>25.155989075303999</v>
      </c>
      <c r="E380">
        <v>95337.027142502004</v>
      </c>
      <c r="F380" s="1">
        <v>46092.099097222221</v>
      </c>
      <c r="G380">
        <v>52.876187050186402</v>
      </c>
      <c r="H380" t="s">
        <v>18</v>
      </c>
      <c r="J380" t="s">
        <v>16</v>
      </c>
      <c r="K380">
        <v>577007.90534456098</v>
      </c>
      <c r="L380" t="s">
        <v>17</v>
      </c>
      <c r="M380">
        <v>0</v>
      </c>
      <c r="N380">
        <v>0.165226552807056</v>
      </c>
    </row>
    <row r="381" spans="2:14" x14ac:dyDescent="0.25">
      <c r="B381" t="s">
        <v>14</v>
      </c>
      <c r="C381" s="1">
        <v>46091.999988425923</v>
      </c>
      <c r="D381">
        <v>25.155989075303999</v>
      </c>
      <c r="E381">
        <v>96239.869260546402</v>
      </c>
      <c r="F381" s="1">
        <v>46089.605474537035</v>
      </c>
      <c r="G381">
        <v>52.876187050186402</v>
      </c>
      <c r="H381" t="s">
        <v>18</v>
      </c>
      <c r="J381" t="s">
        <v>16</v>
      </c>
      <c r="K381">
        <v>577007.90534456098</v>
      </c>
      <c r="L381" t="s">
        <v>17</v>
      </c>
      <c r="M381">
        <v>902.84211804444203</v>
      </c>
      <c r="N381">
        <v>0.16679124907842699</v>
      </c>
    </row>
    <row r="382" spans="2:14" x14ac:dyDescent="0.25">
      <c r="B382" t="s">
        <v>14</v>
      </c>
      <c r="C382" s="1">
        <v>46090.999988425923</v>
      </c>
      <c r="D382">
        <v>25.155989075303999</v>
      </c>
      <c r="E382">
        <v>96239.869260546402</v>
      </c>
      <c r="F382" s="1">
        <v>46089.605474537035</v>
      </c>
      <c r="G382">
        <v>52.876187050186402</v>
      </c>
      <c r="H382" t="s">
        <v>18</v>
      </c>
      <c r="J382" t="s">
        <v>16</v>
      </c>
      <c r="K382">
        <v>577007.90534456098</v>
      </c>
      <c r="L382" t="s">
        <v>17</v>
      </c>
      <c r="M382">
        <v>0</v>
      </c>
      <c r="N382">
        <v>0.16679124907842699</v>
      </c>
    </row>
    <row r="383" spans="2:14" x14ac:dyDescent="0.25">
      <c r="B383" t="s">
        <v>14</v>
      </c>
      <c r="C383" s="1">
        <v>46089.999988425923</v>
      </c>
      <c r="D383">
        <v>25.155989075303999</v>
      </c>
      <c r="E383">
        <v>96239.869260546402</v>
      </c>
      <c r="F383" s="1">
        <v>46089.605474537035</v>
      </c>
      <c r="G383">
        <v>52.876187050186402</v>
      </c>
      <c r="H383" t="s">
        <v>18</v>
      </c>
      <c r="J383" t="s">
        <v>16</v>
      </c>
      <c r="K383">
        <v>577007.90534456098</v>
      </c>
      <c r="L383" t="s">
        <v>17</v>
      </c>
      <c r="M383">
        <v>0</v>
      </c>
      <c r="N383">
        <v>0.16679124907842699</v>
      </c>
    </row>
    <row r="384" spans="2:14" x14ac:dyDescent="0.25">
      <c r="B384" t="s">
        <v>14</v>
      </c>
      <c r="C384" s="1">
        <v>46088.999988425923</v>
      </c>
      <c r="D384">
        <v>25.155989075303999</v>
      </c>
      <c r="E384">
        <v>97010.469585316896</v>
      </c>
      <c r="F384" s="1">
        <v>46086.099803240744</v>
      </c>
      <c r="G384">
        <v>52.876187050186402</v>
      </c>
      <c r="H384" t="s">
        <v>18</v>
      </c>
      <c r="J384" t="s">
        <v>16</v>
      </c>
      <c r="K384">
        <v>577007.90534456098</v>
      </c>
      <c r="L384" t="s">
        <v>17</v>
      </c>
      <c r="M384">
        <v>770.60032477049299</v>
      </c>
      <c r="N384">
        <v>0.168126759939947</v>
      </c>
    </row>
    <row r="385" spans="2:14" x14ac:dyDescent="0.25">
      <c r="B385" t="s">
        <v>14</v>
      </c>
      <c r="C385" s="1">
        <v>46087.999988425923</v>
      </c>
      <c r="D385">
        <v>25.155989075303999</v>
      </c>
      <c r="E385">
        <v>97010.469585316896</v>
      </c>
      <c r="F385" s="1">
        <v>46086.099803240744</v>
      </c>
      <c r="G385">
        <v>52.876187050186402</v>
      </c>
      <c r="H385" t="s">
        <v>18</v>
      </c>
      <c r="J385" t="s">
        <v>16</v>
      </c>
      <c r="K385">
        <v>577007.90534456098</v>
      </c>
      <c r="L385" t="s">
        <v>17</v>
      </c>
      <c r="M385">
        <v>0</v>
      </c>
      <c r="N385">
        <v>0.168126759939947</v>
      </c>
    </row>
    <row r="386" spans="2:14" x14ac:dyDescent="0.25">
      <c r="B386" t="s">
        <v>14</v>
      </c>
      <c r="C386" s="1">
        <v>46086.999988425923</v>
      </c>
      <c r="D386">
        <v>25.155989075303999</v>
      </c>
      <c r="E386">
        <v>97010.469585316896</v>
      </c>
      <c r="F386" s="1">
        <v>46086.099803240744</v>
      </c>
      <c r="G386">
        <v>52.876187050186402</v>
      </c>
      <c r="H386" t="s">
        <v>18</v>
      </c>
      <c r="J386" t="s">
        <v>16</v>
      </c>
      <c r="K386">
        <v>577007.90534456098</v>
      </c>
      <c r="L386" t="s">
        <v>17</v>
      </c>
      <c r="M386">
        <v>0</v>
      </c>
      <c r="N386">
        <v>0.168126759939947</v>
      </c>
    </row>
    <row r="387" spans="2:14" x14ac:dyDescent="0.25">
      <c r="B387" t="s">
        <v>14</v>
      </c>
      <c r="C387" s="1">
        <v>46085.999988425923</v>
      </c>
      <c r="D387">
        <v>25.155989075303999</v>
      </c>
      <c r="E387">
        <v>98400.871240712804</v>
      </c>
      <c r="F387" s="1">
        <v>46083.60628472222</v>
      </c>
      <c r="G387">
        <v>52.876187050186402</v>
      </c>
      <c r="H387" t="s">
        <v>18</v>
      </c>
      <c r="J387" t="s">
        <v>16</v>
      </c>
      <c r="K387">
        <v>577007.90534456098</v>
      </c>
      <c r="L387" t="s">
        <v>17</v>
      </c>
      <c r="M387">
        <v>1390.40165539592</v>
      </c>
      <c r="N387">
        <v>0.17053643516712699</v>
      </c>
    </row>
    <row r="388" spans="2:14" x14ac:dyDescent="0.25">
      <c r="B388" t="s">
        <v>14</v>
      </c>
      <c r="C388" s="1">
        <v>46084.999988425923</v>
      </c>
      <c r="D388">
        <v>25.155989075303999</v>
      </c>
      <c r="E388">
        <v>98400.871240712804</v>
      </c>
      <c r="F388" s="1">
        <v>46083.60628472222</v>
      </c>
      <c r="G388">
        <v>52.876187050186402</v>
      </c>
      <c r="H388" t="s">
        <v>18</v>
      </c>
      <c r="J388" t="s">
        <v>16</v>
      </c>
      <c r="K388">
        <v>577007.90534456098</v>
      </c>
      <c r="L388" t="s">
        <v>17</v>
      </c>
      <c r="M388">
        <v>0</v>
      </c>
      <c r="N388">
        <v>0.17053643516712699</v>
      </c>
    </row>
    <row r="389" spans="2:14" x14ac:dyDescent="0.25">
      <c r="B389" t="s">
        <v>14</v>
      </c>
      <c r="C389" s="1">
        <v>46083.999988425923</v>
      </c>
      <c r="D389">
        <v>25.155989075303999</v>
      </c>
      <c r="E389">
        <v>98400.871240712804</v>
      </c>
      <c r="F389" s="1">
        <v>46083.60628472222</v>
      </c>
      <c r="G389">
        <v>52.876187050186402</v>
      </c>
      <c r="H389" t="s">
        <v>18</v>
      </c>
      <c r="J389" t="s">
        <v>16</v>
      </c>
      <c r="K389">
        <v>577007.90534456098</v>
      </c>
      <c r="L389" t="s">
        <v>17</v>
      </c>
      <c r="M389">
        <v>0</v>
      </c>
      <c r="N389">
        <v>0.17053643516712699</v>
      </c>
    </row>
    <row r="390" spans="2:14" x14ac:dyDescent="0.25">
      <c r="B390" t="s">
        <v>14</v>
      </c>
      <c r="C390" s="1">
        <v>46082.999988425923</v>
      </c>
      <c r="D390">
        <v>25.155989075303999</v>
      </c>
      <c r="E390">
        <v>95985.005280893805</v>
      </c>
      <c r="F390" s="1">
        <v>46080.099097222221</v>
      </c>
      <c r="G390">
        <v>52.876187050186402</v>
      </c>
      <c r="H390" t="s">
        <v>18</v>
      </c>
      <c r="J390" t="s">
        <v>16</v>
      </c>
      <c r="K390">
        <v>577007.90534456098</v>
      </c>
      <c r="L390" t="s">
        <v>17</v>
      </c>
      <c r="M390">
        <v>-2415.8659598189902</v>
      </c>
      <c r="N390">
        <v>0.16634954979269501</v>
      </c>
    </row>
    <row r="391" spans="2:14" x14ac:dyDescent="0.25">
      <c r="B391" t="s">
        <v>14</v>
      </c>
      <c r="C391" s="1">
        <v>46081.999988425923</v>
      </c>
      <c r="D391">
        <v>25.155989075303999</v>
      </c>
      <c r="E391">
        <v>95985.005280893805</v>
      </c>
      <c r="F391" s="1">
        <v>46080.099097222221</v>
      </c>
      <c r="G391">
        <v>52.876187050186402</v>
      </c>
      <c r="H391" t="s">
        <v>18</v>
      </c>
      <c r="J391" t="s">
        <v>16</v>
      </c>
      <c r="K391">
        <v>577007.90534456098</v>
      </c>
      <c r="L391" t="s">
        <v>17</v>
      </c>
      <c r="M391">
        <v>0</v>
      </c>
      <c r="N391">
        <v>0.16634954979269501</v>
      </c>
    </row>
    <row r="392" spans="2:14" x14ac:dyDescent="0.25">
      <c r="B392" t="s">
        <v>14</v>
      </c>
      <c r="C392" s="1">
        <v>46080.999988425923</v>
      </c>
      <c r="D392">
        <v>25.155989075303999</v>
      </c>
      <c r="E392">
        <v>95985.005280893805</v>
      </c>
      <c r="F392" s="1">
        <v>46080.099097222221</v>
      </c>
      <c r="G392">
        <v>52.876187050186402</v>
      </c>
      <c r="H392" t="s">
        <v>18</v>
      </c>
      <c r="J392" t="s">
        <v>16</v>
      </c>
      <c r="K392">
        <v>577007.90534456098</v>
      </c>
      <c r="L392" t="s">
        <v>17</v>
      </c>
      <c r="M392">
        <v>0</v>
      </c>
      <c r="N392">
        <v>0.16634954979269501</v>
      </c>
    </row>
    <row r="393" spans="2:14" x14ac:dyDescent="0.25">
      <c r="B393" t="s">
        <v>14</v>
      </c>
      <c r="C393" s="1">
        <v>46079.999988425923</v>
      </c>
      <c r="D393">
        <v>25.155989075303999</v>
      </c>
      <c r="E393">
        <v>104759.822751261</v>
      </c>
      <c r="F393" s="1">
        <v>46077.605474537035</v>
      </c>
      <c r="G393">
        <v>52.876187050186402</v>
      </c>
      <c r="H393" t="s">
        <v>18</v>
      </c>
      <c r="J393" t="s">
        <v>16</v>
      </c>
      <c r="K393">
        <v>577007.90534456098</v>
      </c>
      <c r="L393" t="s">
        <v>17</v>
      </c>
      <c r="M393">
        <v>8774.8174703674104</v>
      </c>
      <c r="N393">
        <v>0.18155699736679301</v>
      </c>
    </row>
    <row r="394" spans="2:14" x14ac:dyDescent="0.25">
      <c r="B394" t="s">
        <v>14</v>
      </c>
      <c r="C394" s="1">
        <v>46078.999988425923</v>
      </c>
      <c r="D394">
        <v>25.155989075303999</v>
      </c>
      <c r="E394">
        <v>104759.822751261</v>
      </c>
      <c r="F394" s="1">
        <v>46077.605474537035</v>
      </c>
      <c r="G394">
        <v>52.876187050186402</v>
      </c>
      <c r="H394" t="s">
        <v>18</v>
      </c>
      <c r="J394" t="s">
        <v>16</v>
      </c>
      <c r="K394">
        <v>577007.90534456098</v>
      </c>
      <c r="L394" t="s">
        <v>17</v>
      </c>
      <c r="M394">
        <v>0</v>
      </c>
      <c r="N394">
        <v>0.18155699736679301</v>
      </c>
    </row>
    <row r="395" spans="2:14" x14ac:dyDescent="0.25">
      <c r="B395" t="s">
        <v>14</v>
      </c>
      <c r="C395" s="1">
        <v>46077.999988425923</v>
      </c>
      <c r="D395">
        <v>25.155989075303999</v>
      </c>
      <c r="E395">
        <v>104759.822751261</v>
      </c>
      <c r="F395" s="1">
        <v>46077.605474537035</v>
      </c>
      <c r="G395">
        <v>52.876187050186402</v>
      </c>
      <c r="H395" t="s">
        <v>18</v>
      </c>
      <c r="J395" t="s">
        <v>16</v>
      </c>
      <c r="K395">
        <v>577007.90534456098</v>
      </c>
      <c r="L395" t="s">
        <v>17</v>
      </c>
      <c r="M395">
        <v>0</v>
      </c>
      <c r="N395">
        <v>0.18155699736679301</v>
      </c>
    </row>
    <row r="396" spans="2:14" x14ac:dyDescent="0.25">
      <c r="B396" t="s">
        <v>14</v>
      </c>
      <c r="C396" s="1">
        <v>46076.999988425923</v>
      </c>
      <c r="D396">
        <v>25.155989075303999</v>
      </c>
      <c r="E396">
        <v>98373.466616402497</v>
      </c>
      <c r="F396" s="1">
        <v>46074.099803240744</v>
      </c>
      <c r="G396">
        <v>52.876187050186402</v>
      </c>
      <c r="H396" t="s">
        <v>18</v>
      </c>
      <c r="J396" t="s">
        <v>16</v>
      </c>
      <c r="K396">
        <v>577007.90534456098</v>
      </c>
      <c r="L396" t="s">
        <v>17</v>
      </c>
      <c r="M396">
        <v>-6386.35613485879</v>
      </c>
      <c r="N396">
        <v>0.17048894080170099</v>
      </c>
    </row>
    <row r="397" spans="2:14" x14ac:dyDescent="0.25">
      <c r="B397" t="s">
        <v>14</v>
      </c>
      <c r="C397" s="1">
        <v>46075.999988425923</v>
      </c>
      <c r="D397">
        <v>25.155989075303999</v>
      </c>
      <c r="E397">
        <v>98373.466616402497</v>
      </c>
      <c r="F397" s="1">
        <v>46074.099803240744</v>
      </c>
      <c r="G397">
        <v>52.876187050186402</v>
      </c>
      <c r="H397" t="s">
        <v>18</v>
      </c>
      <c r="J397" t="s">
        <v>16</v>
      </c>
      <c r="K397">
        <v>577007.90534456098</v>
      </c>
      <c r="L397" t="s">
        <v>17</v>
      </c>
      <c r="M397">
        <v>0</v>
      </c>
      <c r="N397">
        <v>0.17048894080170099</v>
      </c>
    </row>
    <row r="398" spans="2:14" x14ac:dyDescent="0.25">
      <c r="B398" t="s">
        <v>14</v>
      </c>
      <c r="C398" s="1">
        <v>46074.999988425923</v>
      </c>
      <c r="D398">
        <v>25.155989075303999</v>
      </c>
      <c r="E398">
        <v>98373.466616402497</v>
      </c>
      <c r="F398" s="1">
        <v>46074.099803240744</v>
      </c>
      <c r="G398">
        <v>52.876187050186402</v>
      </c>
      <c r="H398" t="s">
        <v>18</v>
      </c>
      <c r="J398" t="s">
        <v>16</v>
      </c>
      <c r="K398">
        <v>577007.90534456098</v>
      </c>
      <c r="L398" t="s">
        <v>17</v>
      </c>
      <c r="M398">
        <v>0</v>
      </c>
      <c r="N398">
        <v>0.17048894080170099</v>
      </c>
    </row>
    <row r="399" spans="2:14" x14ac:dyDescent="0.25">
      <c r="B399" t="s">
        <v>14</v>
      </c>
      <c r="C399" s="1">
        <v>46073.999988425923</v>
      </c>
      <c r="D399">
        <v>25.155989075303999</v>
      </c>
      <c r="E399">
        <v>102543.53238950401</v>
      </c>
      <c r="F399" s="1">
        <v>46071.606296296297</v>
      </c>
      <c r="G399">
        <v>52.876187050186402</v>
      </c>
      <c r="H399" t="s">
        <v>18</v>
      </c>
      <c r="J399" t="s">
        <v>16</v>
      </c>
      <c r="K399">
        <v>577007.90534456098</v>
      </c>
      <c r="L399" t="s">
        <v>17</v>
      </c>
      <c r="M399">
        <v>4170.0657731016399</v>
      </c>
      <c r="N399">
        <v>0.177715992172187</v>
      </c>
    </row>
    <row r="400" spans="2:14" x14ac:dyDescent="0.25">
      <c r="B400" t="s">
        <v>14</v>
      </c>
      <c r="C400" s="1">
        <v>46072.999988425923</v>
      </c>
      <c r="D400">
        <v>25.155989075303999</v>
      </c>
      <c r="E400">
        <v>102543.53238950401</v>
      </c>
      <c r="F400" s="1">
        <v>46071.606296296297</v>
      </c>
      <c r="G400">
        <v>52.876187050186402</v>
      </c>
      <c r="H400" t="s">
        <v>18</v>
      </c>
      <c r="J400" t="s">
        <v>16</v>
      </c>
      <c r="K400">
        <v>577007.90534456098</v>
      </c>
      <c r="L400" t="s">
        <v>17</v>
      </c>
      <c r="M400">
        <v>0</v>
      </c>
      <c r="N400">
        <v>0.177715992172187</v>
      </c>
    </row>
    <row r="401" spans="2:14" x14ac:dyDescent="0.25">
      <c r="B401" t="s">
        <v>14</v>
      </c>
      <c r="C401" s="1">
        <v>46071.999988425923</v>
      </c>
      <c r="D401">
        <v>25.155989075303999</v>
      </c>
      <c r="E401">
        <v>102543.53238950401</v>
      </c>
      <c r="F401" s="1">
        <v>46071.606296296297</v>
      </c>
      <c r="G401">
        <v>52.876187050186402</v>
      </c>
      <c r="H401" t="s">
        <v>18</v>
      </c>
      <c r="J401" t="s">
        <v>16</v>
      </c>
      <c r="K401">
        <v>577007.90534456098</v>
      </c>
      <c r="L401" t="s">
        <v>17</v>
      </c>
      <c r="M401">
        <v>0</v>
      </c>
      <c r="N401">
        <v>0.177715992172187</v>
      </c>
    </row>
    <row r="402" spans="2:14" x14ac:dyDescent="0.25">
      <c r="B402" t="s">
        <v>14</v>
      </c>
      <c r="C402" s="1">
        <v>46070.999988425923</v>
      </c>
      <c r="D402">
        <v>25.155989075303999</v>
      </c>
      <c r="E402">
        <v>97764.522160733701</v>
      </c>
      <c r="F402" s="1">
        <v>46068.099097222221</v>
      </c>
      <c r="G402">
        <v>52.876187050186402</v>
      </c>
      <c r="H402" t="s">
        <v>18</v>
      </c>
      <c r="J402" t="s">
        <v>16</v>
      </c>
      <c r="K402">
        <v>577007.90534456098</v>
      </c>
      <c r="L402" t="s">
        <v>17</v>
      </c>
      <c r="M402">
        <v>-4779.0102287703703</v>
      </c>
      <c r="N402">
        <v>0.169433592252698</v>
      </c>
    </row>
    <row r="403" spans="2:14" x14ac:dyDescent="0.25">
      <c r="B403" t="s">
        <v>14</v>
      </c>
      <c r="C403" s="1">
        <v>46069.999988425923</v>
      </c>
      <c r="D403">
        <v>25.155989075303999</v>
      </c>
      <c r="E403">
        <v>97764.522160733701</v>
      </c>
      <c r="F403" s="1">
        <v>46068.099097222221</v>
      </c>
      <c r="G403">
        <v>52.876187050186402</v>
      </c>
      <c r="H403" t="s">
        <v>18</v>
      </c>
      <c r="J403" t="s">
        <v>16</v>
      </c>
      <c r="K403">
        <v>577007.90534456098</v>
      </c>
      <c r="L403" t="s">
        <v>17</v>
      </c>
      <c r="M403">
        <v>0</v>
      </c>
      <c r="N403">
        <v>0.169433592252698</v>
      </c>
    </row>
    <row r="404" spans="2:14" x14ac:dyDescent="0.25">
      <c r="B404" t="s">
        <v>14</v>
      </c>
      <c r="C404" s="1">
        <v>46068.999988425923</v>
      </c>
      <c r="D404">
        <v>25.155989075303999</v>
      </c>
      <c r="E404">
        <v>97764.522160733701</v>
      </c>
      <c r="F404" s="1">
        <v>46068.099097222221</v>
      </c>
      <c r="G404">
        <v>52.876187050186402</v>
      </c>
      <c r="H404" t="s">
        <v>18</v>
      </c>
      <c r="J404" t="s">
        <v>16</v>
      </c>
      <c r="K404">
        <v>577007.90534456098</v>
      </c>
      <c r="L404" t="s">
        <v>17</v>
      </c>
      <c r="M404">
        <v>0</v>
      </c>
      <c r="N404">
        <v>0.169433592252698</v>
      </c>
    </row>
    <row r="405" spans="2:14" x14ac:dyDescent="0.25">
      <c r="B405" t="s">
        <v>14</v>
      </c>
      <c r="C405" s="1">
        <v>46067.999988425923</v>
      </c>
      <c r="D405">
        <v>25.155989075303999</v>
      </c>
      <c r="E405">
        <v>101785.527350048</v>
      </c>
      <c r="F405" s="1">
        <v>46065.605474537035</v>
      </c>
      <c r="G405">
        <v>52.876187050186402</v>
      </c>
      <c r="H405" t="s">
        <v>18</v>
      </c>
      <c r="J405" t="s">
        <v>16</v>
      </c>
      <c r="K405">
        <v>577007.90534456098</v>
      </c>
      <c r="L405" t="s">
        <v>17</v>
      </c>
      <c r="M405">
        <v>4021.0051893149998</v>
      </c>
      <c r="N405">
        <v>0.176402309928955</v>
      </c>
    </row>
    <row r="406" spans="2:14" x14ac:dyDescent="0.25">
      <c r="B406" t="s">
        <v>14</v>
      </c>
      <c r="C406" s="1">
        <v>46066.999988425923</v>
      </c>
      <c r="D406">
        <v>25.155989075303999</v>
      </c>
      <c r="E406">
        <v>101785.527350048</v>
      </c>
      <c r="F406" s="1">
        <v>46065.605474537035</v>
      </c>
      <c r="G406">
        <v>52.876187050186402</v>
      </c>
      <c r="H406" t="s">
        <v>18</v>
      </c>
      <c r="J406" t="s">
        <v>16</v>
      </c>
      <c r="K406">
        <v>577007.90534456098</v>
      </c>
      <c r="L406" t="s">
        <v>17</v>
      </c>
      <c r="M406">
        <v>0</v>
      </c>
      <c r="N406">
        <v>0.176402309928955</v>
      </c>
    </row>
    <row r="407" spans="2:14" x14ac:dyDescent="0.25">
      <c r="B407" t="s">
        <v>14</v>
      </c>
      <c r="C407" s="1">
        <v>46065.999988425923</v>
      </c>
      <c r="D407">
        <v>25.155989075303999</v>
      </c>
      <c r="E407">
        <v>101785.527350048</v>
      </c>
      <c r="F407" s="1">
        <v>46065.605474537035</v>
      </c>
      <c r="G407">
        <v>52.876187050186402</v>
      </c>
      <c r="H407" t="s">
        <v>18</v>
      </c>
      <c r="J407" t="s">
        <v>16</v>
      </c>
      <c r="K407">
        <v>577007.90534456098</v>
      </c>
      <c r="L407" t="s">
        <v>17</v>
      </c>
      <c r="M407">
        <v>0</v>
      </c>
      <c r="N407">
        <v>0.176402309928955</v>
      </c>
    </row>
    <row r="408" spans="2:14" x14ac:dyDescent="0.25">
      <c r="B408" t="s">
        <v>14</v>
      </c>
      <c r="C408" s="1">
        <v>46064.999988425923</v>
      </c>
      <c r="D408">
        <v>25.155989075303999</v>
      </c>
      <c r="E408">
        <v>98729.367801536093</v>
      </c>
      <c r="F408" s="1">
        <v>46062.099814814814</v>
      </c>
      <c r="G408">
        <v>52.876187050186402</v>
      </c>
      <c r="H408" t="s">
        <v>18</v>
      </c>
      <c r="J408" t="s">
        <v>16</v>
      </c>
      <c r="K408">
        <v>577007.90534456098</v>
      </c>
      <c r="L408" t="s">
        <v>17</v>
      </c>
      <c r="M408">
        <v>-3056.15954851266</v>
      </c>
      <c r="N408">
        <v>0.17110574549681301</v>
      </c>
    </row>
    <row r="409" spans="2:14" x14ac:dyDescent="0.25">
      <c r="B409" t="s">
        <v>14</v>
      </c>
      <c r="C409" s="1">
        <v>46063.999988425923</v>
      </c>
      <c r="D409">
        <v>25.155989075303999</v>
      </c>
      <c r="E409">
        <v>98729.367801536093</v>
      </c>
      <c r="F409" s="1">
        <v>46062.099814814814</v>
      </c>
      <c r="G409">
        <v>52.876187050186402</v>
      </c>
      <c r="H409" t="s">
        <v>18</v>
      </c>
      <c r="J409" t="s">
        <v>16</v>
      </c>
      <c r="K409">
        <v>577007.90534456098</v>
      </c>
      <c r="L409" t="s">
        <v>17</v>
      </c>
      <c r="M409">
        <v>0</v>
      </c>
      <c r="N409">
        <v>0.17110574549681301</v>
      </c>
    </row>
    <row r="410" spans="2:14" x14ac:dyDescent="0.25">
      <c r="B410" t="s">
        <v>14</v>
      </c>
      <c r="C410" s="1">
        <v>46062.999988425923</v>
      </c>
      <c r="D410">
        <v>25.155989075303999</v>
      </c>
      <c r="E410">
        <v>98729.367801536093</v>
      </c>
      <c r="F410" s="1">
        <v>46062.099814814814</v>
      </c>
      <c r="G410">
        <v>52.876187050186402</v>
      </c>
      <c r="H410" t="s">
        <v>18</v>
      </c>
      <c r="J410" t="s">
        <v>16</v>
      </c>
      <c r="K410">
        <v>577007.90534456098</v>
      </c>
      <c r="L410" t="s">
        <v>17</v>
      </c>
      <c r="M410">
        <v>0</v>
      </c>
      <c r="N410">
        <v>0.17110574549681301</v>
      </c>
    </row>
    <row r="411" spans="2:14" x14ac:dyDescent="0.25">
      <c r="B411" t="s">
        <v>14</v>
      </c>
      <c r="C411" s="1">
        <v>46061.999988425923</v>
      </c>
      <c r="D411">
        <v>25.155989075303999</v>
      </c>
      <c r="E411">
        <v>99945.407491286707</v>
      </c>
      <c r="F411" s="1">
        <v>46059.606296296297</v>
      </c>
      <c r="G411">
        <v>52.876187050186402</v>
      </c>
      <c r="H411" t="s">
        <v>18</v>
      </c>
      <c r="J411" t="s">
        <v>16</v>
      </c>
      <c r="K411">
        <v>577007.90534456098</v>
      </c>
      <c r="L411" t="s">
        <v>17</v>
      </c>
      <c r="M411">
        <v>1216.03968975064</v>
      </c>
      <c r="N411">
        <v>0.17321323774863001</v>
      </c>
    </row>
    <row r="412" spans="2:14" x14ac:dyDescent="0.25">
      <c r="B412" t="s">
        <v>14</v>
      </c>
      <c r="C412" s="1">
        <v>46060.999988425923</v>
      </c>
      <c r="D412">
        <v>25.155989075303999</v>
      </c>
      <c r="E412">
        <v>99945.407491286707</v>
      </c>
      <c r="F412" s="1">
        <v>46059.606296296297</v>
      </c>
      <c r="G412">
        <v>52.876187050186402</v>
      </c>
      <c r="H412" t="s">
        <v>18</v>
      </c>
      <c r="J412" t="s">
        <v>16</v>
      </c>
      <c r="K412">
        <v>577007.90534456098</v>
      </c>
      <c r="L412" t="s">
        <v>17</v>
      </c>
      <c r="M412">
        <v>0</v>
      </c>
      <c r="N412">
        <v>0.17321323774863001</v>
      </c>
    </row>
    <row r="413" spans="2:14" x14ac:dyDescent="0.25">
      <c r="B413" t="s">
        <v>14</v>
      </c>
      <c r="C413" s="1">
        <v>46059.999988425923</v>
      </c>
      <c r="D413">
        <v>25.155989075303999</v>
      </c>
      <c r="E413">
        <v>99945.407491286707</v>
      </c>
      <c r="F413" s="1">
        <v>46059.606296296297</v>
      </c>
      <c r="G413">
        <v>52.876187050186402</v>
      </c>
      <c r="H413" t="s">
        <v>18</v>
      </c>
      <c r="J413" t="s">
        <v>16</v>
      </c>
      <c r="K413">
        <v>577007.90534456098</v>
      </c>
      <c r="L413" t="s">
        <v>17</v>
      </c>
      <c r="M413">
        <v>0</v>
      </c>
      <c r="N413">
        <v>0.17321323774863001</v>
      </c>
    </row>
    <row r="414" spans="2:14" x14ac:dyDescent="0.25">
      <c r="B414" t="s">
        <v>14</v>
      </c>
      <c r="C414" s="1">
        <v>46058.999988425923</v>
      </c>
      <c r="D414">
        <v>25.155989075303999</v>
      </c>
      <c r="E414">
        <v>99179.510704581306</v>
      </c>
      <c r="F414" s="1">
        <v>46056.099097222221</v>
      </c>
      <c r="G414">
        <v>52.876187050186402</v>
      </c>
      <c r="H414" t="s">
        <v>18</v>
      </c>
      <c r="J414" t="s">
        <v>16</v>
      </c>
      <c r="K414">
        <v>577007.90534456098</v>
      </c>
      <c r="L414" t="s">
        <v>17</v>
      </c>
      <c r="M414">
        <v>-765.89678670541605</v>
      </c>
      <c r="N414">
        <v>0.17188587848784501</v>
      </c>
    </row>
    <row r="415" spans="2:14" x14ac:dyDescent="0.25">
      <c r="B415" t="s">
        <v>14</v>
      </c>
      <c r="C415" s="1">
        <v>46057.999988425923</v>
      </c>
      <c r="D415">
        <v>25.155989075303999</v>
      </c>
      <c r="E415">
        <v>99179.510704581306</v>
      </c>
      <c r="F415" s="1">
        <v>46056.099097222221</v>
      </c>
      <c r="G415">
        <v>52.876187050186402</v>
      </c>
      <c r="H415" t="s">
        <v>18</v>
      </c>
      <c r="J415" t="s">
        <v>16</v>
      </c>
      <c r="K415">
        <v>577007.90534456098</v>
      </c>
      <c r="L415" t="s">
        <v>17</v>
      </c>
      <c r="M415">
        <v>0</v>
      </c>
      <c r="N415">
        <v>0.17188587848784501</v>
      </c>
    </row>
    <row r="416" spans="2:14" x14ac:dyDescent="0.25">
      <c r="B416" t="s">
        <v>14</v>
      </c>
      <c r="C416" s="1">
        <v>46056.999988425923</v>
      </c>
      <c r="D416">
        <v>25.155989075303999</v>
      </c>
      <c r="E416">
        <v>99179.510704581306</v>
      </c>
      <c r="F416" s="1">
        <v>46056.099097222221</v>
      </c>
      <c r="G416">
        <v>52.876187050186402</v>
      </c>
      <c r="H416" t="s">
        <v>18</v>
      </c>
      <c r="J416" t="s">
        <v>16</v>
      </c>
      <c r="K416">
        <v>577007.90534456098</v>
      </c>
      <c r="L416" t="s">
        <v>17</v>
      </c>
      <c r="M416">
        <v>0</v>
      </c>
      <c r="N416">
        <v>0.17188587848784501</v>
      </c>
    </row>
    <row r="417" spans="2:14" x14ac:dyDescent="0.25">
      <c r="B417" t="s">
        <v>14</v>
      </c>
      <c r="C417" s="1">
        <v>46055.999988425923</v>
      </c>
      <c r="D417">
        <v>25.155989075303999</v>
      </c>
      <c r="E417">
        <v>99605.434367733702</v>
      </c>
      <c r="F417" s="1">
        <v>46053.605474537035</v>
      </c>
      <c r="G417">
        <v>52.876187050186402</v>
      </c>
      <c r="H417" t="s">
        <v>18</v>
      </c>
      <c r="J417" t="s">
        <v>16</v>
      </c>
      <c r="K417">
        <v>577007.90534456098</v>
      </c>
      <c r="L417" t="s">
        <v>17</v>
      </c>
      <c r="M417">
        <v>425.92366315238098</v>
      </c>
      <c r="N417">
        <v>0.172624037634725</v>
      </c>
    </row>
    <row r="418" spans="2:14" x14ac:dyDescent="0.25">
      <c r="B418" t="s">
        <v>14</v>
      </c>
      <c r="C418" s="1">
        <v>46054.999988425923</v>
      </c>
      <c r="D418">
        <v>25.155989075303999</v>
      </c>
      <c r="E418">
        <v>99605.434367733702</v>
      </c>
      <c r="F418" s="1">
        <v>46053.605474537035</v>
      </c>
      <c r="G418">
        <v>52.876187050186402</v>
      </c>
      <c r="H418" t="s">
        <v>18</v>
      </c>
      <c r="J418" t="s">
        <v>16</v>
      </c>
      <c r="K418">
        <v>577007.90534456098</v>
      </c>
      <c r="L418" t="s">
        <v>17</v>
      </c>
      <c r="M418">
        <v>0</v>
      </c>
      <c r="N418">
        <v>0.172624037634725</v>
      </c>
    </row>
    <row r="419" spans="2:14" x14ac:dyDescent="0.25">
      <c r="B419" t="s">
        <v>14</v>
      </c>
      <c r="C419" s="1">
        <v>46053.999988425923</v>
      </c>
      <c r="D419">
        <v>25.155989075303999</v>
      </c>
      <c r="E419">
        <v>99605.434367733702</v>
      </c>
      <c r="F419" s="1">
        <v>46053.605474537035</v>
      </c>
      <c r="G419">
        <v>52.876187050186402</v>
      </c>
      <c r="H419" t="s">
        <v>18</v>
      </c>
      <c r="J419" t="s">
        <v>16</v>
      </c>
      <c r="K419">
        <v>577007.90534456098</v>
      </c>
      <c r="L419" t="s">
        <v>17</v>
      </c>
      <c r="M419">
        <v>0</v>
      </c>
      <c r="N419">
        <v>0.172624037634725</v>
      </c>
    </row>
    <row r="420" spans="2:14" x14ac:dyDescent="0.25">
      <c r="B420" t="s">
        <v>14</v>
      </c>
      <c r="C420" s="1">
        <v>46052.999988425923</v>
      </c>
      <c r="D420">
        <v>25.155989075303999</v>
      </c>
      <c r="E420">
        <v>99656.162501821003</v>
      </c>
      <c r="F420" s="1">
        <v>46050.099814814814</v>
      </c>
      <c r="G420">
        <v>52.876187050186402</v>
      </c>
      <c r="H420" t="s">
        <v>18</v>
      </c>
      <c r="J420" t="s">
        <v>16</v>
      </c>
      <c r="K420">
        <v>577007.90534456098</v>
      </c>
      <c r="L420" t="s">
        <v>17</v>
      </c>
      <c r="M420">
        <v>50.728134087286797</v>
      </c>
      <c r="N420">
        <v>0.17271195347368901</v>
      </c>
    </row>
    <row r="421" spans="2:14" x14ac:dyDescent="0.25">
      <c r="B421" t="s">
        <v>14</v>
      </c>
      <c r="C421" s="1">
        <v>46051.999988425923</v>
      </c>
      <c r="D421">
        <v>25.155989075303999</v>
      </c>
      <c r="E421">
        <v>99656.162501821003</v>
      </c>
      <c r="F421" s="1">
        <v>46050.099814814814</v>
      </c>
      <c r="G421">
        <v>52.876187050186402</v>
      </c>
      <c r="H421" t="s">
        <v>18</v>
      </c>
      <c r="J421" t="s">
        <v>16</v>
      </c>
      <c r="K421">
        <v>577007.90534456098</v>
      </c>
      <c r="L421" t="s">
        <v>17</v>
      </c>
      <c r="M421">
        <v>0</v>
      </c>
      <c r="N421">
        <v>0.17271195347368901</v>
      </c>
    </row>
    <row r="422" spans="2:14" x14ac:dyDescent="0.25">
      <c r="B422" t="s">
        <v>14</v>
      </c>
      <c r="C422" s="1">
        <v>46050.999988425923</v>
      </c>
      <c r="D422">
        <v>25.155989075303999</v>
      </c>
      <c r="E422">
        <v>99656.162501821003</v>
      </c>
      <c r="F422" s="1">
        <v>46050.099814814814</v>
      </c>
      <c r="G422">
        <v>52.876187050186402</v>
      </c>
      <c r="H422" t="s">
        <v>18</v>
      </c>
      <c r="J422" t="s">
        <v>16</v>
      </c>
      <c r="K422">
        <v>577007.90534456098</v>
      </c>
      <c r="L422" t="s">
        <v>17</v>
      </c>
      <c r="M422">
        <v>0</v>
      </c>
      <c r="N422">
        <v>0.17271195347368901</v>
      </c>
    </row>
    <row r="423" spans="2:14" x14ac:dyDescent="0.25">
      <c r="B423" t="s">
        <v>14</v>
      </c>
      <c r="C423" s="1">
        <v>46049.999988425923</v>
      </c>
      <c r="D423">
        <v>25.155989075303999</v>
      </c>
      <c r="E423">
        <v>105666.142838239</v>
      </c>
      <c r="F423" s="1">
        <v>46047.606307870374</v>
      </c>
      <c r="G423">
        <v>52.876187050186402</v>
      </c>
      <c r="H423" t="s">
        <v>18</v>
      </c>
      <c r="J423" t="s">
        <v>16</v>
      </c>
      <c r="K423">
        <v>577007.90534456098</v>
      </c>
      <c r="L423" t="s">
        <v>17</v>
      </c>
      <c r="M423">
        <v>6009.9803364181998</v>
      </c>
      <c r="N423">
        <v>0.183127721231376</v>
      </c>
    </row>
    <row r="424" spans="2:14" x14ac:dyDescent="0.25">
      <c r="B424" t="s">
        <v>14</v>
      </c>
      <c r="C424" s="1">
        <v>46048.999988425923</v>
      </c>
      <c r="D424">
        <v>25.155989075303999</v>
      </c>
      <c r="E424">
        <v>105666.142838239</v>
      </c>
      <c r="F424" s="1">
        <v>46047.606307870374</v>
      </c>
      <c r="G424">
        <v>52.876187050186402</v>
      </c>
      <c r="H424" t="s">
        <v>18</v>
      </c>
      <c r="J424" t="s">
        <v>16</v>
      </c>
      <c r="K424">
        <v>577007.90534456098</v>
      </c>
      <c r="L424" t="s">
        <v>17</v>
      </c>
      <c r="M424">
        <v>0</v>
      </c>
      <c r="N424">
        <v>0.183127721231376</v>
      </c>
    </row>
    <row r="425" spans="2:14" x14ac:dyDescent="0.25">
      <c r="B425" t="s">
        <v>14</v>
      </c>
      <c r="C425" s="1">
        <v>46047.999988425923</v>
      </c>
      <c r="D425">
        <v>25.155989075303999</v>
      </c>
      <c r="E425">
        <v>105666.142838239</v>
      </c>
      <c r="F425" s="1">
        <v>46047.606307870374</v>
      </c>
      <c r="G425">
        <v>52.876187050186402</v>
      </c>
      <c r="H425" t="s">
        <v>18</v>
      </c>
      <c r="J425" t="s">
        <v>16</v>
      </c>
      <c r="K425">
        <v>577007.90534456098</v>
      </c>
      <c r="L425" t="s">
        <v>17</v>
      </c>
      <c r="M425">
        <v>0</v>
      </c>
      <c r="N425">
        <v>0.183127721231376</v>
      </c>
    </row>
    <row r="426" spans="2:14" x14ac:dyDescent="0.25">
      <c r="B426" t="s">
        <v>14</v>
      </c>
      <c r="C426" s="1">
        <v>46046.999988425923</v>
      </c>
      <c r="D426">
        <v>25.155989075303999</v>
      </c>
      <c r="E426">
        <v>94681.602615446594</v>
      </c>
      <c r="F426" s="1">
        <v>46041.605486111112</v>
      </c>
      <c r="G426">
        <v>52.876187050186402</v>
      </c>
      <c r="H426" t="s">
        <v>18</v>
      </c>
      <c r="J426" t="s">
        <v>16</v>
      </c>
      <c r="K426">
        <v>577007.90534456098</v>
      </c>
      <c r="L426" t="s">
        <v>17</v>
      </c>
      <c r="M426">
        <v>-10984.540222792501</v>
      </c>
      <c r="N426">
        <v>0.16409065064525799</v>
      </c>
    </row>
    <row r="427" spans="2:14" x14ac:dyDescent="0.25">
      <c r="B427" t="s">
        <v>14</v>
      </c>
      <c r="C427" s="1">
        <v>46045.999988425923</v>
      </c>
      <c r="D427">
        <v>25.155989075303999</v>
      </c>
      <c r="E427">
        <v>94681.602615446594</v>
      </c>
      <c r="F427" s="1">
        <v>46041.605486111112</v>
      </c>
      <c r="G427">
        <v>52.876187050186402</v>
      </c>
      <c r="H427" t="s">
        <v>18</v>
      </c>
      <c r="J427" t="s">
        <v>16</v>
      </c>
      <c r="K427">
        <v>577007.90534456098</v>
      </c>
      <c r="L427" t="s">
        <v>17</v>
      </c>
      <c r="M427">
        <v>0</v>
      </c>
      <c r="N427">
        <v>0.16409065064525799</v>
      </c>
    </row>
    <row r="428" spans="2:14" x14ac:dyDescent="0.25">
      <c r="B428" t="s">
        <v>14</v>
      </c>
      <c r="C428" s="1">
        <v>46044.999988425923</v>
      </c>
      <c r="D428">
        <v>25.155989075303999</v>
      </c>
      <c r="E428">
        <v>94681.602615446594</v>
      </c>
      <c r="F428" s="1">
        <v>46041.605486111112</v>
      </c>
      <c r="G428">
        <v>52.876187050186402</v>
      </c>
      <c r="H428" t="s">
        <v>18</v>
      </c>
      <c r="J428" t="s">
        <v>16</v>
      </c>
      <c r="K428">
        <v>577007.90534456098</v>
      </c>
      <c r="L428" t="s">
        <v>17</v>
      </c>
      <c r="M428">
        <v>0</v>
      </c>
      <c r="N428">
        <v>0.16409065064525799</v>
      </c>
    </row>
    <row r="429" spans="2:14" x14ac:dyDescent="0.25">
      <c r="B429" t="s">
        <v>14</v>
      </c>
      <c r="C429" s="1">
        <v>46043.999988425923</v>
      </c>
      <c r="D429">
        <v>25.155989075303999</v>
      </c>
      <c r="E429">
        <v>94681.602615446594</v>
      </c>
      <c r="F429" s="1">
        <v>46041.605486111112</v>
      </c>
      <c r="G429">
        <v>52.876187050186402</v>
      </c>
      <c r="H429" t="s">
        <v>18</v>
      </c>
      <c r="J429" t="s">
        <v>16</v>
      </c>
      <c r="K429">
        <v>577007.90534456098</v>
      </c>
      <c r="L429" t="s">
        <v>17</v>
      </c>
      <c r="M429">
        <v>0</v>
      </c>
      <c r="N429">
        <v>0.16409065064525799</v>
      </c>
    </row>
    <row r="430" spans="2:14" x14ac:dyDescent="0.25">
      <c r="B430" t="s">
        <v>14</v>
      </c>
      <c r="C430" s="1">
        <v>46042.999988425923</v>
      </c>
      <c r="D430">
        <v>25.155989075303999</v>
      </c>
      <c r="E430">
        <v>94681.602615446594</v>
      </c>
      <c r="F430" s="1">
        <v>46041.605486111112</v>
      </c>
      <c r="G430">
        <v>52.876187050186402</v>
      </c>
      <c r="H430" t="s">
        <v>18</v>
      </c>
      <c r="J430" t="s">
        <v>16</v>
      </c>
      <c r="K430">
        <v>577007.90534456098</v>
      </c>
      <c r="L430" t="s">
        <v>17</v>
      </c>
      <c r="M430">
        <v>0</v>
      </c>
      <c r="N430">
        <v>0.16409065064525799</v>
      </c>
    </row>
    <row r="431" spans="2:14" x14ac:dyDescent="0.25">
      <c r="B431" t="s">
        <v>14</v>
      </c>
      <c r="C431" s="1">
        <v>46041.999988425923</v>
      </c>
      <c r="D431">
        <v>25.155989075303999</v>
      </c>
      <c r="E431">
        <v>94681.602615446594</v>
      </c>
      <c r="F431" s="1">
        <v>46041.605486111112</v>
      </c>
      <c r="G431">
        <v>52.876187050186402</v>
      </c>
      <c r="H431" t="s">
        <v>18</v>
      </c>
      <c r="J431" t="s">
        <v>16</v>
      </c>
      <c r="K431">
        <v>577007.90534456098</v>
      </c>
      <c r="L431" t="s">
        <v>17</v>
      </c>
      <c r="M431">
        <v>0</v>
      </c>
      <c r="N431">
        <v>0.16409065064525799</v>
      </c>
    </row>
    <row r="432" spans="2:14" x14ac:dyDescent="0.25">
      <c r="B432" t="s">
        <v>14</v>
      </c>
      <c r="C432" s="1">
        <v>46040.999988425923</v>
      </c>
      <c r="D432">
        <v>25.155989075303999</v>
      </c>
      <c r="E432">
        <v>98575.604825329996</v>
      </c>
      <c r="F432" s="1">
        <v>46038.099826388891</v>
      </c>
      <c r="G432">
        <v>52.876187050186402</v>
      </c>
      <c r="H432" t="s">
        <v>18</v>
      </c>
      <c r="J432" t="s">
        <v>16</v>
      </c>
      <c r="K432">
        <v>577007.90534456098</v>
      </c>
      <c r="L432" t="s">
        <v>17</v>
      </c>
      <c r="M432">
        <v>3894.0022098834702</v>
      </c>
      <c r="N432">
        <v>0.17083926218734399</v>
      </c>
    </row>
    <row r="433" spans="2:14" x14ac:dyDescent="0.25">
      <c r="B433" t="s">
        <v>14</v>
      </c>
      <c r="C433" s="1">
        <v>46039.999988425923</v>
      </c>
      <c r="D433">
        <v>25.155989075303999</v>
      </c>
      <c r="E433">
        <v>98575.604825329996</v>
      </c>
      <c r="F433" s="1">
        <v>46038.099826388891</v>
      </c>
      <c r="G433">
        <v>52.876187050186402</v>
      </c>
      <c r="H433" t="s">
        <v>18</v>
      </c>
      <c r="J433" t="s">
        <v>16</v>
      </c>
      <c r="K433">
        <v>577007.90534456098</v>
      </c>
      <c r="L433" t="s">
        <v>17</v>
      </c>
      <c r="M433">
        <v>0</v>
      </c>
      <c r="N433">
        <v>0.17083926218734399</v>
      </c>
    </row>
    <row r="434" spans="2:14" x14ac:dyDescent="0.25">
      <c r="B434" t="s">
        <v>14</v>
      </c>
      <c r="C434" s="1">
        <v>46038.999988425923</v>
      </c>
      <c r="D434">
        <v>25.155989075303999</v>
      </c>
      <c r="E434">
        <v>98575.604825329996</v>
      </c>
      <c r="F434" s="1">
        <v>46038.099826388891</v>
      </c>
      <c r="G434">
        <v>52.876187050186402</v>
      </c>
      <c r="H434" t="s">
        <v>18</v>
      </c>
      <c r="J434" t="s">
        <v>16</v>
      </c>
      <c r="K434">
        <v>577007.90534456098</v>
      </c>
      <c r="L434" t="s">
        <v>17</v>
      </c>
      <c r="M434">
        <v>0</v>
      </c>
      <c r="N434">
        <v>0.17083926218734399</v>
      </c>
    </row>
    <row r="435" spans="2:14" x14ac:dyDescent="0.25">
      <c r="B435" t="s">
        <v>14</v>
      </c>
      <c r="C435" s="1">
        <v>46037.999988425923</v>
      </c>
      <c r="D435">
        <v>25.155989075303999</v>
      </c>
      <c r="E435">
        <v>101436.24617348</v>
      </c>
      <c r="F435" s="1">
        <v>46035.606319444443</v>
      </c>
      <c r="G435">
        <v>52.876187050186402</v>
      </c>
      <c r="H435" t="s">
        <v>18</v>
      </c>
      <c r="J435" t="s">
        <v>16</v>
      </c>
      <c r="K435">
        <v>577007.90534456098</v>
      </c>
      <c r="L435" t="s">
        <v>17</v>
      </c>
      <c r="M435">
        <v>2860.6413481506702</v>
      </c>
      <c r="N435">
        <v>0.175796978228414</v>
      </c>
    </row>
    <row r="436" spans="2:14" x14ac:dyDescent="0.25">
      <c r="B436" t="s">
        <v>14</v>
      </c>
      <c r="C436" s="1">
        <v>46036.999988425923</v>
      </c>
      <c r="D436">
        <v>25.155989075303999</v>
      </c>
      <c r="E436">
        <v>101436.24617348</v>
      </c>
      <c r="F436" s="1">
        <v>46035.606319444443</v>
      </c>
      <c r="G436">
        <v>52.876187050186402</v>
      </c>
      <c r="H436" t="s">
        <v>18</v>
      </c>
      <c r="J436" t="s">
        <v>16</v>
      </c>
      <c r="K436">
        <v>577007.90534456098</v>
      </c>
      <c r="L436" t="s">
        <v>17</v>
      </c>
      <c r="M436">
        <v>0</v>
      </c>
      <c r="N436">
        <v>0.175796978228414</v>
      </c>
    </row>
    <row r="437" spans="2:14" x14ac:dyDescent="0.25">
      <c r="B437" t="s">
        <v>14</v>
      </c>
      <c r="C437" s="1">
        <v>46035.999988425923</v>
      </c>
      <c r="D437">
        <v>25.155989075303999</v>
      </c>
      <c r="E437">
        <v>101436.24617348</v>
      </c>
      <c r="F437" s="1">
        <v>46035.606319444443</v>
      </c>
      <c r="G437">
        <v>52.876187050186402</v>
      </c>
      <c r="H437" t="s">
        <v>18</v>
      </c>
      <c r="J437" t="s">
        <v>16</v>
      </c>
      <c r="K437">
        <v>577007.90534456098</v>
      </c>
      <c r="L437" t="s">
        <v>17</v>
      </c>
      <c r="M437">
        <v>0</v>
      </c>
      <c r="N437">
        <v>0.175796978228414</v>
      </c>
    </row>
    <row r="438" spans="2:14" x14ac:dyDescent="0.25">
      <c r="B438" t="s">
        <v>14</v>
      </c>
      <c r="C438" s="1">
        <v>46034.999988425923</v>
      </c>
      <c r="D438">
        <v>25.155989075303999</v>
      </c>
      <c r="E438">
        <v>98723.524104346405</v>
      </c>
      <c r="F438" s="1">
        <v>46032.099108796298</v>
      </c>
      <c r="G438">
        <v>52.876187050186402</v>
      </c>
      <c r="H438" t="s">
        <v>18</v>
      </c>
      <c r="J438" t="s">
        <v>16</v>
      </c>
      <c r="K438">
        <v>577007.90534456098</v>
      </c>
      <c r="L438" t="s">
        <v>17</v>
      </c>
      <c r="M438">
        <v>-2712.72206913429</v>
      </c>
      <c r="N438">
        <v>0.17109561791080399</v>
      </c>
    </row>
    <row r="439" spans="2:14" x14ac:dyDescent="0.25">
      <c r="B439" t="s">
        <v>14</v>
      </c>
      <c r="C439" s="1">
        <v>46033.999988425923</v>
      </c>
      <c r="D439">
        <v>25.155989075303999</v>
      </c>
      <c r="E439">
        <v>98723.524104346405</v>
      </c>
      <c r="F439" s="1">
        <v>46032.099108796298</v>
      </c>
      <c r="G439">
        <v>52.876187050186402</v>
      </c>
      <c r="H439" t="s">
        <v>18</v>
      </c>
      <c r="J439" t="s">
        <v>16</v>
      </c>
      <c r="K439">
        <v>577007.90534456098</v>
      </c>
      <c r="L439" t="s">
        <v>17</v>
      </c>
      <c r="M439">
        <v>0</v>
      </c>
      <c r="N439">
        <v>0.17109561791080399</v>
      </c>
    </row>
    <row r="440" spans="2:14" x14ac:dyDescent="0.25">
      <c r="B440" t="s">
        <v>14</v>
      </c>
      <c r="C440" s="1">
        <v>46032.999988425923</v>
      </c>
      <c r="D440">
        <v>25.155989075303999</v>
      </c>
      <c r="E440">
        <v>98723.524104346405</v>
      </c>
      <c r="F440" s="1">
        <v>46032.099108796298</v>
      </c>
      <c r="G440">
        <v>52.876187050186402</v>
      </c>
      <c r="H440" t="s">
        <v>18</v>
      </c>
      <c r="J440" t="s">
        <v>16</v>
      </c>
      <c r="K440">
        <v>577007.90534456098</v>
      </c>
      <c r="L440" t="s">
        <v>17</v>
      </c>
      <c r="M440">
        <v>0</v>
      </c>
      <c r="N440">
        <v>0.17109561791080399</v>
      </c>
    </row>
    <row r="441" spans="2:14" x14ac:dyDescent="0.25">
      <c r="B441" t="s">
        <v>14</v>
      </c>
      <c r="C441" s="1">
        <v>46031.999988425923</v>
      </c>
      <c r="D441">
        <v>25.155989075303999</v>
      </c>
      <c r="E441">
        <v>95181.6610058019</v>
      </c>
      <c r="F441" s="1">
        <v>46029.605486111112</v>
      </c>
      <c r="G441">
        <v>52.876187050186402</v>
      </c>
      <c r="H441" t="s">
        <v>18</v>
      </c>
      <c r="J441" t="s">
        <v>16</v>
      </c>
      <c r="K441">
        <v>577007.90534456098</v>
      </c>
      <c r="L441" t="s">
        <v>17</v>
      </c>
      <c r="M441">
        <v>-3541.8630985445302</v>
      </c>
      <c r="N441">
        <v>0.16495729109458901</v>
      </c>
    </row>
    <row r="442" spans="2:14" x14ac:dyDescent="0.25">
      <c r="B442" t="s">
        <v>14</v>
      </c>
      <c r="C442" s="1">
        <v>46030.999988425923</v>
      </c>
      <c r="D442">
        <v>25.155989075303999</v>
      </c>
      <c r="E442">
        <v>95181.6610058019</v>
      </c>
      <c r="F442" s="1">
        <v>46029.605486111112</v>
      </c>
      <c r="G442">
        <v>52.876187050186402</v>
      </c>
      <c r="H442" t="s">
        <v>18</v>
      </c>
      <c r="J442" t="s">
        <v>16</v>
      </c>
      <c r="K442">
        <v>577007.90534456098</v>
      </c>
      <c r="L442" t="s">
        <v>17</v>
      </c>
      <c r="M442">
        <v>0</v>
      </c>
      <c r="N442">
        <v>0.16495729109458901</v>
      </c>
    </row>
    <row r="443" spans="2:14" x14ac:dyDescent="0.25">
      <c r="B443" t="s">
        <v>14</v>
      </c>
      <c r="C443" s="1">
        <v>46029.999988425923</v>
      </c>
      <c r="D443">
        <v>25.155989075303999</v>
      </c>
      <c r="E443">
        <v>95181.6610058019</v>
      </c>
      <c r="F443" s="1">
        <v>46029.605486111112</v>
      </c>
      <c r="G443">
        <v>52.876187050186402</v>
      </c>
      <c r="H443" t="s">
        <v>18</v>
      </c>
      <c r="J443" t="s">
        <v>16</v>
      </c>
      <c r="K443">
        <v>577007.90534456098</v>
      </c>
      <c r="L443" t="s">
        <v>17</v>
      </c>
      <c r="M443">
        <v>0</v>
      </c>
      <c r="N443">
        <v>0.16495729109458901</v>
      </c>
    </row>
    <row r="444" spans="2:14" x14ac:dyDescent="0.25">
      <c r="B444" t="s">
        <v>14</v>
      </c>
      <c r="C444" s="1">
        <v>46028.999988425923</v>
      </c>
      <c r="D444">
        <v>25.155989075303999</v>
      </c>
      <c r="E444">
        <v>99167.275988308902</v>
      </c>
      <c r="F444" s="1">
        <v>46026.09983796296</v>
      </c>
      <c r="G444">
        <v>52.876187050186402</v>
      </c>
      <c r="H444" t="s">
        <v>18</v>
      </c>
      <c r="J444" t="s">
        <v>16</v>
      </c>
      <c r="K444">
        <v>577007.90534456098</v>
      </c>
      <c r="L444" t="s">
        <v>17</v>
      </c>
      <c r="M444">
        <v>3985.6149825070102</v>
      </c>
      <c r="N444">
        <v>0.17186467476401501</v>
      </c>
    </row>
    <row r="445" spans="2:14" x14ac:dyDescent="0.25">
      <c r="B445" t="s">
        <v>14</v>
      </c>
      <c r="C445" s="1">
        <v>46027.999988425923</v>
      </c>
      <c r="D445">
        <v>25.155989075303999</v>
      </c>
      <c r="E445">
        <v>99167.275988308902</v>
      </c>
      <c r="F445" s="1">
        <v>46026.09983796296</v>
      </c>
      <c r="G445">
        <v>52.876187050186402</v>
      </c>
      <c r="H445" t="s">
        <v>18</v>
      </c>
      <c r="J445" t="s">
        <v>16</v>
      </c>
      <c r="K445">
        <v>577007.90534456098</v>
      </c>
      <c r="L445" t="s">
        <v>17</v>
      </c>
      <c r="M445">
        <v>0</v>
      </c>
      <c r="N445">
        <v>0.17186467476401501</v>
      </c>
    </row>
    <row r="446" spans="2:14" x14ac:dyDescent="0.25">
      <c r="B446" t="s">
        <v>14</v>
      </c>
      <c r="C446" s="1">
        <v>46026.999988425923</v>
      </c>
      <c r="D446">
        <v>25.155989075303999</v>
      </c>
      <c r="E446">
        <v>99167.275988308902</v>
      </c>
      <c r="F446" s="1">
        <v>46026.09983796296</v>
      </c>
      <c r="G446">
        <v>52.876187050186402</v>
      </c>
      <c r="H446" t="s">
        <v>18</v>
      </c>
      <c r="J446" t="s">
        <v>16</v>
      </c>
      <c r="K446">
        <v>577007.90534456098</v>
      </c>
      <c r="L446" t="s">
        <v>17</v>
      </c>
      <c r="M446">
        <v>0</v>
      </c>
      <c r="N446">
        <v>0.17186467476401501</v>
      </c>
    </row>
    <row r="447" spans="2:14" x14ac:dyDescent="0.25">
      <c r="B447" t="s">
        <v>14</v>
      </c>
      <c r="C447" s="1">
        <v>46025.999988425923</v>
      </c>
      <c r="D447">
        <v>25.155989075303999</v>
      </c>
      <c r="E447">
        <v>104933.44965239</v>
      </c>
      <c r="F447" s="1">
        <v>46023.60633101852</v>
      </c>
      <c r="G447">
        <v>52.876187050186402</v>
      </c>
      <c r="H447" t="s">
        <v>18</v>
      </c>
      <c r="J447" t="s">
        <v>16</v>
      </c>
      <c r="K447">
        <v>577007.90534456098</v>
      </c>
      <c r="L447" t="s">
        <v>17</v>
      </c>
      <c r="M447">
        <v>5766.1736640816598</v>
      </c>
      <c r="N447">
        <v>0.18185790641764099</v>
      </c>
    </row>
    <row r="448" spans="2:14" x14ac:dyDescent="0.25">
      <c r="B448" t="s">
        <v>14</v>
      </c>
      <c r="C448" s="1">
        <v>46024.999988425923</v>
      </c>
      <c r="D448">
        <v>25.155989075303999</v>
      </c>
      <c r="E448">
        <v>104933.44965239</v>
      </c>
      <c r="F448" s="1">
        <v>46023.60633101852</v>
      </c>
      <c r="G448">
        <v>52.876187050186402</v>
      </c>
      <c r="H448" t="s">
        <v>18</v>
      </c>
      <c r="J448" t="s">
        <v>16</v>
      </c>
      <c r="K448">
        <v>577007.90534456098</v>
      </c>
      <c r="L448" t="s">
        <v>17</v>
      </c>
      <c r="M448">
        <v>0</v>
      </c>
      <c r="N448">
        <v>0.18185790641764099</v>
      </c>
    </row>
    <row r="449" spans="2:14" x14ac:dyDescent="0.25">
      <c r="B449" t="s">
        <v>14</v>
      </c>
      <c r="C449" s="1">
        <v>46023.999988425923</v>
      </c>
      <c r="D449">
        <v>25.155989075303999</v>
      </c>
      <c r="E449">
        <v>104933.44965239</v>
      </c>
      <c r="F449" s="1">
        <v>46023.60633101852</v>
      </c>
      <c r="G449">
        <v>52.876187050186402</v>
      </c>
      <c r="H449" t="s">
        <v>18</v>
      </c>
      <c r="J449" t="s">
        <v>16</v>
      </c>
      <c r="K449">
        <v>577007.90534456098</v>
      </c>
      <c r="L449" t="s">
        <v>17</v>
      </c>
      <c r="M449">
        <v>0</v>
      </c>
      <c r="N449">
        <v>0.18185790641764099</v>
      </c>
    </row>
    <row r="450" spans="2:14" x14ac:dyDescent="0.25">
      <c r="B450" t="s">
        <v>14</v>
      </c>
      <c r="C450" s="1">
        <v>46246.999988425923</v>
      </c>
      <c r="D450">
        <v>25.1559029588411</v>
      </c>
      <c r="E450">
        <v>482553.72928809101</v>
      </c>
      <c r="F450" s="1">
        <v>46246.605821759258</v>
      </c>
      <c r="G450">
        <v>52.874696510322202</v>
      </c>
      <c r="H450" t="s">
        <v>19</v>
      </c>
      <c r="J450" t="s">
        <v>16</v>
      </c>
      <c r="K450">
        <v>517686.062074052</v>
      </c>
      <c r="L450" t="s">
        <v>17</v>
      </c>
      <c r="M450">
        <v>0</v>
      </c>
      <c r="N450">
        <v>0.93213583412849399</v>
      </c>
    </row>
    <row r="451" spans="2:14" x14ac:dyDescent="0.25">
      <c r="B451" t="s">
        <v>14</v>
      </c>
      <c r="C451" s="1">
        <v>46245.999988425923</v>
      </c>
      <c r="D451">
        <v>25.1559029588411</v>
      </c>
      <c r="E451">
        <v>362605.85159681097</v>
      </c>
      <c r="F451" s="1">
        <v>46243.09915509259</v>
      </c>
      <c r="G451">
        <v>52.874696510322202</v>
      </c>
      <c r="H451" t="s">
        <v>19</v>
      </c>
      <c r="J451" t="s">
        <v>16</v>
      </c>
      <c r="K451">
        <v>517686.062074052</v>
      </c>
      <c r="L451" t="s">
        <v>17</v>
      </c>
      <c r="M451">
        <v>-119947.87769127999</v>
      </c>
      <c r="N451">
        <v>0.700435801080042</v>
      </c>
    </row>
    <row r="452" spans="2:14" x14ac:dyDescent="0.25">
      <c r="B452" t="s">
        <v>14</v>
      </c>
      <c r="C452" s="1">
        <v>46244.999988425923</v>
      </c>
      <c r="D452">
        <v>25.1559029588411</v>
      </c>
      <c r="E452">
        <v>362605.85159681097</v>
      </c>
      <c r="F452" s="1">
        <v>46243.09915509259</v>
      </c>
      <c r="G452">
        <v>52.874696510322202</v>
      </c>
      <c r="H452" t="s">
        <v>19</v>
      </c>
      <c r="J452" t="s">
        <v>16</v>
      </c>
      <c r="K452">
        <v>517686.062074052</v>
      </c>
      <c r="L452" t="s">
        <v>17</v>
      </c>
      <c r="M452">
        <v>0</v>
      </c>
      <c r="N452">
        <v>0.700435801080042</v>
      </c>
    </row>
    <row r="453" spans="2:14" x14ac:dyDescent="0.25">
      <c r="B453" t="s">
        <v>14</v>
      </c>
      <c r="C453" s="1">
        <v>46243.999988425923</v>
      </c>
      <c r="D453">
        <v>25.1559029588411</v>
      </c>
      <c r="E453">
        <v>362605.85159681097</v>
      </c>
      <c r="F453" s="1">
        <v>46243.09915509259</v>
      </c>
      <c r="G453">
        <v>52.874696510322202</v>
      </c>
      <c r="H453" t="s">
        <v>19</v>
      </c>
      <c r="J453" t="s">
        <v>16</v>
      </c>
      <c r="K453">
        <v>517686.062074052</v>
      </c>
      <c r="L453" t="s">
        <v>17</v>
      </c>
      <c r="M453">
        <v>0</v>
      </c>
      <c r="N453">
        <v>0.700435801080042</v>
      </c>
    </row>
    <row r="454" spans="2:14" x14ac:dyDescent="0.25">
      <c r="B454" t="s">
        <v>14</v>
      </c>
      <c r="C454" s="1">
        <v>46242.999988425923</v>
      </c>
      <c r="D454">
        <v>25.1559029588411</v>
      </c>
      <c r="E454">
        <v>312999.13417359302</v>
      </c>
      <c r="F454" s="1">
        <v>46240.605520833335</v>
      </c>
      <c r="G454">
        <v>52.874696510322202</v>
      </c>
      <c r="H454" t="s">
        <v>19</v>
      </c>
      <c r="J454" t="s">
        <v>16</v>
      </c>
      <c r="K454">
        <v>517686.062074052</v>
      </c>
      <c r="L454" t="s">
        <v>17</v>
      </c>
      <c r="M454">
        <v>-49606.717423217902</v>
      </c>
      <c r="N454">
        <v>0.60461186248591803</v>
      </c>
    </row>
    <row r="455" spans="2:14" x14ac:dyDescent="0.25">
      <c r="B455" t="s">
        <v>14</v>
      </c>
      <c r="C455" s="1">
        <v>46241.999988425923</v>
      </c>
      <c r="D455">
        <v>25.1559029588411</v>
      </c>
      <c r="E455">
        <v>312999.13417359302</v>
      </c>
      <c r="F455" s="1">
        <v>46240.605520833335</v>
      </c>
      <c r="G455">
        <v>52.874696510322202</v>
      </c>
      <c r="H455" t="s">
        <v>19</v>
      </c>
      <c r="J455" t="s">
        <v>16</v>
      </c>
      <c r="K455">
        <v>517686.062074052</v>
      </c>
      <c r="L455" t="s">
        <v>17</v>
      </c>
      <c r="M455">
        <v>0</v>
      </c>
      <c r="N455">
        <v>0.60461186248591803</v>
      </c>
    </row>
    <row r="456" spans="2:14" x14ac:dyDescent="0.25">
      <c r="B456" t="s">
        <v>14</v>
      </c>
      <c r="C456" s="1">
        <v>46240.999988425923</v>
      </c>
      <c r="D456">
        <v>25.1559029588411</v>
      </c>
      <c r="E456">
        <v>312999.13417359302</v>
      </c>
      <c r="F456" s="1">
        <v>46240.605520833335</v>
      </c>
      <c r="G456">
        <v>52.874696510322202</v>
      </c>
      <c r="H456" t="s">
        <v>19</v>
      </c>
      <c r="J456" t="s">
        <v>16</v>
      </c>
      <c r="K456">
        <v>517686.062074052</v>
      </c>
      <c r="L456" t="s">
        <v>17</v>
      </c>
      <c r="M456">
        <v>0</v>
      </c>
      <c r="N456">
        <v>0.60461186248591803</v>
      </c>
    </row>
    <row r="457" spans="2:14" x14ac:dyDescent="0.25">
      <c r="B457" t="s">
        <v>14</v>
      </c>
      <c r="C457" s="1">
        <v>46239.999988425923</v>
      </c>
      <c r="D457">
        <v>25.1559029588411</v>
      </c>
      <c r="E457">
        <v>136852.90054717401</v>
      </c>
      <c r="F457" s="1">
        <v>46237.099328703705</v>
      </c>
      <c r="G457">
        <v>52.874696510322202</v>
      </c>
      <c r="H457" t="s">
        <v>19</v>
      </c>
      <c r="J457" t="s">
        <v>16</v>
      </c>
      <c r="K457">
        <v>517686.062074052</v>
      </c>
      <c r="L457" t="s">
        <v>17</v>
      </c>
      <c r="M457">
        <v>-176146.23362641799</v>
      </c>
      <c r="N457">
        <v>0.264355003105335</v>
      </c>
    </row>
    <row r="458" spans="2:14" x14ac:dyDescent="0.25">
      <c r="B458" t="s">
        <v>14</v>
      </c>
      <c r="C458" s="1">
        <v>46238.999988425923</v>
      </c>
      <c r="D458">
        <v>25.1559029588411</v>
      </c>
      <c r="E458">
        <v>136852.90054717401</v>
      </c>
      <c r="F458" s="1">
        <v>46237.099328703705</v>
      </c>
      <c r="G458">
        <v>52.874696510322202</v>
      </c>
      <c r="H458" t="s">
        <v>19</v>
      </c>
      <c r="J458" t="s">
        <v>16</v>
      </c>
      <c r="K458">
        <v>517686.062074052</v>
      </c>
      <c r="L458" t="s">
        <v>17</v>
      </c>
      <c r="M458">
        <v>0</v>
      </c>
      <c r="N458">
        <v>0.264355003105335</v>
      </c>
    </row>
    <row r="459" spans="2:14" x14ac:dyDescent="0.25">
      <c r="B459" t="s">
        <v>14</v>
      </c>
      <c r="C459" s="1">
        <v>46237.999988425923</v>
      </c>
      <c r="D459">
        <v>25.1559029588411</v>
      </c>
      <c r="E459">
        <v>136852.90054717401</v>
      </c>
      <c r="F459" s="1">
        <v>46237.099328703705</v>
      </c>
      <c r="G459">
        <v>52.874696510322202</v>
      </c>
      <c r="H459" t="s">
        <v>19</v>
      </c>
      <c r="J459" t="s">
        <v>16</v>
      </c>
      <c r="K459">
        <v>517686.062074052</v>
      </c>
      <c r="L459" t="s">
        <v>17</v>
      </c>
      <c r="M459">
        <v>0</v>
      </c>
      <c r="N459">
        <v>0.264355003105335</v>
      </c>
    </row>
    <row r="460" spans="2:14" x14ac:dyDescent="0.25">
      <c r="B460" t="s">
        <v>14</v>
      </c>
      <c r="C460" s="1">
        <v>46236.999988425923</v>
      </c>
      <c r="D460">
        <v>25.1559029588411</v>
      </c>
      <c r="E460">
        <v>218826.134077361</v>
      </c>
      <c r="F460" s="1">
        <v>46234.605810185189</v>
      </c>
      <c r="G460">
        <v>52.874696510322202</v>
      </c>
      <c r="H460" t="s">
        <v>19</v>
      </c>
      <c r="J460" t="s">
        <v>16</v>
      </c>
      <c r="K460">
        <v>517686.062074052</v>
      </c>
      <c r="L460" t="s">
        <v>17</v>
      </c>
      <c r="M460">
        <v>81973.233530186102</v>
      </c>
      <c r="N460">
        <v>0.42270045517674998</v>
      </c>
    </row>
    <row r="461" spans="2:14" x14ac:dyDescent="0.25">
      <c r="B461" t="s">
        <v>14</v>
      </c>
      <c r="C461" s="1">
        <v>46235.999988425923</v>
      </c>
      <c r="D461">
        <v>25.1559029588411</v>
      </c>
      <c r="E461">
        <v>218826.134077361</v>
      </c>
      <c r="F461" s="1">
        <v>46234.605810185189</v>
      </c>
      <c r="G461">
        <v>52.874696510322202</v>
      </c>
      <c r="H461" t="s">
        <v>19</v>
      </c>
      <c r="J461" t="s">
        <v>16</v>
      </c>
      <c r="K461">
        <v>517686.062074052</v>
      </c>
      <c r="L461" t="s">
        <v>17</v>
      </c>
      <c r="M461">
        <v>0</v>
      </c>
      <c r="N461">
        <v>0.42270045517674998</v>
      </c>
    </row>
    <row r="462" spans="2:14" x14ac:dyDescent="0.25">
      <c r="B462" t="s">
        <v>14</v>
      </c>
      <c r="C462" s="1">
        <v>46234.999988425923</v>
      </c>
      <c r="D462">
        <v>25.1559029588411</v>
      </c>
      <c r="E462">
        <v>218826.134077361</v>
      </c>
      <c r="F462" s="1">
        <v>46234.605810185189</v>
      </c>
      <c r="G462">
        <v>52.874696510322202</v>
      </c>
      <c r="H462" t="s">
        <v>19</v>
      </c>
      <c r="J462" t="s">
        <v>16</v>
      </c>
      <c r="K462">
        <v>517686.062074052</v>
      </c>
      <c r="L462" t="s">
        <v>17</v>
      </c>
      <c r="M462">
        <v>0</v>
      </c>
      <c r="N462">
        <v>0.42270045517674998</v>
      </c>
    </row>
    <row r="463" spans="2:14" x14ac:dyDescent="0.25">
      <c r="B463" t="s">
        <v>14</v>
      </c>
      <c r="C463" s="1">
        <v>46233.999988425923</v>
      </c>
      <c r="D463">
        <v>25.1559029588411</v>
      </c>
      <c r="E463">
        <v>517686.062074052</v>
      </c>
      <c r="F463" s="1">
        <v>46231.09915509259</v>
      </c>
      <c r="G463">
        <v>52.874696510322202</v>
      </c>
      <c r="H463" t="s">
        <v>19</v>
      </c>
      <c r="J463" t="s">
        <v>16</v>
      </c>
      <c r="K463">
        <v>517686.062074052</v>
      </c>
      <c r="L463" t="s">
        <v>17</v>
      </c>
      <c r="M463">
        <v>298859.92799668998</v>
      </c>
      <c r="N463">
        <v>1</v>
      </c>
    </row>
    <row r="464" spans="2:14" x14ac:dyDescent="0.25">
      <c r="B464" t="s">
        <v>14</v>
      </c>
      <c r="C464" s="1">
        <v>46232.999988425923</v>
      </c>
      <c r="D464">
        <v>25.1559029588411</v>
      </c>
      <c r="E464">
        <v>517686.062074052</v>
      </c>
      <c r="F464" s="1">
        <v>46231.09915509259</v>
      </c>
      <c r="G464">
        <v>52.874696510322202</v>
      </c>
      <c r="H464" t="s">
        <v>19</v>
      </c>
      <c r="J464" t="s">
        <v>16</v>
      </c>
      <c r="K464">
        <v>517686.062074052</v>
      </c>
      <c r="L464" t="s">
        <v>17</v>
      </c>
      <c r="M464">
        <v>0</v>
      </c>
      <c r="N464">
        <v>1</v>
      </c>
    </row>
    <row r="465" spans="2:14" x14ac:dyDescent="0.25">
      <c r="B465" t="s">
        <v>14</v>
      </c>
      <c r="C465" s="1">
        <v>46231.999988425923</v>
      </c>
      <c r="D465">
        <v>25.1559029588411</v>
      </c>
      <c r="E465">
        <v>517686.062074052</v>
      </c>
      <c r="F465" s="1">
        <v>46231.09915509259</v>
      </c>
      <c r="G465">
        <v>52.874696510322202</v>
      </c>
      <c r="H465" t="s">
        <v>19</v>
      </c>
      <c r="J465" t="s">
        <v>16</v>
      </c>
      <c r="K465">
        <v>517686.062074052</v>
      </c>
      <c r="L465" t="s">
        <v>17</v>
      </c>
      <c r="M465">
        <v>0</v>
      </c>
      <c r="N465">
        <v>1</v>
      </c>
    </row>
    <row r="466" spans="2:14" x14ac:dyDescent="0.25">
      <c r="B466" t="s">
        <v>14</v>
      </c>
      <c r="C466" s="1">
        <v>46230.999988425923</v>
      </c>
      <c r="D466">
        <v>25.1559029588411</v>
      </c>
      <c r="E466">
        <v>127865.09900478</v>
      </c>
      <c r="F466" s="1">
        <v>46228.605520833335</v>
      </c>
      <c r="G466">
        <v>52.874696510322202</v>
      </c>
      <c r="H466" t="s">
        <v>19</v>
      </c>
      <c r="J466" t="s">
        <v>16</v>
      </c>
      <c r="K466">
        <v>517686.062074052</v>
      </c>
      <c r="L466" t="s">
        <v>17</v>
      </c>
      <c r="M466">
        <v>-389820.96306927101</v>
      </c>
      <c r="N466">
        <v>0.24699351281064599</v>
      </c>
    </row>
    <row r="467" spans="2:14" x14ac:dyDescent="0.25">
      <c r="B467" t="s">
        <v>14</v>
      </c>
      <c r="C467" s="1">
        <v>46229.999988425923</v>
      </c>
      <c r="D467">
        <v>25.1559029588411</v>
      </c>
      <c r="E467">
        <v>127865.09900478</v>
      </c>
      <c r="F467" s="1">
        <v>46228.605520833335</v>
      </c>
      <c r="G467">
        <v>52.874696510322202</v>
      </c>
      <c r="H467" t="s">
        <v>19</v>
      </c>
      <c r="J467" t="s">
        <v>16</v>
      </c>
      <c r="K467">
        <v>517686.062074052</v>
      </c>
      <c r="L467" t="s">
        <v>17</v>
      </c>
      <c r="M467">
        <v>0</v>
      </c>
      <c r="N467">
        <v>0.24699351281064599</v>
      </c>
    </row>
    <row r="468" spans="2:14" x14ac:dyDescent="0.25">
      <c r="B468" t="s">
        <v>14</v>
      </c>
      <c r="C468" s="1">
        <v>46228.999988425923</v>
      </c>
      <c r="D468">
        <v>25.1559029588411</v>
      </c>
      <c r="E468">
        <v>127865.09900478</v>
      </c>
      <c r="F468" s="1">
        <v>46228.605520833335</v>
      </c>
      <c r="G468">
        <v>52.874696510322202</v>
      </c>
      <c r="H468" t="s">
        <v>19</v>
      </c>
      <c r="J468" t="s">
        <v>16</v>
      </c>
      <c r="K468">
        <v>517686.062074052</v>
      </c>
      <c r="L468" t="s">
        <v>17</v>
      </c>
      <c r="M468">
        <v>0</v>
      </c>
      <c r="N468">
        <v>0.24699351281064599</v>
      </c>
    </row>
    <row r="469" spans="2:14" x14ac:dyDescent="0.25">
      <c r="B469" t="s">
        <v>14</v>
      </c>
      <c r="C469" s="1">
        <v>46227.999988425923</v>
      </c>
      <c r="D469">
        <v>25.1559029588411</v>
      </c>
      <c r="E469">
        <v>517686.062074052</v>
      </c>
      <c r="F469" s="1">
        <v>46225.099317129629</v>
      </c>
      <c r="G469">
        <v>52.874696510322202</v>
      </c>
      <c r="H469" t="s">
        <v>19</v>
      </c>
      <c r="J469" t="s">
        <v>16</v>
      </c>
      <c r="K469">
        <v>517686.062074052</v>
      </c>
      <c r="L469" t="s">
        <v>17</v>
      </c>
      <c r="M469">
        <v>389820.96306927101</v>
      </c>
      <c r="N469">
        <v>1</v>
      </c>
    </row>
    <row r="470" spans="2:14" x14ac:dyDescent="0.25">
      <c r="B470" t="s">
        <v>14</v>
      </c>
      <c r="C470" s="1">
        <v>46226.999988425923</v>
      </c>
      <c r="D470">
        <v>25.1559029588411</v>
      </c>
      <c r="E470">
        <v>517686.062074052</v>
      </c>
      <c r="F470" s="1">
        <v>46225.099317129629</v>
      </c>
      <c r="G470">
        <v>52.874696510322202</v>
      </c>
      <c r="H470" t="s">
        <v>19</v>
      </c>
      <c r="J470" t="s">
        <v>16</v>
      </c>
      <c r="K470">
        <v>517686.062074052</v>
      </c>
      <c r="L470" t="s">
        <v>17</v>
      </c>
      <c r="M470">
        <v>0</v>
      </c>
      <c r="N470">
        <v>1</v>
      </c>
    </row>
    <row r="471" spans="2:14" x14ac:dyDescent="0.25">
      <c r="B471" t="s">
        <v>14</v>
      </c>
      <c r="C471" s="1">
        <v>46225.999988425923</v>
      </c>
      <c r="D471">
        <v>25.1559029588411</v>
      </c>
      <c r="E471">
        <v>517686.062074052</v>
      </c>
      <c r="F471" s="1">
        <v>46225.099317129629</v>
      </c>
      <c r="G471">
        <v>52.874696510322202</v>
      </c>
      <c r="H471" t="s">
        <v>19</v>
      </c>
      <c r="J471" t="s">
        <v>16</v>
      </c>
      <c r="K471">
        <v>517686.062074052</v>
      </c>
      <c r="L471" t="s">
        <v>17</v>
      </c>
      <c r="M471">
        <v>0</v>
      </c>
      <c r="N471">
        <v>1</v>
      </c>
    </row>
    <row r="472" spans="2:14" x14ac:dyDescent="0.25">
      <c r="B472" t="s">
        <v>14</v>
      </c>
      <c r="C472" s="1">
        <v>46224.999988425923</v>
      </c>
      <c r="D472">
        <v>25.1559029588411</v>
      </c>
      <c r="E472">
        <v>234614.515978282</v>
      </c>
      <c r="F472" s="1">
        <v>46222.605810185189</v>
      </c>
      <c r="G472">
        <v>52.874696510322202</v>
      </c>
      <c r="H472" t="s">
        <v>19</v>
      </c>
      <c r="J472" t="s">
        <v>16</v>
      </c>
      <c r="K472">
        <v>517686.062074052</v>
      </c>
      <c r="L472" t="s">
        <v>17</v>
      </c>
      <c r="M472">
        <v>-283071.54609576898</v>
      </c>
      <c r="N472">
        <v>0.45319844045699198</v>
      </c>
    </row>
    <row r="473" spans="2:14" x14ac:dyDescent="0.25">
      <c r="B473" t="s">
        <v>14</v>
      </c>
      <c r="C473" s="1">
        <v>46223.999988425923</v>
      </c>
      <c r="D473">
        <v>25.1559029588411</v>
      </c>
      <c r="E473">
        <v>234614.515978282</v>
      </c>
      <c r="F473" s="1">
        <v>46222.605810185189</v>
      </c>
      <c r="G473">
        <v>52.874696510322202</v>
      </c>
      <c r="H473" t="s">
        <v>19</v>
      </c>
      <c r="J473" t="s">
        <v>16</v>
      </c>
      <c r="K473">
        <v>517686.062074052</v>
      </c>
      <c r="L473" t="s">
        <v>17</v>
      </c>
      <c r="M473">
        <v>0</v>
      </c>
      <c r="N473">
        <v>0.45319844045699198</v>
      </c>
    </row>
    <row r="474" spans="2:14" x14ac:dyDescent="0.25">
      <c r="B474" t="s">
        <v>14</v>
      </c>
      <c r="C474" s="1">
        <v>46222.999988425923</v>
      </c>
      <c r="D474">
        <v>25.1559029588411</v>
      </c>
      <c r="E474">
        <v>234614.515978282</v>
      </c>
      <c r="F474" s="1">
        <v>46222.605810185189</v>
      </c>
      <c r="G474">
        <v>52.874696510322202</v>
      </c>
      <c r="H474" t="s">
        <v>19</v>
      </c>
      <c r="J474" t="s">
        <v>16</v>
      </c>
      <c r="K474">
        <v>517686.062074052</v>
      </c>
      <c r="L474" t="s">
        <v>17</v>
      </c>
      <c r="M474">
        <v>0</v>
      </c>
      <c r="N474">
        <v>0.45319844045699198</v>
      </c>
    </row>
    <row r="475" spans="2:14" x14ac:dyDescent="0.25">
      <c r="B475" t="s">
        <v>14</v>
      </c>
      <c r="C475" s="1">
        <v>46221.999988425923</v>
      </c>
      <c r="D475">
        <v>25.1559029588411</v>
      </c>
      <c r="E475">
        <v>517686.062074052</v>
      </c>
      <c r="F475" s="1">
        <v>46219.099143518521</v>
      </c>
      <c r="G475">
        <v>52.874696510322202</v>
      </c>
      <c r="H475" t="s">
        <v>19</v>
      </c>
      <c r="J475" t="s">
        <v>16</v>
      </c>
      <c r="K475">
        <v>517686.062074052</v>
      </c>
      <c r="L475" t="s">
        <v>17</v>
      </c>
      <c r="M475">
        <v>283071.54609576898</v>
      </c>
      <c r="N475">
        <v>1</v>
      </c>
    </row>
    <row r="476" spans="2:14" x14ac:dyDescent="0.25">
      <c r="B476" t="s">
        <v>14</v>
      </c>
      <c r="C476" s="1">
        <v>46220.999988425923</v>
      </c>
      <c r="D476">
        <v>25.1559029588411</v>
      </c>
      <c r="E476">
        <v>517686.062074052</v>
      </c>
      <c r="F476" s="1">
        <v>46219.099143518521</v>
      </c>
      <c r="G476">
        <v>52.874696510322202</v>
      </c>
      <c r="H476" t="s">
        <v>19</v>
      </c>
      <c r="J476" t="s">
        <v>16</v>
      </c>
      <c r="K476">
        <v>517686.062074052</v>
      </c>
      <c r="L476" t="s">
        <v>17</v>
      </c>
      <c r="M476">
        <v>0</v>
      </c>
      <c r="N476">
        <v>1</v>
      </c>
    </row>
    <row r="477" spans="2:14" x14ac:dyDescent="0.25">
      <c r="B477" t="s">
        <v>14</v>
      </c>
      <c r="C477" s="1">
        <v>46219.999988425923</v>
      </c>
      <c r="D477">
        <v>25.1559029588411</v>
      </c>
      <c r="E477">
        <v>517686.062074052</v>
      </c>
      <c r="F477" s="1">
        <v>46219.099143518521</v>
      </c>
      <c r="G477">
        <v>52.874696510322202</v>
      </c>
      <c r="H477" t="s">
        <v>19</v>
      </c>
      <c r="J477" t="s">
        <v>16</v>
      </c>
      <c r="K477">
        <v>517686.062074052</v>
      </c>
      <c r="L477" t="s">
        <v>17</v>
      </c>
      <c r="M477">
        <v>0</v>
      </c>
      <c r="N477">
        <v>1</v>
      </c>
    </row>
    <row r="478" spans="2:14" x14ac:dyDescent="0.25">
      <c r="B478" t="s">
        <v>14</v>
      </c>
      <c r="C478" s="1">
        <v>46218.999988425923</v>
      </c>
      <c r="D478">
        <v>25.1559029588411</v>
      </c>
      <c r="E478">
        <v>134054.400624006</v>
      </c>
      <c r="F478" s="1">
        <v>46216.605509259258</v>
      </c>
      <c r="G478">
        <v>52.874696510322202</v>
      </c>
      <c r="H478" t="s">
        <v>19</v>
      </c>
      <c r="J478" t="s">
        <v>16</v>
      </c>
      <c r="K478">
        <v>517686.062074052</v>
      </c>
      <c r="L478" t="s">
        <v>17</v>
      </c>
      <c r="M478">
        <v>-383631.66145004501</v>
      </c>
      <c r="N478">
        <v>0.25894921738269699</v>
      </c>
    </row>
    <row r="479" spans="2:14" x14ac:dyDescent="0.25">
      <c r="B479" t="s">
        <v>14</v>
      </c>
      <c r="C479" s="1">
        <v>46217.999988425923</v>
      </c>
      <c r="D479">
        <v>25.1559029588411</v>
      </c>
      <c r="E479">
        <v>134054.400624006</v>
      </c>
      <c r="F479" s="1">
        <v>46216.605509259258</v>
      </c>
      <c r="G479">
        <v>52.874696510322202</v>
      </c>
      <c r="H479" t="s">
        <v>19</v>
      </c>
      <c r="J479" t="s">
        <v>16</v>
      </c>
      <c r="K479">
        <v>517686.062074052</v>
      </c>
      <c r="L479" t="s">
        <v>17</v>
      </c>
      <c r="M479">
        <v>0</v>
      </c>
      <c r="N479">
        <v>0.25894921738269699</v>
      </c>
    </row>
    <row r="480" spans="2:14" x14ac:dyDescent="0.25">
      <c r="B480" t="s">
        <v>14</v>
      </c>
      <c r="C480" s="1">
        <v>46216.999988425923</v>
      </c>
      <c r="D480">
        <v>25.1559029588411</v>
      </c>
      <c r="E480">
        <v>134054.400624006</v>
      </c>
      <c r="F480" s="1">
        <v>46216.605509259258</v>
      </c>
      <c r="G480">
        <v>52.874696510322202</v>
      </c>
      <c r="H480" t="s">
        <v>19</v>
      </c>
      <c r="J480" t="s">
        <v>16</v>
      </c>
      <c r="K480">
        <v>517686.062074052</v>
      </c>
      <c r="L480" t="s">
        <v>17</v>
      </c>
      <c r="M480">
        <v>0</v>
      </c>
      <c r="N480">
        <v>0.25894921738269699</v>
      </c>
    </row>
    <row r="481" spans="2:14" x14ac:dyDescent="0.25">
      <c r="B481" t="s">
        <v>14</v>
      </c>
      <c r="C481" s="1">
        <v>46215.999988425923</v>
      </c>
      <c r="D481">
        <v>25.1559029588411</v>
      </c>
      <c r="E481">
        <v>517686.062074052</v>
      </c>
      <c r="F481" s="1">
        <v>46213.099305555559</v>
      </c>
      <c r="G481">
        <v>52.874696510322202</v>
      </c>
      <c r="H481" t="s">
        <v>19</v>
      </c>
      <c r="J481" t="s">
        <v>16</v>
      </c>
      <c r="K481">
        <v>517686.062074052</v>
      </c>
      <c r="L481" t="s">
        <v>17</v>
      </c>
      <c r="M481">
        <v>383631.66145004501</v>
      </c>
      <c r="N481">
        <v>1</v>
      </c>
    </row>
    <row r="482" spans="2:14" x14ac:dyDescent="0.25">
      <c r="B482" t="s">
        <v>14</v>
      </c>
      <c r="C482" s="1">
        <v>46214.999988425923</v>
      </c>
      <c r="D482">
        <v>25.1559029588411</v>
      </c>
      <c r="E482">
        <v>517686.062074052</v>
      </c>
      <c r="F482" s="1">
        <v>46213.099305555559</v>
      </c>
      <c r="G482">
        <v>52.874696510322202</v>
      </c>
      <c r="H482" t="s">
        <v>19</v>
      </c>
      <c r="J482" t="s">
        <v>16</v>
      </c>
      <c r="K482">
        <v>517686.062074052</v>
      </c>
      <c r="L482" t="s">
        <v>17</v>
      </c>
      <c r="M482">
        <v>0</v>
      </c>
      <c r="N482">
        <v>1</v>
      </c>
    </row>
    <row r="483" spans="2:14" x14ac:dyDescent="0.25">
      <c r="B483" t="s">
        <v>14</v>
      </c>
      <c r="C483" s="1">
        <v>46213.999988425923</v>
      </c>
      <c r="D483">
        <v>25.1559029588411</v>
      </c>
      <c r="E483">
        <v>517686.062074052</v>
      </c>
      <c r="F483" s="1">
        <v>46213.099305555559</v>
      </c>
      <c r="G483">
        <v>52.874696510322202</v>
      </c>
      <c r="H483" t="s">
        <v>19</v>
      </c>
      <c r="J483" t="s">
        <v>16</v>
      </c>
      <c r="K483">
        <v>517686.062074052</v>
      </c>
      <c r="L483" t="s">
        <v>17</v>
      </c>
      <c r="M483">
        <v>0</v>
      </c>
      <c r="N483">
        <v>1</v>
      </c>
    </row>
    <row r="484" spans="2:14" x14ac:dyDescent="0.25">
      <c r="B484" t="s">
        <v>14</v>
      </c>
      <c r="C484" s="1">
        <v>46212.999988425923</v>
      </c>
      <c r="D484">
        <v>25.1559029588411</v>
      </c>
      <c r="E484">
        <v>517686.062074052</v>
      </c>
      <c r="F484" s="1">
        <v>46210.605798611112</v>
      </c>
      <c r="G484">
        <v>52.874696510322202</v>
      </c>
      <c r="H484" t="s">
        <v>19</v>
      </c>
      <c r="J484" t="s">
        <v>16</v>
      </c>
      <c r="K484">
        <v>517686.062074052</v>
      </c>
      <c r="L484" t="s">
        <v>17</v>
      </c>
      <c r="M484">
        <v>0</v>
      </c>
      <c r="N484">
        <v>1</v>
      </c>
    </row>
    <row r="485" spans="2:14" x14ac:dyDescent="0.25">
      <c r="B485" t="s">
        <v>14</v>
      </c>
      <c r="C485" s="1">
        <v>46211.999988425923</v>
      </c>
      <c r="D485">
        <v>25.1559029588411</v>
      </c>
      <c r="E485">
        <v>517686.062074052</v>
      </c>
      <c r="F485" s="1">
        <v>46210.605798611112</v>
      </c>
      <c r="G485">
        <v>52.874696510322202</v>
      </c>
      <c r="H485" t="s">
        <v>19</v>
      </c>
      <c r="J485" t="s">
        <v>16</v>
      </c>
      <c r="K485">
        <v>517686.062074052</v>
      </c>
      <c r="L485" t="s">
        <v>17</v>
      </c>
      <c r="M485">
        <v>0</v>
      </c>
      <c r="N485">
        <v>1</v>
      </c>
    </row>
    <row r="486" spans="2:14" x14ac:dyDescent="0.25">
      <c r="B486" t="s">
        <v>14</v>
      </c>
      <c r="C486" s="1">
        <v>46210.999988425923</v>
      </c>
      <c r="D486">
        <v>25.1559029588411</v>
      </c>
      <c r="E486">
        <v>517686.062074052</v>
      </c>
      <c r="F486" s="1">
        <v>46210.605798611112</v>
      </c>
      <c r="G486">
        <v>52.874696510322202</v>
      </c>
      <c r="H486" t="s">
        <v>19</v>
      </c>
      <c r="J486" t="s">
        <v>16</v>
      </c>
      <c r="K486">
        <v>517686.062074052</v>
      </c>
      <c r="L486" t="s">
        <v>17</v>
      </c>
      <c r="M486">
        <v>0</v>
      </c>
      <c r="N486">
        <v>1</v>
      </c>
    </row>
    <row r="487" spans="2:14" x14ac:dyDescent="0.25">
      <c r="B487" t="s">
        <v>14</v>
      </c>
      <c r="C487" s="1">
        <v>46209.999988425923</v>
      </c>
      <c r="D487">
        <v>25.1559029588411</v>
      </c>
      <c r="E487">
        <v>401368.20181586902</v>
      </c>
      <c r="F487" s="1">
        <v>46207.099131944444</v>
      </c>
      <c r="G487">
        <v>52.874696510322202</v>
      </c>
      <c r="H487" t="s">
        <v>19</v>
      </c>
      <c r="J487" t="s">
        <v>16</v>
      </c>
      <c r="K487">
        <v>517686.062074052</v>
      </c>
      <c r="L487" t="s">
        <v>17</v>
      </c>
      <c r="M487">
        <v>-116317.860258182</v>
      </c>
      <c r="N487">
        <v>0.77531197229423499</v>
      </c>
    </row>
    <row r="488" spans="2:14" x14ac:dyDescent="0.25">
      <c r="B488" t="s">
        <v>14</v>
      </c>
      <c r="C488" s="1">
        <v>46208.999988425923</v>
      </c>
      <c r="D488">
        <v>25.1559029588411</v>
      </c>
      <c r="E488">
        <v>401368.20181586902</v>
      </c>
      <c r="F488" s="1">
        <v>46207.099131944444</v>
      </c>
      <c r="G488">
        <v>52.874696510322202</v>
      </c>
      <c r="H488" t="s">
        <v>19</v>
      </c>
      <c r="J488" t="s">
        <v>16</v>
      </c>
      <c r="K488">
        <v>517686.062074052</v>
      </c>
      <c r="L488" t="s">
        <v>17</v>
      </c>
      <c r="M488">
        <v>0</v>
      </c>
      <c r="N488">
        <v>0.77531197229423499</v>
      </c>
    </row>
    <row r="489" spans="2:14" x14ac:dyDescent="0.25">
      <c r="B489" t="s">
        <v>14</v>
      </c>
      <c r="C489" s="1">
        <v>46207.999988425923</v>
      </c>
      <c r="D489">
        <v>25.1559029588411</v>
      </c>
      <c r="E489">
        <v>401368.20181586902</v>
      </c>
      <c r="F489" s="1">
        <v>46207.099131944444</v>
      </c>
      <c r="G489">
        <v>52.874696510322202</v>
      </c>
      <c r="H489" t="s">
        <v>19</v>
      </c>
      <c r="J489" t="s">
        <v>16</v>
      </c>
      <c r="K489">
        <v>517686.062074052</v>
      </c>
      <c r="L489" t="s">
        <v>17</v>
      </c>
      <c r="M489">
        <v>0</v>
      </c>
      <c r="N489">
        <v>0.77531197229423499</v>
      </c>
    </row>
    <row r="490" spans="2:14" x14ac:dyDescent="0.25">
      <c r="B490" t="s">
        <v>14</v>
      </c>
      <c r="C490" s="1">
        <v>46206.999988425923</v>
      </c>
      <c r="D490">
        <v>25.1559029588411</v>
      </c>
      <c r="E490">
        <v>157213.562952557</v>
      </c>
      <c r="F490" s="1">
        <v>46204.605509259258</v>
      </c>
      <c r="G490">
        <v>52.874696510322202</v>
      </c>
      <c r="H490" t="s">
        <v>19</v>
      </c>
      <c r="J490" t="s">
        <v>16</v>
      </c>
      <c r="K490">
        <v>517686.062074052</v>
      </c>
      <c r="L490" t="s">
        <v>17</v>
      </c>
      <c r="M490">
        <v>-244154.638863311</v>
      </c>
      <c r="N490">
        <v>0.303685137518864</v>
      </c>
    </row>
    <row r="491" spans="2:14" x14ac:dyDescent="0.25">
      <c r="B491" t="s">
        <v>14</v>
      </c>
      <c r="C491" s="1">
        <v>46205.999988425923</v>
      </c>
      <c r="D491">
        <v>25.1559029588411</v>
      </c>
      <c r="E491">
        <v>157213.562952557</v>
      </c>
      <c r="F491" s="1">
        <v>46204.605509259258</v>
      </c>
      <c r="G491">
        <v>52.874696510322202</v>
      </c>
      <c r="H491" t="s">
        <v>19</v>
      </c>
      <c r="J491" t="s">
        <v>16</v>
      </c>
      <c r="K491">
        <v>517686.062074052</v>
      </c>
      <c r="L491" t="s">
        <v>17</v>
      </c>
      <c r="M491">
        <v>0</v>
      </c>
      <c r="N491">
        <v>0.303685137518864</v>
      </c>
    </row>
    <row r="492" spans="2:14" x14ac:dyDescent="0.25">
      <c r="B492" t="s">
        <v>14</v>
      </c>
      <c r="C492" s="1">
        <v>46204.999988425923</v>
      </c>
      <c r="D492">
        <v>25.1559029588411</v>
      </c>
      <c r="E492">
        <v>157213.562952557</v>
      </c>
      <c r="F492" s="1">
        <v>46204.605509259258</v>
      </c>
      <c r="G492">
        <v>52.874696510322202</v>
      </c>
      <c r="H492" t="s">
        <v>19</v>
      </c>
      <c r="J492" t="s">
        <v>16</v>
      </c>
      <c r="K492">
        <v>517686.062074052</v>
      </c>
      <c r="L492" t="s">
        <v>17</v>
      </c>
      <c r="M492">
        <v>0</v>
      </c>
      <c r="N492">
        <v>0.303685137518864</v>
      </c>
    </row>
    <row r="493" spans="2:14" x14ac:dyDescent="0.25">
      <c r="B493" t="s">
        <v>14</v>
      </c>
      <c r="C493" s="1">
        <v>46203.999988425923</v>
      </c>
      <c r="D493">
        <v>25.1559029588411</v>
      </c>
      <c r="E493">
        <v>517686.062074052</v>
      </c>
      <c r="F493" s="1">
        <v>46201.099305555559</v>
      </c>
      <c r="G493">
        <v>52.874696510322202</v>
      </c>
      <c r="H493" t="s">
        <v>19</v>
      </c>
      <c r="J493" t="s">
        <v>16</v>
      </c>
      <c r="K493">
        <v>517686.062074052</v>
      </c>
      <c r="L493" t="s">
        <v>17</v>
      </c>
      <c r="M493">
        <v>360472.49912149401</v>
      </c>
      <c r="N493">
        <v>1</v>
      </c>
    </row>
    <row r="494" spans="2:14" x14ac:dyDescent="0.25">
      <c r="B494" t="s">
        <v>14</v>
      </c>
      <c r="C494" s="1">
        <v>46202.999988425923</v>
      </c>
      <c r="D494">
        <v>25.1559029588411</v>
      </c>
      <c r="E494">
        <v>517686.062074052</v>
      </c>
      <c r="F494" s="1">
        <v>46201.099305555559</v>
      </c>
      <c r="G494">
        <v>52.874696510322202</v>
      </c>
      <c r="H494" t="s">
        <v>19</v>
      </c>
      <c r="J494" t="s">
        <v>16</v>
      </c>
      <c r="K494">
        <v>517686.062074052</v>
      </c>
      <c r="L494" t="s">
        <v>17</v>
      </c>
      <c r="M494">
        <v>0</v>
      </c>
      <c r="N494">
        <v>1</v>
      </c>
    </row>
    <row r="495" spans="2:14" x14ac:dyDescent="0.25">
      <c r="B495" t="s">
        <v>14</v>
      </c>
      <c r="C495" s="1">
        <v>46201.999988425923</v>
      </c>
      <c r="D495">
        <v>25.1559029588411</v>
      </c>
      <c r="E495">
        <v>517686.062074052</v>
      </c>
      <c r="F495" s="1">
        <v>46201.099305555559</v>
      </c>
      <c r="G495">
        <v>52.874696510322202</v>
      </c>
      <c r="H495" t="s">
        <v>19</v>
      </c>
      <c r="J495" t="s">
        <v>16</v>
      </c>
      <c r="K495">
        <v>517686.062074052</v>
      </c>
      <c r="L495" t="s">
        <v>17</v>
      </c>
      <c r="M495">
        <v>0</v>
      </c>
      <c r="N495">
        <v>1</v>
      </c>
    </row>
    <row r="496" spans="2:14" x14ac:dyDescent="0.25">
      <c r="B496" t="s">
        <v>14</v>
      </c>
      <c r="C496" s="1">
        <v>46200.999988425923</v>
      </c>
      <c r="D496">
        <v>25.1559029588411</v>
      </c>
      <c r="E496">
        <v>517686.062074052</v>
      </c>
      <c r="F496" s="1">
        <v>46198.605787037035</v>
      </c>
      <c r="G496">
        <v>52.874696510322202</v>
      </c>
      <c r="H496" t="s">
        <v>19</v>
      </c>
      <c r="J496" t="s">
        <v>16</v>
      </c>
      <c r="K496">
        <v>517686.062074052</v>
      </c>
      <c r="L496" t="s">
        <v>17</v>
      </c>
      <c r="M496">
        <v>0</v>
      </c>
      <c r="N496">
        <v>1</v>
      </c>
    </row>
    <row r="497" spans="2:14" x14ac:dyDescent="0.25">
      <c r="B497" t="s">
        <v>14</v>
      </c>
      <c r="C497" s="1">
        <v>46199.999988425923</v>
      </c>
      <c r="D497">
        <v>25.1559029588411</v>
      </c>
      <c r="E497">
        <v>517686.062074052</v>
      </c>
      <c r="F497" s="1">
        <v>46198.605787037035</v>
      </c>
      <c r="G497">
        <v>52.874696510322202</v>
      </c>
      <c r="H497" t="s">
        <v>19</v>
      </c>
      <c r="J497" t="s">
        <v>16</v>
      </c>
      <c r="K497">
        <v>517686.062074052</v>
      </c>
      <c r="L497" t="s">
        <v>17</v>
      </c>
      <c r="M497">
        <v>0</v>
      </c>
      <c r="N497">
        <v>1</v>
      </c>
    </row>
    <row r="498" spans="2:14" x14ac:dyDescent="0.25">
      <c r="B498" t="s">
        <v>14</v>
      </c>
      <c r="C498" s="1">
        <v>46198.999988425923</v>
      </c>
      <c r="D498">
        <v>25.1559029588411</v>
      </c>
      <c r="E498">
        <v>517686.062074052</v>
      </c>
      <c r="F498" s="1">
        <v>46198.605787037035</v>
      </c>
      <c r="G498">
        <v>52.874696510322202</v>
      </c>
      <c r="H498" t="s">
        <v>19</v>
      </c>
      <c r="J498" t="s">
        <v>16</v>
      </c>
      <c r="K498">
        <v>517686.062074052</v>
      </c>
      <c r="L498" t="s">
        <v>17</v>
      </c>
      <c r="M498">
        <v>0</v>
      </c>
      <c r="N498">
        <v>1</v>
      </c>
    </row>
    <row r="499" spans="2:14" x14ac:dyDescent="0.25">
      <c r="B499" t="s">
        <v>14</v>
      </c>
      <c r="C499" s="1">
        <v>46197.999988425923</v>
      </c>
      <c r="D499">
        <v>25.1559029588411</v>
      </c>
      <c r="E499">
        <v>126149.47486637899</v>
      </c>
      <c r="F499" s="1">
        <v>46194.099780092591</v>
      </c>
      <c r="G499">
        <v>52.874696510322202</v>
      </c>
      <c r="H499" t="s">
        <v>19</v>
      </c>
      <c r="J499" t="s">
        <v>16</v>
      </c>
      <c r="K499">
        <v>517686.062074052</v>
      </c>
      <c r="L499" t="s">
        <v>17</v>
      </c>
      <c r="M499">
        <v>-391536.58720767201</v>
      </c>
      <c r="N499">
        <v>0.24367948860932301</v>
      </c>
    </row>
    <row r="500" spans="2:14" x14ac:dyDescent="0.25">
      <c r="B500" t="s">
        <v>14</v>
      </c>
      <c r="C500" s="1">
        <v>46196.999988425923</v>
      </c>
      <c r="D500">
        <v>25.1559029588411</v>
      </c>
      <c r="E500">
        <v>126149.47486637899</v>
      </c>
      <c r="F500" s="1">
        <v>46194.099780092591</v>
      </c>
      <c r="G500">
        <v>52.874696510322202</v>
      </c>
      <c r="H500" t="s">
        <v>19</v>
      </c>
      <c r="J500" t="s">
        <v>16</v>
      </c>
      <c r="K500">
        <v>517686.062074052</v>
      </c>
      <c r="L500" t="s">
        <v>17</v>
      </c>
      <c r="M500">
        <v>0</v>
      </c>
      <c r="N500">
        <v>0.24367948860932301</v>
      </c>
    </row>
    <row r="501" spans="2:14" x14ac:dyDescent="0.25">
      <c r="B501" t="s">
        <v>14</v>
      </c>
      <c r="C501" s="1">
        <v>46195.999988425923</v>
      </c>
      <c r="D501">
        <v>25.1559029588411</v>
      </c>
      <c r="E501">
        <v>126149.47486637899</v>
      </c>
      <c r="F501" s="1">
        <v>46194.099780092591</v>
      </c>
      <c r="G501">
        <v>52.874696510322202</v>
      </c>
      <c r="H501" t="s">
        <v>19</v>
      </c>
      <c r="J501" t="s">
        <v>16</v>
      </c>
      <c r="K501">
        <v>517686.062074052</v>
      </c>
      <c r="L501" t="s">
        <v>17</v>
      </c>
      <c r="M501">
        <v>0</v>
      </c>
      <c r="N501">
        <v>0.24367948860932301</v>
      </c>
    </row>
    <row r="502" spans="2:14" x14ac:dyDescent="0.25">
      <c r="B502" t="s">
        <v>14</v>
      </c>
      <c r="C502" s="1">
        <v>46194.999988425923</v>
      </c>
      <c r="D502">
        <v>25.1559029588411</v>
      </c>
      <c r="E502">
        <v>126149.47486637899</v>
      </c>
      <c r="F502" s="1">
        <v>46194.099780092591</v>
      </c>
      <c r="G502">
        <v>52.874696510322202</v>
      </c>
      <c r="H502" t="s">
        <v>19</v>
      </c>
      <c r="J502" t="s">
        <v>16</v>
      </c>
      <c r="K502">
        <v>517686.062074052</v>
      </c>
      <c r="L502" t="s">
        <v>17</v>
      </c>
      <c r="M502">
        <v>0</v>
      </c>
      <c r="N502">
        <v>0.24367948860932301</v>
      </c>
    </row>
    <row r="503" spans="2:14" x14ac:dyDescent="0.25">
      <c r="B503" t="s">
        <v>14</v>
      </c>
      <c r="C503" s="1">
        <v>46193.999988425923</v>
      </c>
      <c r="D503">
        <v>25.1559029588411</v>
      </c>
      <c r="E503">
        <v>358971.764120979</v>
      </c>
      <c r="F503" s="1">
        <v>46191.606261574074</v>
      </c>
      <c r="G503">
        <v>52.874696510322202</v>
      </c>
      <c r="H503" t="s">
        <v>19</v>
      </c>
      <c r="J503" t="s">
        <v>16</v>
      </c>
      <c r="K503">
        <v>517686.062074052</v>
      </c>
      <c r="L503" t="s">
        <v>17</v>
      </c>
      <c r="M503">
        <v>232822.28925459899</v>
      </c>
      <c r="N503">
        <v>0.69341593374717903</v>
      </c>
    </row>
    <row r="504" spans="2:14" x14ac:dyDescent="0.25">
      <c r="B504" t="s">
        <v>14</v>
      </c>
      <c r="C504" s="1">
        <v>46192.999988425923</v>
      </c>
      <c r="D504">
        <v>25.1559029588411</v>
      </c>
      <c r="E504">
        <v>358971.764120979</v>
      </c>
      <c r="F504" s="1">
        <v>46191.606261574074</v>
      </c>
      <c r="G504">
        <v>52.874696510322202</v>
      </c>
      <c r="H504" t="s">
        <v>19</v>
      </c>
      <c r="J504" t="s">
        <v>16</v>
      </c>
      <c r="K504">
        <v>517686.062074052</v>
      </c>
      <c r="L504" t="s">
        <v>17</v>
      </c>
      <c r="M504">
        <v>0</v>
      </c>
      <c r="N504">
        <v>0.69341593374717903</v>
      </c>
    </row>
    <row r="505" spans="2:14" x14ac:dyDescent="0.25">
      <c r="B505" t="s">
        <v>14</v>
      </c>
      <c r="C505" s="1">
        <v>46191.999988425923</v>
      </c>
      <c r="D505">
        <v>25.1559029588411</v>
      </c>
      <c r="E505">
        <v>358971.764120979</v>
      </c>
      <c r="F505" s="1">
        <v>46191.606261574074</v>
      </c>
      <c r="G505">
        <v>52.874696510322202</v>
      </c>
      <c r="H505" t="s">
        <v>19</v>
      </c>
      <c r="J505" t="s">
        <v>16</v>
      </c>
      <c r="K505">
        <v>517686.062074052</v>
      </c>
      <c r="L505" t="s">
        <v>17</v>
      </c>
      <c r="M505">
        <v>0</v>
      </c>
      <c r="N505">
        <v>0.69341593374717903</v>
      </c>
    </row>
    <row r="506" spans="2:14" x14ac:dyDescent="0.25">
      <c r="B506" t="s">
        <v>14</v>
      </c>
      <c r="C506" s="1">
        <v>46190.999988425923</v>
      </c>
      <c r="D506">
        <v>25.1559029588411</v>
      </c>
      <c r="E506">
        <v>517686.062074052</v>
      </c>
      <c r="F506" s="1">
        <v>46189.099270833336</v>
      </c>
      <c r="G506">
        <v>52.874696510322202</v>
      </c>
      <c r="H506" t="s">
        <v>19</v>
      </c>
      <c r="J506" t="s">
        <v>16</v>
      </c>
      <c r="K506">
        <v>517686.062074052</v>
      </c>
      <c r="L506" t="s">
        <v>17</v>
      </c>
      <c r="M506">
        <v>158714.297953072</v>
      </c>
      <c r="N506">
        <v>1</v>
      </c>
    </row>
    <row r="507" spans="2:14" x14ac:dyDescent="0.25">
      <c r="B507" t="s">
        <v>14</v>
      </c>
      <c r="C507" s="1">
        <v>46189.999988425923</v>
      </c>
      <c r="D507">
        <v>25.1559029588411</v>
      </c>
      <c r="E507">
        <v>517686.062074052</v>
      </c>
      <c r="F507" s="1">
        <v>46189.099270833336</v>
      </c>
      <c r="G507">
        <v>52.874696510322202</v>
      </c>
      <c r="H507" t="s">
        <v>19</v>
      </c>
      <c r="J507" t="s">
        <v>16</v>
      </c>
      <c r="K507">
        <v>517686.062074052</v>
      </c>
      <c r="L507" t="s">
        <v>17</v>
      </c>
      <c r="M507">
        <v>0</v>
      </c>
      <c r="N507">
        <v>1</v>
      </c>
    </row>
    <row r="508" spans="2:14" x14ac:dyDescent="0.25">
      <c r="B508" t="s">
        <v>14</v>
      </c>
      <c r="C508" s="1">
        <v>46188.999988425923</v>
      </c>
      <c r="D508">
        <v>25.1559029588411</v>
      </c>
      <c r="E508">
        <v>318314.35869907402</v>
      </c>
      <c r="F508" s="1">
        <v>46186.60564814815</v>
      </c>
      <c r="G508">
        <v>52.874696510322202</v>
      </c>
      <c r="H508" t="s">
        <v>19</v>
      </c>
      <c r="J508" t="s">
        <v>16</v>
      </c>
      <c r="K508">
        <v>517686.062074052</v>
      </c>
      <c r="L508" t="s">
        <v>17</v>
      </c>
      <c r="M508">
        <v>-199371.70337497699</v>
      </c>
      <c r="N508">
        <v>0.61487913625447499</v>
      </c>
    </row>
    <row r="509" spans="2:14" x14ac:dyDescent="0.25">
      <c r="B509" t="s">
        <v>14</v>
      </c>
      <c r="C509" s="1">
        <v>46187.999988425923</v>
      </c>
      <c r="D509">
        <v>25.1559029588411</v>
      </c>
      <c r="E509">
        <v>318314.35869907402</v>
      </c>
      <c r="F509" s="1">
        <v>46186.60564814815</v>
      </c>
      <c r="G509">
        <v>52.874696510322202</v>
      </c>
      <c r="H509" t="s">
        <v>19</v>
      </c>
      <c r="J509" t="s">
        <v>16</v>
      </c>
      <c r="K509">
        <v>517686.062074052</v>
      </c>
      <c r="L509" t="s">
        <v>17</v>
      </c>
      <c r="M509">
        <v>0</v>
      </c>
      <c r="N509">
        <v>0.61487913625447499</v>
      </c>
    </row>
    <row r="510" spans="2:14" x14ac:dyDescent="0.25">
      <c r="B510" t="s">
        <v>14</v>
      </c>
      <c r="C510" s="1">
        <v>46186.999988425923</v>
      </c>
      <c r="D510">
        <v>25.1559029588411</v>
      </c>
      <c r="E510">
        <v>318314.35869907402</v>
      </c>
      <c r="F510" s="1">
        <v>46186.60564814815</v>
      </c>
      <c r="G510">
        <v>52.874696510322202</v>
      </c>
      <c r="H510" t="s">
        <v>19</v>
      </c>
      <c r="J510" t="s">
        <v>16</v>
      </c>
      <c r="K510">
        <v>517686.062074052</v>
      </c>
      <c r="L510" t="s">
        <v>17</v>
      </c>
      <c r="M510">
        <v>0</v>
      </c>
      <c r="N510">
        <v>0.61487913625447499</v>
      </c>
    </row>
    <row r="511" spans="2:14" x14ac:dyDescent="0.25">
      <c r="B511" t="s">
        <v>14</v>
      </c>
      <c r="C511" s="1">
        <v>46185.999988425923</v>
      </c>
      <c r="D511">
        <v>25.1559029588411</v>
      </c>
      <c r="E511">
        <v>517686.062074052</v>
      </c>
      <c r="F511" s="1">
        <v>46182.099780092591</v>
      </c>
      <c r="G511">
        <v>52.874696510322202</v>
      </c>
      <c r="H511" t="s">
        <v>19</v>
      </c>
      <c r="J511" t="s">
        <v>16</v>
      </c>
      <c r="K511">
        <v>517686.062074052</v>
      </c>
      <c r="L511" t="s">
        <v>17</v>
      </c>
      <c r="M511">
        <v>199371.70337497699</v>
      </c>
      <c r="N511">
        <v>1</v>
      </c>
    </row>
    <row r="512" spans="2:14" x14ac:dyDescent="0.25">
      <c r="B512" t="s">
        <v>14</v>
      </c>
      <c r="C512" s="1">
        <v>46184.999988425923</v>
      </c>
      <c r="D512">
        <v>25.1559029588411</v>
      </c>
      <c r="E512">
        <v>517686.062074052</v>
      </c>
      <c r="F512" s="1">
        <v>46182.099780092591</v>
      </c>
      <c r="G512">
        <v>52.874696510322202</v>
      </c>
      <c r="H512" t="s">
        <v>19</v>
      </c>
      <c r="J512" t="s">
        <v>16</v>
      </c>
      <c r="K512">
        <v>517686.062074052</v>
      </c>
      <c r="L512" t="s">
        <v>17</v>
      </c>
      <c r="M512">
        <v>0</v>
      </c>
      <c r="N512">
        <v>1</v>
      </c>
    </row>
    <row r="513" spans="2:14" x14ac:dyDescent="0.25">
      <c r="B513" t="s">
        <v>14</v>
      </c>
      <c r="C513" s="1">
        <v>46183.999988425923</v>
      </c>
      <c r="D513">
        <v>25.1559029588411</v>
      </c>
      <c r="E513">
        <v>517686.062074052</v>
      </c>
      <c r="F513" s="1">
        <v>46182.099780092591</v>
      </c>
      <c r="G513">
        <v>52.874696510322202</v>
      </c>
      <c r="H513" t="s">
        <v>19</v>
      </c>
      <c r="J513" t="s">
        <v>16</v>
      </c>
      <c r="K513">
        <v>517686.062074052</v>
      </c>
      <c r="L513" t="s">
        <v>17</v>
      </c>
      <c r="M513">
        <v>0</v>
      </c>
      <c r="N513">
        <v>1</v>
      </c>
    </row>
    <row r="514" spans="2:14" x14ac:dyDescent="0.25">
      <c r="B514" t="s">
        <v>14</v>
      </c>
      <c r="C514" s="1">
        <v>46182.999988425923</v>
      </c>
      <c r="D514">
        <v>25.1559029588411</v>
      </c>
      <c r="E514">
        <v>517686.062074052</v>
      </c>
      <c r="F514" s="1">
        <v>46182.099780092591</v>
      </c>
      <c r="G514">
        <v>52.874696510322202</v>
      </c>
      <c r="H514" t="s">
        <v>19</v>
      </c>
      <c r="J514" t="s">
        <v>16</v>
      </c>
      <c r="K514">
        <v>517686.062074052</v>
      </c>
      <c r="L514" t="s">
        <v>17</v>
      </c>
      <c r="M514">
        <v>0</v>
      </c>
      <c r="N514">
        <v>1</v>
      </c>
    </row>
    <row r="515" spans="2:14" x14ac:dyDescent="0.25">
      <c r="B515" t="s">
        <v>14</v>
      </c>
      <c r="C515" s="1">
        <v>46181.999988425923</v>
      </c>
      <c r="D515">
        <v>25.1559029588411</v>
      </c>
      <c r="E515">
        <v>517686.062074052</v>
      </c>
      <c r="F515" s="1">
        <v>46179.606273148151</v>
      </c>
      <c r="G515">
        <v>52.874696510322202</v>
      </c>
      <c r="H515" t="s">
        <v>19</v>
      </c>
      <c r="J515" t="s">
        <v>16</v>
      </c>
      <c r="K515">
        <v>517686.062074052</v>
      </c>
      <c r="L515" t="s">
        <v>17</v>
      </c>
      <c r="M515">
        <v>0</v>
      </c>
      <c r="N515">
        <v>1</v>
      </c>
    </row>
    <row r="516" spans="2:14" x14ac:dyDescent="0.25">
      <c r="B516" t="s">
        <v>14</v>
      </c>
      <c r="C516" s="1">
        <v>46180.999988425923</v>
      </c>
      <c r="D516">
        <v>25.1559029588411</v>
      </c>
      <c r="E516">
        <v>517686.062074052</v>
      </c>
      <c r="F516" s="1">
        <v>46179.606273148151</v>
      </c>
      <c r="G516">
        <v>52.874696510322202</v>
      </c>
      <c r="H516" t="s">
        <v>19</v>
      </c>
      <c r="J516" t="s">
        <v>16</v>
      </c>
      <c r="K516">
        <v>517686.062074052</v>
      </c>
      <c r="L516" t="s">
        <v>17</v>
      </c>
      <c r="M516">
        <v>0</v>
      </c>
      <c r="N516">
        <v>1</v>
      </c>
    </row>
    <row r="517" spans="2:14" x14ac:dyDescent="0.25">
      <c r="B517" t="s">
        <v>14</v>
      </c>
      <c r="C517" s="1">
        <v>46179.999988425923</v>
      </c>
      <c r="D517">
        <v>25.1559029588411</v>
      </c>
      <c r="E517">
        <v>517686.062074052</v>
      </c>
      <c r="F517" s="1">
        <v>46179.606273148151</v>
      </c>
      <c r="G517">
        <v>52.874696510322202</v>
      </c>
      <c r="H517" t="s">
        <v>19</v>
      </c>
      <c r="J517" t="s">
        <v>16</v>
      </c>
      <c r="K517">
        <v>517686.062074052</v>
      </c>
      <c r="L517" t="s">
        <v>17</v>
      </c>
      <c r="M517">
        <v>0</v>
      </c>
      <c r="N517">
        <v>1</v>
      </c>
    </row>
    <row r="518" spans="2:14" x14ac:dyDescent="0.25">
      <c r="B518" t="s">
        <v>14</v>
      </c>
      <c r="C518" s="1">
        <v>46178.999988425923</v>
      </c>
      <c r="D518">
        <v>25.1559029588411</v>
      </c>
      <c r="E518">
        <v>320031.80907418398</v>
      </c>
      <c r="F518" s="1">
        <v>46177.099259259259</v>
      </c>
      <c r="G518">
        <v>52.874696510322202</v>
      </c>
      <c r="H518" t="s">
        <v>19</v>
      </c>
      <c r="J518" t="s">
        <v>16</v>
      </c>
      <c r="K518">
        <v>517686.062074052</v>
      </c>
      <c r="L518" t="s">
        <v>17</v>
      </c>
      <c r="M518">
        <v>-197654.25299986699</v>
      </c>
      <c r="N518">
        <v>0.61819668814727702</v>
      </c>
    </row>
    <row r="519" spans="2:14" x14ac:dyDescent="0.25">
      <c r="B519" t="s">
        <v>14</v>
      </c>
      <c r="C519" s="1">
        <v>46177.999988425923</v>
      </c>
      <c r="D519">
        <v>25.1559029588411</v>
      </c>
      <c r="E519">
        <v>320031.80907418398</v>
      </c>
      <c r="F519" s="1">
        <v>46177.099259259259</v>
      </c>
      <c r="G519">
        <v>52.874696510322202</v>
      </c>
      <c r="H519" t="s">
        <v>19</v>
      </c>
      <c r="J519" t="s">
        <v>16</v>
      </c>
      <c r="K519">
        <v>517686.062074052</v>
      </c>
      <c r="L519" t="s">
        <v>17</v>
      </c>
      <c r="M519">
        <v>0</v>
      </c>
      <c r="N519">
        <v>0.61819668814727702</v>
      </c>
    </row>
    <row r="520" spans="2:14" x14ac:dyDescent="0.25">
      <c r="B520" t="s">
        <v>14</v>
      </c>
      <c r="C520" s="1">
        <v>46176.999988425923</v>
      </c>
      <c r="D520">
        <v>25.1559029588411</v>
      </c>
      <c r="E520">
        <v>124291.63152058399</v>
      </c>
      <c r="F520" s="1">
        <v>46176.099143518521</v>
      </c>
      <c r="G520">
        <v>52.874696510322202</v>
      </c>
      <c r="H520" t="s">
        <v>19</v>
      </c>
      <c r="J520" t="s">
        <v>16</v>
      </c>
      <c r="K520">
        <v>517686.062074052</v>
      </c>
      <c r="L520" t="s">
        <v>17</v>
      </c>
      <c r="M520">
        <v>-195740.17755359999</v>
      </c>
      <c r="N520">
        <v>0.24009074345680401</v>
      </c>
    </row>
    <row r="521" spans="2:14" x14ac:dyDescent="0.25">
      <c r="B521" t="s">
        <v>14</v>
      </c>
      <c r="C521" s="1">
        <v>46175.999988425923</v>
      </c>
      <c r="D521">
        <v>25.1559029588411</v>
      </c>
      <c r="E521">
        <v>194676.295541225</v>
      </c>
      <c r="F521" s="1">
        <v>46173.605520833335</v>
      </c>
      <c r="G521">
        <v>52.874696510322202</v>
      </c>
      <c r="H521" t="s">
        <v>19</v>
      </c>
      <c r="J521" t="s">
        <v>16</v>
      </c>
      <c r="K521">
        <v>517686.062074052</v>
      </c>
      <c r="L521" t="s">
        <v>17</v>
      </c>
      <c r="M521">
        <v>70384.664020640601</v>
      </c>
      <c r="N521">
        <v>0.37605087291953698</v>
      </c>
    </row>
    <row r="522" spans="2:14" x14ac:dyDescent="0.25">
      <c r="B522" t="s">
        <v>14</v>
      </c>
      <c r="C522" s="1">
        <v>46174.999988425923</v>
      </c>
      <c r="D522">
        <v>25.1559029588411</v>
      </c>
      <c r="E522">
        <v>194676.295541225</v>
      </c>
      <c r="F522" s="1">
        <v>46173.605520833335</v>
      </c>
      <c r="G522">
        <v>52.874696510322202</v>
      </c>
      <c r="H522" t="s">
        <v>19</v>
      </c>
      <c r="J522" t="s">
        <v>16</v>
      </c>
      <c r="K522">
        <v>517686.062074052</v>
      </c>
      <c r="L522" t="s">
        <v>17</v>
      </c>
      <c r="M522">
        <v>0</v>
      </c>
      <c r="N522">
        <v>0.37605087291953698</v>
      </c>
    </row>
    <row r="523" spans="2:14" x14ac:dyDescent="0.25">
      <c r="B523" t="s">
        <v>14</v>
      </c>
      <c r="C523" s="1">
        <v>46173.999988425923</v>
      </c>
      <c r="D523">
        <v>25.1559029588411</v>
      </c>
      <c r="E523">
        <v>194676.295541225</v>
      </c>
      <c r="F523" s="1">
        <v>46173.605520833335</v>
      </c>
      <c r="G523">
        <v>52.874696510322202</v>
      </c>
      <c r="H523" t="s">
        <v>19</v>
      </c>
      <c r="J523" t="s">
        <v>16</v>
      </c>
      <c r="K523">
        <v>517686.062074052</v>
      </c>
      <c r="L523" t="s">
        <v>17</v>
      </c>
      <c r="M523">
        <v>0</v>
      </c>
      <c r="N523">
        <v>0.37605087291953698</v>
      </c>
    </row>
    <row r="524" spans="2:14" x14ac:dyDescent="0.25">
      <c r="B524" t="s">
        <v>14</v>
      </c>
      <c r="C524" s="1">
        <v>46172.999988425923</v>
      </c>
      <c r="D524">
        <v>25.1559029588411</v>
      </c>
      <c r="E524">
        <v>228933.70283123301</v>
      </c>
      <c r="F524" s="1">
        <v>46170.099791666667</v>
      </c>
      <c r="G524">
        <v>52.874696510322202</v>
      </c>
      <c r="H524" t="s">
        <v>19</v>
      </c>
      <c r="J524" t="s">
        <v>16</v>
      </c>
      <c r="K524">
        <v>517686.062074052</v>
      </c>
      <c r="L524" t="s">
        <v>17</v>
      </c>
      <c r="M524">
        <v>34257.407290007999</v>
      </c>
      <c r="N524">
        <v>0.44222496915222198</v>
      </c>
    </row>
    <row r="525" spans="2:14" x14ac:dyDescent="0.25">
      <c r="B525" t="s">
        <v>14</v>
      </c>
      <c r="C525" s="1">
        <v>46171.999988425923</v>
      </c>
      <c r="D525">
        <v>25.1559029588411</v>
      </c>
      <c r="E525">
        <v>228933.70283123301</v>
      </c>
      <c r="F525" s="1">
        <v>46170.099791666667</v>
      </c>
      <c r="G525">
        <v>52.874696510322202</v>
      </c>
      <c r="H525" t="s">
        <v>19</v>
      </c>
      <c r="J525" t="s">
        <v>16</v>
      </c>
      <c r="K525">
        <v>517686.062074052</v>
      </c>
      <c r="L525" t="s">
        <v>17</v>
      </c>
      <c r="M525">
        <v>0</v>
      </c>
      <c r="N525">
        <v>0.44222496915222198</v>
      </c>
    </row>
    <row r="526" spans="2:14" x14ac:dyDescent="0.25">
      <c r="B526" t="s">
        <v>14</v>
      </c>
      <c r="C526" s="1">
        <v>46170.999988425923</v>
      </c>
      <c r="D526">
        <v>25.1559029588411</v>
      </c>
      <c r="E526">
        <v>228933.70283123301</v>
      </c>
      <c r="F526" s="1">
        <v>46170.099791666667</v>
      </c>
      <c r="G526">
        <v>52.874696510322202</v>
      </c>
      <c r="H526" t="s">
        <v>19</v>
      </c>
      <c r="J526" t="s">
        <v>16</v>
      </c>
      <c r="K526">
        <v>517686.062074052</v>
      </c>
      <c r="L526" t="s">
        <v>17</v>
      </c>
      <c r="M526">
        <v>0</v>
      </c>
      <c r="N526">
        <v>0.44222496915222198</v>
      </c>
    </row>
    <row r="527" spans="2:14" x14ac:dyDescent="0.25">
      <c r="B527" t="s">
        <v>14</v>
      </c>
      <c r="C527" s="1">
        <v>46169.999988425923</v>
      </c>
      <c r="D527">
        <v>25.1559029588411</v>
      </c>
      <c r="E527">
        <v>128893.54216418701</v>
      </c>
      <c r="F527" s="1">
        <v>46167.60628472222</v>
      </c>
      <c r="G527">
        <v>52.874696510322202</v>
      </c>
      <c r="H527" t="s">
        <v>19</v>
      </c>
      <c r="J527" t="s">
        <v>16</v>
      </c>
      <c r="K527">
        <v>517686.062074052</v>
      </c>
      <c r="L527" t="s">
        <v>17</v>
      </c>
      <c r="M527">
        <v>-100040.160667046</v>
      </c>
      <c r="N527">
        <v>0.24898012831906099</v>
      </c>
    </row>
    <row r="528" spans="2:14" x14ac:dyDescent="0.25">
      <c r="B528" t="s">
        <v>14</v>
      </c>
      <c r="C528" s="1">
        <v>46168.999988425923</v>
      </c>
      <c r="D528">
        <v>25.1559029588411</v>
      </c>
      <c r="E528">
        <v>128893.54216418701</v>
      </c>
      <c r="F528" s="1">
        <v>46167.60628472222</v>
      </c>
      <c r="G528">
        <v>52.874696510322202</v>
      </c>
      <c r="H528" t="s">
        <v>19</v>
      </c>
      <c r="J528" t="s">
        <v>16</v>
      </c>
      <c r="K528">
        <v>517686.062074052</v>
      </c>
      <c r="L528" t="s">
        <v>17</v>
      </c>
      <c r="M528">
        <v>0</v>
      </c>
      <c r="N528">
        <v>0.24898012831906099</v>
      </c>
    </row>
    <row r="529" spans="2:14" x14ac:dyDescent="0.25">
      <c r="B529" t="s">
        <v>14</v>
      </c>
      <c r="C529" s="1">
        <v>46167.999988425923</v>
      </c>
      <c r="D529">
        <v>25.1559029588411</v>
      </c>
      <c r="E529">
        <v>128893.54216418701</v>
      </c>
      <c r="F529" s="1">
        <v>46167.60628472222</v>
      </c>
      <c r="G529">
        <v>52.874696510322202</v>
      </c>
      <c r="H529" t="s">
        <v>19</v>
      </c>
      <c r="J529" t="s">
        <v>16</v>
      </c>
      <c r="K529">
        <v>517686.062074052</v>
      </c>
      <c r="L529" t="s">
        <v>17</v>
      </c>
      <c r="M529">
        <v>0</v>
      </c>
      <c r="N529">
        <v>0.24898012831906099</v>
      </c>
    </row>
    <row r="530" spans="2:14" x14ac:dyDescent="0.25">
      <c r="B530" t="s">
        <v>14</v>
      </c>
      <c r="C530" s="1">
        <v>46166.999988425923</v>
      </c>
      <c r="D530">
        <v>25.1559029588411</v>
      </c>
      <c r="E530">
        <v>252348.47084401399</v>
      </c>
      <c r="F530" s="1">
        <v>46165.099259259259</v>
      </c>
      <c r="G530">
        <v>52.874696510322202</v>
      </c>
      <c r="H530" t="s">
        <v>19</v>
      </c>
      <c r="J530" t="s">
        <v>16</v>
      </c>
      <c r="K530">
        <v>517686.062074052</v>
      </c>
      <c r="L530" t="s">
        <v>17</v>
      </c>
      <c r="M530">
        <v>123454.928679827</v>
      </c>
      <c r="N530">
        <v>0.48745463579414899</v>
      </c>
    </row>
    <row r="531" spans="2:14" x14ac:dyDescent="0.25">
      <c r="B531" t="s">
        <v>14</v>
      </c>
      <c r="C531" s="1">
        <v>46165.999988425923</v>
      </c>
      <c r="D531">
        <v>25.1559029588411</v>
      </c>
      <c r="E531">
        <v>252348.47084401399</v>
      </c>
      <c r="F531" s="1">
        <v>46165.099259259259</v>
      </c>
      <c r="G531">
        <v>52.874696510322202</v>
      </c>
      <c r="H531" t="s">
        <v>19</v>
      </c>
      <c r="J531" t="s">
        <v>16</v>
      </c>
      <c r="K531">
        <v>517686.062074052</v>
      </c>
      <c r="L531" t="s">
        <v>17</v>
      </c>
      <c r="M531">
        <v>0</v>
      </c>
      <c r="N531">
        <v>0.48745463579414899</v>
      </c>
    </row>
    <row r="532" spans="2:14" x14ac:dyDescent="0.25">
      <c r="B532" t="s">
        <v>14</v>
      </c>
      <c r="C532" s="1">
        <v>46164.999988425923</v>
      </c>
      <c r="D532">
        <v>25.1559029588411</v>
      </c>
      <c r="E532">
        <v>517686.062074052</v>
      </c>
      <c r="F532" s="1">
        <v>46164.099143518521</v>
      </c>
      <c r="G532">
        <v>52.874696510322202</v>
      </c>
      <c r="H532" t="s">
        <v>19</v>
      </c>
      <c r="J532" t="s">
        <v>16</v>
      </c>
      <c r="K532">
        <v>517686.062074052</v>
      </c>
      <c r="L532" t="s">
        <v>17</v>
      </c>
      <c r="M532">
        <v>265337.59123003698</v>
      </c>
      <c r="N532">
        <v>1</v>
      </c>
    </row>
    <row r="533" spans="2:14" x14ac:dyDescent="0.25">
      <c r="B533" t="s">
        <v>14</v>
      </c>
      <c r="C533" s="1">
        <v>46163.999988425923</v>
      </c>
      <c r="D533">
        <v>25.1559029588411</v>
      </c>
      <c r="E533">
        <v>224345.53156130001</v>
      </c>
      <c r="F533" s="1">
        <v>46162.605624999997</v>
      </c>
      <c r="G533">
        <v>52.874696510322202</v>
      </c>
      <c r="H533" t="s">
        <v>19</v>
      </c>
      <c r="J533" t="s">
        <v>16</v>
      </c>
      <c r="K533">
        <v>517686.062074052</v>
      </c>
      <c r="L533" t="s">
        <v>17</v>
      </c>
      <c r="M533">
        <v>-293340.53051275102</v>
      </c>
      <c r="N533">
        <v>0.43336212426211401</v>
      </c>
    </row>
    <row r="534" spans="2:14" x14ac:dyDescent="0.25">
      <c r="B534" t="s">
        <v>14</v>
      </c>
      <c r="C534" s="1">
        <v>46162.999988425923</v>
      </c>
      <c r="D534">
        <v>25.1559029588411</v>
      </c>
      <c r="E534">
        <v>224345.53156130001</v>
      </c>
      <c r="F534" s="1">
        <v>46162.605624999997</v>
      </c>
      <c r="G534">
        <v>52.874696510322202</v>
      </c>
      <c r="H534" t="s">
        <v>19</v>
      </c>
      <c r="J534" t="s">
        <v>16</v>
      </c>
      <c r="K534">
        <v>517686.062074052</v>
      </c>
      <c r="L534" t="s">
        <v>17</v>
      </c>
      <c r="M534">
        <v>0</v>
      </c>
      <c r="N534">
        <v>0.43336212426211401</v>
      </c>
    </row>
    <row r="535" spans="2:14" x14ac:dyDescent="0.25">
      <c r="B535" t="s">
        <v>14</v>
      </c>
      <c r="C535" s="1">
        <v>46161.999988425923</v>
      </c>
      <c r="D535">
        <v>25.1559029588411</v>
      </c>
      <c r="E535">
        <v>517686.062074052</v>
      </c>
      <c r="F535" s="1">
        <v>46161.605509259258</v>
      </c>
      <c r="G535">
        <v>52.874696510322202</v>
      </c>
      <c r="H535" t="s">
        <v>19</v>
      </c>
      <c r="J535" t="s">
        <v>16</v>
      </c>
      <c r="K535">
        <v>517686.062074052</v>
      </c>
      <c r="L535" t="s">
        <v>17</v>
      </c>
      <c r="M535">
        <v>293340.53051275102</v>
      </c>
      <c r="N535">
        <v>1</v>
      </c>
    </row>
    <row r="536" spans="2:14" x14ac:dyDescent="0.25">
      <c r="B536" t="s">
        <v>14</v>
      </c>
      <c r="C536" s="1">
        <v>46160.999988425923</v>
      </c>
      <c r="D536">
        <v>25.1559029588411</v>
      </c>
      <c r="E536">
        <v>120924.342960603</v>
      </c>
      <c r="F536" s="1">
        <v>46158.099791666667</v>
      </c>
      <c r="G536">
        <v>52.874696510322202</v>
      </c>
      <c r="H536" t="s">
        <v>19</v>
      </c>
      <c r="J536" t="s">
        <v>16</v>
      </c>
      <c r="K536">
        <v>517686.062074052</v>
      </c>
      <c r="L536" t="s">
        <v>17</v>
      </c>
      <c r="M536">
        <v>-396761.71911344898</v>
      </c>
      <c r="N536">
        <v>0.23358624428892799</v>
      </c>
    </row>
    <row r="537" spans="2:14" x14ac:dyDescent="0.25">
      <c r="B537" t="s">
        <v>14</v>
      </c>
      <c r="C537" s="1">
        <v>46159.999988425923</v>
      </c>
      <c r="D537">
        <v>25.1559029588411</v>
      </c>
      <c r="E537">
        <v>120924.342960603</v>
      </c>
      <c r="F537" s="1">
        <v>46158.099791666667</v>
      </c>
      <c r="G537">
        <v>52.874696510322202</v>
      </c>
      <c r="H537" t="s">
        <v>19</v>
      </c>
      <c r="J537" t="s">
        <v>16</v>
      </c>
      <c r="K537">
        <v>517686.062074052</v>
      </c>
      <c r="L537" t="s">
        <v>17</v>
      </c>
      <c r="M537">
        <v>0</v>
      </c>
      <c r="N537">
        <v>0.23358624428892799</v>
      </c>
    </row>
    <row r="538" spans="2:14" x14ac:dyDescent="0.25">
      <c r="B538" t="s">
        <v>14</v>
      </c>
      <c r="C538" s="1">
        <v>46158.999988425923</v>
      </c>
      <c r="D538">
        <v>25.1559029588411</v>
      </c>
      <c r="E538">
        <v>120924.342960603</v>
      </c>
      <c r="F538" s="1">
        <v>46158.099791666667</v>
      </c>
      <c r="G538">
        <v>52.874696510322202</v>
      </c>
      <c r="H538" t="s">
        <v>19</v>
      </c>
      <c r="J538" t="s">
        <v>16</v>
      </c>
      <c r="K538">
        <v>517686.062074052</v>
      </c>
      <c r="L538" t="s">
        <v>17</v>
      </c>
      <c r="M538">
        <v>0</v>
      </c>
      <c r="N538">
        <v>0.23358624428892799</v>
      </c>
    </row>
    <row r="539" spans="2:14" x14ac:dyDescent="0.25">
      <c r="B539" t="s">
        <v>14</v>
      </c>
      <c r="C539" s="1">
        <v>46157.999988425923</v>
      </c>
      <c r="D539">
        <v>25.1559029588411</v>
      </c>
      <c r="E539">
        <v>122097.26741415101</v>
      </c>
      <c r="F539" s="1">
        <v>46155.60628472222</v>
      </c>
      <c r="G539">
        <v>52.874696510322202</v>
      </c>
      <c r="H539" t="s">
        <v>19</v>
      </c>
      <c r="J539" t="s">
        <v>16</v>
      </c>
      <c r="K539">
        <v>517686.062074052</v>
      </c>
      <c r="L539" t="s">
        <v>17</v>
      </c>
      <c r="M539">
        <v>1172.9244535484399</v>
      </c>
      <c r="N539">
        <v>0.23585195035961001</v>
      </c>
    </row>
    <row r="540" spans="2:14" x14ac:dyDescent="0.25">
      <c r="B540" t="s">
        <v>14</v>
      </c>
      <c r="C540" s="1">
        <v>46156.999988425923</v>
      </c>
      <c r="D540">
        <v>25.1559029588411</v>
      </c>
      <c r="E540">
        <v>122097.26741415101</v>
      </c>
      <c r="F540" s="1">
        <v>46155.60628472222</v>
      </c>
      <c r="G540">
        <v>52.874696510322202</v>
      </c>
      <c r="H540" t="s">
        <v>19</v>
      </c>
      <c r="J540" t="s">
        <v>16</v>
      </c>
      <c r="K540">
        <v>517686.062074052</v>
      </c>
      <c r="L540" t="s">
        <v>17</v>
      </c>
      <c r="M540">
        <v>0</v>
      </c>
      <c r="N540">
        <v>0.23585195035961001</v>
      </c>
    </row>
    <row r="541" spans="2:14" x14ac:dyDescent="0.25">
      <c r="B541" t="s">
        <v>14</v>
      </c>
      <c r="C541" s="1">
        <v>46155.999988425923</v>
      </c>
      <c r="D541">
        <v>25.1559029588411</v>
      </c>
      <c r="E541">
        <v>122097.26741415101</v>
      </c>
      <c r="F541" s="1">
        <v>46155.60628472222</v>
      </c>
      <c r="G541">
        <v>52.874696510322202</v>
      </c>
      <c r="H541" t="s">
        <v>19</v>
      </c>
      <c r="J541" t="s">
        <v>16</v>
      </c>
      <c r="K541">
        <v>517686.062074052</v>
      </c>
      <c r="L541" t="s">
        <v>17</v>
      </c>
      <c r="M541">
        <v>0</v>
      </c>
      <c r="N541">
        <v>0.23585195035961001</v>
      </c>
    </row>
    <row r="542" spans="2:14" x14ac:dyDescent="0.25">
      <c r="B542" t="s">
        <v>14</v>
      </c>
      <c r="C542" s="1">
        <v>46154.999988425923</v>
      </c>
      <c r="D542">
        <v>25.1559029588411</v>
      </c>
      <c r="E542">
        <v>517686.062074052</v>
      </c>
      <c r="F542" s="1">
        <v>46153.099247685182</v>
      </c>
      <c r="G542">
        <v>52.874696510322202</v>
      </c>
      <c r="H542" t="s">
        <v>19</v>
      </c>
      <c r="J542" t="s">
        <v>16</v>
      </c>
      <c r="K542">
        <v>517686.062074052</v>
      </c>
      <c r="L542" t="s">
        <v>17</v>
      </c>
      <c r="M542">
        <v>395588.79465990001</v>
      </c>
      <c r="N542">
        <v>1</v>
      </c>
    </row>
    <row r="543" spans="2:14" x14ac:dyDescent="0.25">
      <c r="B543" t="s">
        <v>14</v>
      </c>
      <c r="C543" s="1">
        <v>46153.999988425923</v>
      </c>
      <c r="D543">
        <v>25.1559029588411</v>
      </c>
      <c r="E543">
        <v>517686.062074052</v>
      </c>
      <c r="F543" s="1">
        <v>46153.099247685182</v>
      </c>
      <c r="G543">
        <v>52.874696510322202</v>
      </c>
      <c r="H543" t="s">
        <v>19</v>
      </c>
      <c r="J543" t="s">
        <v>16</v>
      </c>
      <c r="K543">
        <v>517686.062074052</v>
      </c>
      <c r="L543" t="s">
        <v>17</v>
      </c>
      <c r="M543">
        <v>0</v>
      </c>
      <c r="N543">
        <v>1</v>
      </c>
    </row>
    <row r="544" spans="2:14" x14ac:dyDescent="0.25">
      <c r="B544" t="s">
        <v>14</v>
      </c>
      <c r="C544" s="1">
        <v>46152.999988425923</v>
      </c>
      <c r="D544">
        <v>25.1559029588411</v>
      </c>
      <c r="E544">
        <v>517686.062074052</v>
      </c>
      <c r="F544" s="1">
        <v>46150.605613425927</v>
      </c>
      <c r="G544">
        <v>52.874696510322202</v>
      </c>
      <c r="H544" t="s">
        <v>19</v>
      </c>
      <c r="J544" t="s">
        <v>16</v>
      </c>
      <c r="K544">
        <v>517686.062074052</v>
      </c>
      <c r="L544" t="s">
        <v>17</v>
      </c>
      <c r="M544">
        <v>0</v>
      </c>
      <c r="N544">
        <v>1</v>
      </c>
    </row>
    <row r="545" spans="2:14" x14ac:dyDescent="0.25">
      <c r="B545" t="s">
        <v>14</v>
      </c>
      <c r="C545" s="1">
        <v>46151.999988425923</v>
      </c>
      <c r="D545">
        <v>25.1559029588411</v>
      </c>
      <c r="E545">
        <v>517686.062074052</v>
      </c>
      <c r="F545" s="1">
        <v>46150.605613425927</v>
      </c>
      <c r="G545">
        <v>52.874696510322202</v>
      </c>
      <c r="H545" t="s">
        <v>19</v>
      </c>
      <c r="J545" t="s">
        <v>16</v>
      </c>
      <c r="K545">
        <v>517686.062074052</v>
      </c>
      <c r="L545" t="s">
        <v>17</v>
      </c>
      <c r="M545">
        <v>0</v>
      </c>
      <c r="N545">
        <v>1</v>
      </c>
    </row>
    <row r="546" spans="2:14" x14ac:dyDescent="0.25">
      <c r="B546" t="s">
        <v>14</v>
      </c>
      <c r="C546" s="1">
        <v>46150.999988425923</v>
      </c>
      <c r="D546">
        <v>25.1559029588411</v>
      </c>
      <c r="E546">
        <v>517686.062074052</v>
      </c>
      <c r="F546" s="1">
        <v>46150.605613425927</v>
      </c>
      <c r="G546">
        <v>52.874696510322202</v>
      </c>
      <c r="H546" t="s">
        <v>19</v>
      </c>
      <c r="J546" t="s">
        <v>16</v>
      </c>
      <c r="K546">
        <v>517686.062074052</v>
      </c>
      <c r="L546" t="s">
        <v>17</v>
      </c>
      <c r="M546">
        <v>0</v>
      </c>
      <c r="N546">
        <v>1</v>
      </c>
    </row>
    <row r="547" spans="2:14" x14ac:dyDescent="0.25">
      <c r="B547" t="s">
        <v>14</v>
      </c>
      <c r="C547" s="1">
        <v>46149.999988425923</v>
      </c>
      <c r="D547">
        <v>25.1559029588411</v>
      </c>
      <c r="E547">
        <v>517686.062074052</v>
      </c>
      <c r="F547" s="1">
        <v>46149.605497685188</v>
      </c>
      <c r="G547">
        <v>52.874696510322202</v>
      </c>
      <c r="H547" t="s">
        <v>19</v>
      </c>
      <c r="J547" t="s">
        <v>16</v>
      </c>
      <c r="K547">
        <v>517686.062074052</v>
      </c>
      <c r="L547" t="s">
        <v>17</v>
      </c>
      <c r="M547">
        <v>0</v>
      </c>
      <c r="N547">
        <v>1</v>
      </c>
    </row>
    <row r="548" spans="2:14" x14ac:dyDescent="0.25">
      <c r="B548" t="s">
        <v>14</v>
      </c>
      <c r="C548" s="1">
        <v>46148.999988425923</v>
      </c>
      <c r="D548">
        <v>25.1559029588411</v>
      </c>
      <c r="E548">
        <v>501753.62177632801</v>
      </c>
      <c r="F548" s="1">
        <v>46146.099803240744</v>
      </c>
      <c r="G548">
        <v>52.874696510322202</v>
      </c>
      <c r="H548" t="s">
        <v>19</v>
      </c>
      <c r="J548" t="s">
        <v>16</v>
      </c>
      <c r="K548">
        <v>517686.062074052</v>
      </c>
      <c r="L548" t="s">
        <v>17</v>
      </c>
      <c r="M548">
        <v>-15932.440297723901</v>
      </c>
      <c r="N548">
        <v>0.96922374105670805</v>
      </c>
    </row>
    <row r="549" spans="2:14" x14ac:dyDescent="0.25">
      <c r="B549" t="s">
        <v>14</v>
      </c>
      <c r="C549" s="1">
        <v>46147.999988425923</v>
      </c>
      <c r="D549">
        <v>25.1559029588411</v>
      </c>
      <c r="E549">
        <v>501753.62177632801</v>
      </c>
      <c r="F549" s="1">
        <v>46146.099803240744</v>
      </c>
      <c r="G549">
        <v>52.874696510322202</v>
      </c>
      <c r="H549" t="s">
        <v>19</v>
      </c>
      <c r="J549" t="s">
        <v>16</v>
      </c>
      <c r="K549">
        <v>517686.062074052</v>
      </c>
      <c r="L549" t="s">
        <v>17</v>
      </c>
      <c r="M549">
        <v>0</v>
      </c>
      <c r="N549">
        <v>0.96922374105670805</v>
      </c>
    </row>
    <row r="550" spans="2:14" x14ac:dyDescent="0.25">
      <c r="B550" t="s">
        <v>14</v>
      </c>
      <c r="C550" s="1">
        <v>46146.999988425923</v>
      </c>
      <c r="D550">
        <v>25.1559029588411</v>
      </c>
      <c r="E550">
        <v>501753.62177632801</v>
      </c>
      <c r="F550" s="1">
        <v>46146.099803240744</v>
      </c>
      <c r="G550">
        <v>52.874696510322202</v>
      </c>
      <c r="H550" t="s">
        <v>19</v>
      </c>
      <c r="J550" t="s">
        <v>16</v>
      </c>
      <c r="K550">
        <v>517686.062074052</v>
      </c>
      <c r="L550" t="s">
        <v>17</v>
      </c>
      <c r="M550">
        <v>0</v>
      </c>
      <c r="N550">
        <v>0.96922374105670805</v>
      </c>
    </row>
    <row r="551" spans="2:14" x14ac:dyDescent="0.25">
      <c r="B551" t="s">
        <v>14</v>
      </c>
      <c r="C551" s="1">
        <v>46145.999988425923</v>
      </c>
      <c r="D551">
        <v>25.1559029588411</v>
      </c>
      <c r="E551">
        <v>120047.46120062</v>
      </c>
      <c r="F551" s="1">
        <v>46143.606296296297</v>
      </c>
      <c r="G551">
        <v>52.874696510322202</v>
      </c>
      <c r="H551" t="s">
        <v>19</v>
      </c>
      <c r="J551" t="s">
        <v>16</v>
      </c>
      <c r="K551">
        <v>517686.062074052</v>
      </c>
      <c r="L551" t="s">
        <v>17</v>
      </c>
      <c r="M551">
        <v>-381706.16057570698</v>
      </c>
      <c r="N551">
        <v>0.231892395788411</v>
      </c>
    </row>
    <row r="552" spans="2:14" x14ac:dyDescent="0.25">
      <c r="B552" t="s">
        <v>14</v>
      </c>
      <c r="C552" s="1">
        <v>46144.999988425923</v>
      </c>
      <c r="D552">
        <v>25.1559029588411</v>
      </c>
      <c r="E552">
        <v>120047.46120062</v>
      </c>
      <c r="F552" s="1">
        <v>46143.606296296297</v>
      </c>
      <c r="G552">
        <v>52.874696510322202</v>
      </c>
      <c r="H552" t="s">
        <v>19</v>
      </c>
      <c r="J552" t="s">
        <v>16</v>
      </c>
      <c r="K552">
        <v>517686.062074052</v>
      </c>
      <c r="L552" t="s">
        <v>17</v>
      </c>
      <c r="M552">
        <v>0</v>
      </c>
      <c r="N552">
        <v>0.231892395788411</v>
      </c>
    </row>
    <row r="553" spans="2:14" x14ac:dyDescent="0.25">
      <c r="B553" t="s">
        <v>14</v>
      </c>
      <c r="C553" s="1">
        <v>46143.999988425923</v>
      </c>
      <c r="D553">
        <v>25.1559029588411</v>
      </c>
      <c r="E553">
        <v>120047.46120062</v>
      </c>
      <c r="F553" s="1">
        <v>46143.606296296297</v>
      </c>
      <c r="G553">
        <v>52.874696510322202</v>
      </c>
      <c r="H553" t="s">
        <v>19</v>
      </c>
      <c r="J553" t="s">
        <v>16</v>
      </c>
      <c r="K553">
        <v>517686.062074052</v>
      </c>
      <c r="L553" t="s">
        <v>17</v>
      </c>
      <c r="M553">
        <v>0</v>
      </c>
      <c r="N553">
        <v>0.231892395788411</v>
      </c>
    </row>
    <row r="554" spans="2:14" x14ac:dyDescent="0.25">
      <c r="B554" t="s">
        <v>14</v>
      </c>
      <c r="C554" s="1">
        <v>46142.999988425923</v>
      </c>
      <c r="D554">
        <v>25.1559029588411</v>
      </c>
      <c r="E554">
        <v>517686.062074052</v>
      </c>
      <c r="F554" s="1">
        <v>46140.099120370367</v>
      </c>
      <c r="G554">
        <v>52.874696510322202</v>
      </c>
      <c r="H554" t="s">
        <v>19</v>
      </c>
      <c r="J554" t="s">
        <v>16</v>
      </c>
      <c r="K554">
        <v>517686.062074052</v>
      </c>
      <c r="L554" t="s">
        <v>17</v>
      </c>
      <c r="M554">
        <v>397638.60087343102</v>
      </c>
      <c r="N554">
        <v>1</v>
      </c>
    </row>
    <row r="555" spans="2:14" x14ac:dyDescent="0.25">
      <c r="B555" t="s">
        <v>14</v>
      </c>
      <c r="C555" s="1">
        <v>46141.999988425923</v>
      </c>
      <c r="D555">
        <v>25.1559029588411</v>
      </c>
      <c r="E555">
        <v>517686.062074052</v>
      </c>
      <c r="F555" s="1">
        <v>46140.099120370367</v>
      </c>
      <c r="G555">
        <v>52.874696510322202</v>
      </c>
      <c r="H555" t="s">
        <v>19</v>
      </c>
      <c r="J555" t="s">
        <v>16</v>
      </c>
      <c r="K555">
        <v>517686.062074052</v>
      </c>
      <c r="L555" t="s">
        <v>17</v>
      </c>
      <c r="M555">
        <v>0</v>
      </c>
      <c r="N555">
        <v>1</v>
      </c>
    </row>
    <row r="556" spans="2:14" x14ac:dyDescent="0.25">
      <c r="B556" t="s">
        <v>14</v>
      </c>
      <c r="C556" s="1">
        <v>46140.999988425923</v>
      </c>
      <c r="D556">
        <v>25.1559029588411</v>
      </c>
      <c r="E556">
        <v>517686.062074052</v>
      </c>
      <c r="F556" s="1">
        <v>46140.099120370367</v>
      </c>
      <c r="G556">
        <v>52.874696510322202</v>
      </c>
      <c r="H556" t="s">
        <v>19</v>
      </c>
      <c r="J556" t="s">
        <v>16</v>
      </c>
      <c r="K556">
        <v>517686.062074052</v>
      </c>
      <c r="L556" t="s">
        <v>17</v>
      </c>
      <c r="M556">
        <v>0</v>
      </c>
      <c r="N556">
        <v>1</v>
      </c>
    </row>
    <row r="557" spans="2:14" x14ac:dyDescent="0.25">
      <c r="B557" t="s">
        <v>14</v>
      </c>
      <c r="C557" s="1">
        <v>46139.999988425923</v>
      </c>
      <c r="D557">
        <v>25.1559029588411</v>
      </c>
      <c r="E557">
        <v>457823.06014476001</v>
      </c>
      <c r="F557" s="1">
        <v>46137.605486111112</v>
      </c>
      <c r="G557">
        <v>52.874696510322202</v>
      </c>
      <c r="H557" t="s">
        <v>19</v>
      </c>
      <c r="J557" t="s">
        <v>16</v>
      </c>
      <c r="K557">
        <v>517686.062074052</v>
      </c>
      <c r="L557" t="s">
        <v>17</v>
      </c>
      <c r="M557">
        <v>-59863.001929291298</v>
      </c>
      <c r="N557">
        <v>0.88436427728137601</v>
      </c>
    </row>
    <row r="558" spans="2:14" x14ac:dyDescent="0.25">
      <c r="B558" t="s">
        <v>14</v>
      </c>
      <c r="C558" s="1">
        <v>46138.999988425923</v>
      </c>
      <c r="D558">
        <v>25.1559029588411</v>
      </c>
      <c r="E558">
        <v>457823.06014476001</v>
      </c>
      <c r="F558" s="1">
        <v>46137.605486111112</v>
      </c>
      <c r="G558">
        <v>52.874696510322202</v>
      </c>
      <c r="H558" t="s">
        <v>19</v>
      </c>
      <c r="J558" t="s">
        <v>16</v>
      </c>
      <c r="K558">
        <v>517686.062074052</v>
      </c>
      <c r="L558" t="s">
        <v>17</v>
      </c>
      <c r="M558">
        <v>0</v>
      </c>
      <c r="N558">
        <v>0.88436427728137601</v>
      </c>
    </row>
    <row r="559" spans="2:14" x14ac:dyDescent="0.25">
      <c r="B559" t="s">
        <v>14</v>
      </c>
      <c r="C559" s="1">
        <v>46137.999988425923</v>
      </c>
      <c r="D559">
        <v>25.1559029588411</v>
      </c>
      <c r="E559">
        <v>457823.06014476001</v>
      </c>
      <c r="F559" s="1">
        <v>46137.605486111112</v>
      </c>
      <c r="G559">
        <v>52.874696510322202</v>
      </c>
      <c r="H559" t="s">
        <v>19</v>
      </c>
      <c r="J559" t="s">
        <v>16</v>
      </c>
      <c r="K559">
        <v>517686.062074052</v>
      </c>
      <c r="L559" t="s">
        <v>17</v>
      </c>
      <c r="M559">
        <v>0</v>
      </c>
      <c r="N559">
        <v>0.88436427728137601</v>
      </c>
    </row>
    <row r="560" spans="2:14" x14ac:dyDescent="0.25">
      <c r="B560" t="s">
        <v>14</v>
      </c>
      <c r="C560" s="1">
        <v>46136.999988425923</v>
      </c>
      <c r="D560">
        <v>25.1559029588411</v>
      </c>
      <c r="E560">
        <v>517686.062074052</v>
      </c>
      <c r="F560" s="1">
        <v>46134.099803240744</v>
      </c>
      <c r="G560">
        <v>52.874696510322202</v>
      </c>
      <c r="H560" t="s">
        <v>19</v>
      </c>
      <c r="J560" t="s">
        <v>16</v>
      </c>
      <c r="K560">
        <v>517686.062074052</v>
      </c>
      <c r="L560" t="s">
        <v>17</v>
      </c>
      <c r="M560">
        <v>59863.001929291298</v>
      </c>
      <c r="N560">
        <v>1</v>
      </c>
    </row>
    <row r="561" spans="2:14" x14ac:dyDescent="0.25">
      <c r="B561" t="s">
        <v>14</v>
      </c>
      <c r="C561" s="1">
        <v>46135.999988425923</v>
      </c>
      <c r="D561">
        <v>25.1559029588411</v>
      </c>
      <c r="E561">
        <v>517686.062074052</v>
      </c>
      <c r="F561" s="1">
        <v>46134.099803240744</v>
      </c>
      <c r="G561">
        <v>52.874696510322202</v>
      </c>
      <c r="H561" t="s">
        <v>19</v>
      </c>
      <c r="J561" t="s">
        <v>16</v>
      </c>
      <c r="K561">
        <v>517686.062074052</v>
      </c>
      <c r="L561" t="s">
        <v>17</v>
      </c>
      <c r="M561">
        <v>0</v>
      </c>
      <c r="N561">
        <v>1</v>
      </c>
    </row>
    <row r="562" spans="2:14" x14ac:dyDescent="0.25">
      <c r="B562" t="s">
        <v>14</v>
      </c>
      <c r="C562" s="1">
        <v>46134.999988425923</v>
      </c>
      <c r="D562">
        <v>25.1559029588411</v>
      </c>
      <c r="E562">
        <v>517686.062074052</v>
      </c>
      <c r="F562" s="1">
        <v>46134.099803240744</v>
      </c>
      <c r="G562">
        <v>52.874696510322202</v>
      </c>
      <c r="H562" t="s">
        <v>19</v>
      </c>
      <c r="J562" t="s">
        <v>16</v>
      </c>
      <c r="K562">
        <v>517686.062074052</v>
      </c>
      <c r="L562" t="s">
        <v>17</v>
      </c>
      <c r="M562">
        <v>0</v>
      </c>
      <c r="N562">
        <v>1</v>
      </c>
    </row>
    <row r="563" spans="2:14" x14ac:dyDescent="0.25">
      <c r="B563" t="s">
        <v>14</v>
      </c>
      <c r="C563" s="1">
        <v>46133.999988425923</v>
      </c>
      <c r="D563">
        <v>25.1559029588411</v>
      </c>
      <c r="E563">
        <v>134500.44450071701</v>
      </c>
      <c r="F563" s="1">
        <v>46131.606296296297</v>
      </c>
      <c r="G563">
        <v>52.874696510322202</v>
      </c>
      <c r="H563" t="s">
        <v>19</v>
      </c>
      <c r="J563" t="s">
        <v>16</v>
      </c>
      <c r="K563">
        <v>517686.062074052</v>
      </c>
      <c r="L563" t="s">
        <v>17</v>
      </c>
      <c r="M563">
        <v>-383185.61757333402</v>
      </c>
      <c r="N563">
        <v>0.25981082813366901</v>
      </c>
    </row>
    <row r="564" spans="2:14" x14ac:dyDescent="0.25">
      <c r="B564" t="s">
        <v>14</v>
      </c>
      <c r="C564" s="1">
        <v>46132.999988425923</v>
      </c>
      <c r="D564">
        <v>25.1559029588411</v>
      </c>
      <c r="E564">
        <v>134500.44450071701</v>
      </c>
      <c r="F564" s="1">
        <v>46131.606296296297</v>
      </c>
      <c r="G564">
        <v>52.874696510322202</v>
      </c>
      <c r="H564" t="s">
        <v>19</v>
      </c>
      <c r="J564" t="s">
        <v>16</v>
      </c>
      <c r="K564">
        <v>517686.062074052</v>
      </c>
      <c r="L564" t="s">
        <v>17</v>
      </c>
      <c r="M564">
        <v>0</v>
      </c>
      <c r="N564">
        <v>0.25981082813366901</v>
      </c>
    </row>
    <row r="565" spans="2:14" x14ac:dyDescent="0.25">
      <c r="B565" t="s">
        <v>14</v>
      </c>
      <c r="C565" s="1">
        <v>46131.999988425923</v>
      </c>
      <c r="D565">
        <v>25.1559029588411</v>
      </c>
      <c r="E565">
        <v>134500.44450071701</v>
      </c>
      <c r="F565" s="1">
        <v>46131.606296296297</v>
      </c>
      <c r="G565">
        <v>52.874696510322202</v>
      </c>
      <c r="H565" t="s">
        <v>19</v>
      </c>
      <c r="J565" t="s">
        <v>16</v>
      </c>
      <c r="K565">
        <v>517686.062074052</v>
      </c>
      <c r="L565" t="s">
        <v>17</v>
      </c>
      <c r="M565">
        <v>0</v>
      </c>
      <c r="N565">
        <v>0.25981082813366901</v>
      </c>
    </row>
    <row r="566" spans="2:14" x14ac:dyDescent="0.25">
      <c r="B566" t="s">
        <v>14</v>
      </c>
      <c r="C566" s="1">
        <v>46130.999988425923</v>
      </c>
      <c r="D566">
        <v>25.1559029588411</v>
      </c>
      <c r="E566">
        <v>517686.062074052</v>
      </c>
      <c r="F566" s="1">
        <v>46128.099108796298</v>
      </c>
      <c r="G566">
        <v>52.874696510322202</v>
      </c>
      <c r="H566" t="s">
        <v>19</v>
      </c>
      <c r="J566" t="s">
        <v>16</v>
      </c>
      <c r="K566">
        <v>517686.062074052</v>
      </c>
      <c r="L566" t="s">
        <v>17</v>
      </c>
      <c r="M566">
        <v>383185.61757333402</v>
      </c>
      <c r="N566">
        <v>1</v>
      </c>
    </row>
    <row r="567" spans="2:14" x14ac:dyDescent="0.25">
      <c r="B567" t="s">
        <v>14</v>
      </c>
      <c r="C567" s="1">
        <v>46129.999988425923</v>
      </c>
      <c r="D567">
        <v>25.1559029588411</v>
      </c>
      <c r="E567">
        <v>517686.062074052</v>
      </c>
      <c r="F567" s="1">
        <v>46128.099108796298</v>
      </c>
      <c r="G567">
        <v>52.874696510322202</v>
      </c>
      <c r="H567" t="s">
        <v>19</v>
      </c>
      <c r="J567" t="s">
        <v>16</v>
      </c>
      <c r="K567">
        <v>517686.062074052</v>
      </c>
      <c r="L567" t="s">
        <v>17</v>
      </c>
      <c r="M567">
        <v>0</v>
      </c>
      <c r="N567">
        <v>1</v>
      </c>
    </row>
    <row r="568" spans="2:14" x14ac:dyDescent="0.25">
      <c r="B568" t="s">
        <v>14</v>
      </c>
      <c r="C568" s="1">
        <v>46128.999988425923</v>
      </c>
      <c r="D568">
        <v>25.1559029588411</v>
      </c>
      <c r="E568">
        <v>517686.062074052</v>
      </c>
      <c r="F568" s="1">
        <v>46128.099108796298</v>
      </c>
      <c r="G568">
        <v>52.874696510322202</v>
      </c>
      <c r="H568" t="s">
        <v>19</v>
      </c>
      <c r="J568" t="s">
        <v>16</v>
      </c>
      <c r="K568">
        <v>517686.062074052</v>
      </c>
      <c r="L568" t="s">
        <v>17</v>
      </c>
      <c r="M568">
        <v>0</v>
      </c>
      <c r="N568">
        <v>1</v>
      </c>
    </row>
    <row r="569" spans="2:14" x14ac:dyDescent="0.25">
      <c r="B569" t="s">
        <v>14</v>
      </c>
      <c r="C569" s="1">
        <v>46127.999988425923</v>
      </c>
      <c r="D569">
        <v>25.1559029588411</v>
      </c>
      <c r="E569">
        <v>137047.74123585399</v>
      </c>
      <c r="F569" s="1">
        <v>46125.605486111112</v>
      </c>
      <c r="G569">
        <v>52.874696510322202</v>
      </c>
      <c r="H569" t="s">
        <v>19</v>
      </c>
      <c r="J569" t="s">
        <v>16</v>
      </c>
      <c r="K569">
        <v>517686.062074052</v>
      </c>
      <c r="L569" t="s">
        <v>17</v>
      </c>
      <c r="M569">
        <v>-380638.32083819702</v>
      </c>
      <c r="N569">
        <v>0.26473137153198101</v>
      </c>
    </row>
    <row r="570" spans="2:14" x14ac:dyDescent="0.25">
      <c r="B570" t="s">
        <v>14</v>
      </c>
      <c r="C570" s="1">
        <v>46126.999988425923</v>
      </c>
      <c r="D570">
        <v>25.1559029588411</v>
      </c>
      <c r="E570">
        <v>137047.74123585399</v>
      </c>
      <c r="F570" s="1">
        <v>46125.605486111112</v>
      </c>
      <c r="G570">
        <v>52.874696510322202</v>
      </c>
      <c r="H570" t="s">
        <v>19</v>
      </c>
      <c r="J570" t="s">
        <v>16</v>
      </c>
      <c r="K570">
        <v>517686.062074052</v>
      </c>
      <c r="L570" t="s">
        <v>17</v>
      </c>
      <c r="M570">
        <v>0</v>
      </c>
      <c r="N570">
        <v>0.26473137153198101</v>
      </c>
    </row>
    <row r="571" spans="2:14" x14ac:dyDescent="0.25">
      <c r="B571" t="s">
        <v>14</v>
      </c>
      <c r="C571" s="1">
        <v>46125.999988425923</v>
      </c>
      <c r="D571">
        <v>25.1559029588411</v>
      </c>
      <c r="E571">
        <v>137047.74123585399</v>
      </c>
      <c r="F571" s="1">
        <v>46125.605486111112</v>
      </c>
      <c r="G571">
        <v>52.874696510322202</v>
      </c>
      <c r="H571" t="s">
        <v>19</v>
      </c>
      <c r="J571" t="s">
        <v>16</v>
      </c>
      <c r="K571">
        <v>517686.062074052</v>
      </c>
      <c r="L571" t="s">
        <v>17</v>
      </c>
      <c r="M571">
        <v>0</v>
      </c>
      <c r="N571">
        <v>0.26473137153198101</v>
      </c>
    </row>
    <row r="572" spans="2:14" x14ac:dyDescent="0.25">
      <c r="B572" t="s">
        <v>14</v>
      </c>
      <c r="C572" s="1">
        <v>46124.999988425923</v>
      </c>
      <c r="D572">
        <v>25.1559029588411</v>
      </c>
      <c r="E572">
        <v>139975.105398446</v>
      </c>
      <c r="F572" s="1">
        <v>46122.099803240744</v>
      </c>
      <c r="G572">
        <v>52.874696510322202</v>
      </c>
      <c r="H572" t="s">
        <v>19</v>
      </c>
      <c r="J572" t="s">
        <v>16</v>
      </c>
      <c r="K572">
        <v>517686.062074052</v>
      </c>
      <c r="L572" t="s">
        <v>17</v>
      </c>
      <c r="M572">
        <v>2927.3641625923301</v>
      </c>
      <c r="N572">
        <v>0.270386080779636</v>
      </c>
    </row>
    <row r="573" spans="2:14" x14ac:dyDescent="0.25">
      <c r="B573" t="s">
        <v>14</v>
      </c>
      <c r="C573" s="1">
        <v>46123.999988425923</v>
      </c>
      <c r="D573">
        <v>25.1559029588411</v>
      </c>
      <c r="E573">
        <v>139975.105398446</v>
      </c>
      <c r="F573" s="1">
        <v>46122.099803240744</v>
      </c>
      <c r="G573">
        <v>52.874696510322202</v>
      </c>
      <c r="H573" t="s">
        <v>19</v>
      </c>
      <c r="J573" t="s">
        <v>16</v>
      </c>
      <c r="K573">
        <v>517686.062074052</v>
      </c>
      <c r="L573" t="s">
        <v>17</v>
      </c>
      <c r="M573">
        <v>0</v>
      </c>
      <c r="N573">
        <v>0.270386080779636</v>
      </c>
    </row>
    <row r="574" spans="2:14" x14ac:dyDescent="0.25">
      <c r="B574" t="s">
        <v>14</v>
      </c>
      <c r="C574" s="1">
        <v>46122.999988425923</v>
      </c>
      <c r="D574">
        <v>25.1559029588411</v>
      </c>
      <c r="E574">
        <v>139975.105398446</v>
      </c>
      <c r="F574" s="1">
        <v>46122.099803240744</v>
      </c>
      <c r="G574">
        <v>52.874696510322202</v>
      </c>
      <c r="H574" t="s">
        <v>19</v>
      </c>
      <c r="J574" t="s">
        <v>16</v>
      </c>
      <c r="K574">
        <v>517686.062074052</v>
      </c>
      <c r="L574" t="s">
        <v>17</v>
      </c>
      <c r="M574">
        <v>0</v>
      </c>
      <c r="N574">
        <v>0.270386080779636</v>
      </c>
    </row>
    <row r="575" spans="2:14" x14ac:dyDescent="0.25">
      <c r="B575" t="s">
        <v>14</v>
      </c>
      <c r="C575" s="1">
        <v>46121.999988425923</v>
      </c>
      <c r="D575">
        <v>25.1559029588411</v>
      </c>
      <c r="E575">
        <v>135019.837175997</v>
      </c>
      <c r="F575" s="1">
        <v>46119.606296296297</v>
      </c>
      <c r="G575">
        <v>52.874696510322202</v>
      </c>
      <c r="H575" t="s">
        <v>19</v>
      </c>
      <c r="J575" t="s">
        <v>16</v>
      </c>
      <c r="K575">
        <v>517686.062074052</v>
      </c>
      <c r="L575" t="s">
        <v>17</v>
      </c>
      <c r="M575">
        <v>-4955.26822244911</v>
      </c>
      <c r="N575">
        <v>0.26081412475169802</v>
      </c>
    </row>
    <row r="576" spans="2:14" x14ac:dyDescent="0.25">
      <c r="B576" t="s">
        <v>14</v>
      </c>
      <c r="C576" s="1">
        <v>46120.999988425923</v>
      </c>
      <c r="D576">
        <v>25.1559029588411</v>
      </c>
      <c r="E576">
        <v>135019.837175997</v>
      </c>
      <c r="F576" s="1">
        <v>46119.606296296297</v>
      </c>
      <c r="G576">
        <v>52.874696510322202</v>
      </c>
      <c r="H576" t="s">
        <v>19</v>
      </c>
      <c r="J576" t="s">
        <v>16</v>
      </c>
      <c r="K576">
        <v>517686.062074052</v>
      </c>
      <c r="L576" t="s">
        <v>17</v>
      </c>
      <c r="M576">
        <v>0</v>
      </c>
      <c r="N576">
        <v>0.26081412475169802</v>
      </c>
    </row>
    <row r="577" spans="2:14" x14ac:dyDescent="0.25">
      <c r="B577" t="s">
        <v>14</v>
      </c>
      <c r="C577" s="1">
        <v>46119.999988425923</v>
      </c>
      <c r="D577">
        <v>25.1559029588411</v>
      </c>
      <c r="E577">
        <v>135019.837175997</v>
      </c>
      <c r="F577" s="1">
        <v>46119.606296296297</v>
      </c>
      <c r="G577">
        <v>52.874696510322202</v>
      </c>
      <c r="H577" t="s">
        <v>19</v>
      </c>
      <c r="J577" t="s">
        <v>16</v>
      </c>
      <c r="K577">
        <v>517686.062074052</v>
      </c>
      <c r="L577" t="s">
        <v>17</v>
      </c>
      <c r="M577">
        <v>0</v>
      </c>
      <c r="N577">
        <v>0.26081412475169802</v>
      </c>
    </row>
    <row r="578" spans="2:14" x14ac:dyDescent="0.25">
      <c r="B578" t="s">
        <v>14</v>
      </c>
      <c r="C578" s="1">
        <v>46118.999988425923</v>
      </c>
      <c r="D578">
        <v>25.1559029588411</v>
      </c>
      <c r="E578">
        <v>143253.28600068099</v>
      </c>
      <c r="F578" s="1">
        <v>46116.099108796298</v>
      </c>
      <c r="G578">
        <v>52.874696510322202</v>
      </c>
      <c r="H578" t="s">
        <v>19</v>
      </c>
      <c r="J578" t="s">
        <v>16</v>
      </c>
      <c r="K578">
        <v>517686.062074052</v>
      </c>
      <c r="L578" t="s">
        <v>17</v>
      </c>
      <c r="M578">
        <v>8233.4488246843102</v>
      </c>
      <c r="N578">
        <v>0.27671845254390898</v>
      </c>
    </row>
    <row r="579" spans="2:14" x14ac:dyDescent="0.25">
      <c r="B579" t="s">
        <v>14</v>
      </c>
      <c r="C579" s="1">
        <v>46117.999988425923</v>
      </c>
      <c r="D579">
        <v>25.1559029588411</v>
      </c>
      <c r="E579">
        <v>143253.28600068099</v>
      </c>
      <c r="F579" s="1">
        <v>46116.099108796298</v>
      </c>
      <c r="G579">
        <v>52.874696510322202</v>
      </c>
      <c r="H579" t="s">
        <v>19</v>
      </c>
      <c r="J579" t="s">
        <v>16</v>
      </c>
      <c r="K579">
        <v>517686.062074052</v>
      </c>
      <c r="L579" t="s">
        <v>17</v>
      </c>
      <c r="M579">
        <v>0</v>
      </c>
      <c r="N579">
        <v>0.27671845254390898</v>
      </c>
    </row>
    <row r="580" spans="2:14" x14ac:dyDescent="0.25">
      <c r="B580" t="s">
        <v>14</v>
      </c>
      <c r="C580" s="1">
        <v>46116.999988425923</v>
      </c>
      <c r="D580">
        <v>25.1559029588411</v>
      </c>
      <c r="E580">
        <v>143253.28600068099</v>
      </c>
      <c r="F580" s="1">
        <v>46116.099108796298</v>
      </c>
      <c r="G580">
        <v>52.874696510322202</v>
      </c>
      <c r="H580" t="s">
        <v>19</v>
      </c>
      <c r="J580" t="s">
        <v>16</v>
      </c>
      <c r="K580">
        <v>517686.062074052</v>
      </c>
      <c r="L580" t="s">
        <v>17</v>
      </c>
      <c r="M580">
        <v>0</v>
      </c>
      <c r="N580">
        <v>0.27671845254390898</v>
      </c>
    </row>
    <row r="581" spans="2:14" x14ac:dyDescent="0.25">
      <c r="B581" t="s">
        <v>14</v>
      </c>
      <c r="C581" s="1">
        <v>46115.999988425923</v>
      </c>
      <c r="D581">
        <v>25.1559029588411</v>
      </c>
      <c r="E581">
        <v>137639.84828709401</v>
      </c>
      <c r="F581" s="1">
        <v>46113.605474537035</v>
      </c>
      <c r="G581">
        <v>52.874696510322202</v>
      </c>
      <c r="H581" t="s">
        <v>19</v>
      </c>
      <c r="J581" t="s">
        <v>16</v>
      </c>
      <c r="K581">
        <v>517686.062074052</v>
      </c>
      <c r="L581" t="s">
        <v>17</v>
      </c>
      <c r="M581">
        <v>-5613.4377135873601</v>
      </c>
      <c r="N581">
        <v>0.26587512852027601</v>
      </c>
    </row>
    <row r="582" spans="2:14" x14ac:dyDescent="0.25">
      <c r="B582" t="s">
        <v>14</v>
      </c>
      <c r="C582" s="1">
        <v>46114.999988425923</v>
      </c>
      <c r="D582">
        <v>25.1559029588411</v>
      </c>
      <c r="E582">
        <v>137639.84828709401</v>
      </c>
      <c r="F582" s="1">
        <v>46113.605474537035</v>
      </c>
      <c r="G582">
        <v>52.874696510322202</v>
      </c>
      <c r="H582" t="s">
        <v>19</v>
      </c>
      <c r="J582" t="s">
        <v>16</v>
      </c>
      <c r="K582">
        <v>517686.062074052</v>
      </c>
      <c r="L582" t="s">
        <v>17</v>
      </c>
      <c r="M582">
        <v>0</v>
      </c>
      <c r="N582">
        <v>0.26587512852027601</v>
      </c>
    </row>
    <row r="583" spans="2:14" x14ac:dyDescent="0.25">
      <c r="B583" t="s">
        <v>14</v>
      </c>
      <c r="C583" s="1">
        <v>46113.999988425923</v>
      </c>
      <c r="D583">
        <v>25.1559029588411</v>
      </c>
      <c r="E583">
        <v>137639.84828709401</v>
      </c>
      <c r="F583" s="1">
        <v>46113.605474537035</v>
      </c>
      <c r="G583">
        <v>52.874696510322202</v>
      </c>
      <c r="H583" t="s">
        <v>19</v>
      </c>
      <c r="J583" t="s">
        <v>16</v>
      </c>
      <c r="K583">
        <v>517686.062074052</v>
      </c>
      <c r="L583" t="s">
        <v>17</v>
      </c>
      <c r="M583">
        <v>0</v>
      </c>
      <c r="N583">
        <v>0.26587512852027601</v>
      </c>
    </row>
    <row r="584" spans="2:14" x14ac:dyDescent="0.25">
      <c r="B584" t="s">
        <v>14</v>
      </c>
      <c r="C584" s="1">
        <v>46112.999988425923</v>
      </c>
      <c r="D584">
        <v>25.1559029588411</v>
      </c>
      <c r="E584">
        <v>138789.283385263</v>
      </c>
      <c r="F584" s="1">
        <v>46110.099803240744</v>
      </c>
      <c r="G584">
        <v>52.874696510322202</v>
      </c>
      <c r="H584" t="s">
        <v>19</v>
      </c>
      <c r="J584" t="s">
        <v>16</v>
      </c>
      <c r="K584">
        <v>517686.062074052</v>
      </c>
      <c r="L584" t="s">
        <v>17</v>
      </c>
      <c r="M584">
        <v>1149.43509816855</v>
      </c>
      <c r="N584">
        <v>0.26809546084593999</v>
      </c>
    </row>
    <row r="585" spans="2:14" x14ac:dyDescent="0.25">
      <c r="B585" t="s">
        <v>14</v>
      </c>
      <c r="C585" s="1">
        <v>46111.999988425923</v>
      </c>
      <c r="D585">
        <v>25.1559029588411</v>
      </c>
      <c r="E585">
        <v>138789.283385263</v>
      </c>
      <c r="F585" s="1">
        <v>46110.099803240744</v>
      </c>
      <c r="G585">
        <v>52.874696510322202</v>
      </c>
      <c r="H585" t="s">
        <v>19</v>
      </c>
      <c r="J585" t="s">
        <v>16</v>
      </c>
      <c r="K585">
        <v>517686.062074052</v>
      </c>
      <c r="L585" t="s">
        <v>17</v>
      </c>
      <c r="M585">
        <v>0</v>
      </c>
      <c r="N585">
        <v>0.26809546084593999</v>
      </c>
    </row>
    <row r="586" spans="2:14" x14ac:dyDescent="0.25">
      <c r="B586" t="s">
        <v>14</v>
      </c>
      <c r="C586" s="1">
        <v>46110.999988425923</v>
      </c>
      <c r="D586">
        <v>25.1559029588411</v>
      </c>
      <c r="E586">
        <v>138789.283385263</v>
      </c>
      <c r="F586" s="1">
        <v>46110.099803240744</v>
      </c>
      <c r="G586">
        <v>52.874696510322202</v>
      </c>
      <c r="H586" t="s">
        <v>19</v>
      </c>
      <c r="J586" t="s">
        <v>16</v>
      </c>
      <c r="K586">
        <v>517686.062074052</v>
      </c>
      <c r="L586" t="s">
        <v>17</v>
      </c>
      <c r="M586">
        <v>0</v>
      </c>
      <c r="N586">
        <v>0.26809546084593999</v>
      </c>
    </row>
    <row r="587" spans="2:14" x14ac:dyDescent="0.25">
      <c r="B587" t="s">
        <v>14</v>
      </c>
      <c r="C587" s="1">
        <v>46109.999988425923</v>
      </c>
      <c r="D587">
        <v>25.1559029588411</v>
      </c>
      <c r="E587">
        <v>135138.37581536299</v>
      </c>
      <c r="F587" s="1">
        <v>46107.606296296297</v>
      </c>
      <c r="G587">
        <v>52.874696510322202</v>
      </c>
      <c r="H587" t="s">
        <v>19</v>
      </c>
      <c r="J587" t="s">
        <v>16</v>
      </c>
      <c r="K587">
        <v>517686.062074052</v>
      </c>
      <c r="L587" t="s">
        <v>17</v>
      </c>
      <c r="M587">
        <v>-3650.90756989992</v>
      </c>
      <c r="N587">
        <v>0.26104310259763602</v>
      </c>
    </row>
    <row r="588" spans="2:14" x14ac:dyDescent="0.25">
      <c r="B588" t="s">
        <v>14</v>
      </c>
      <c r="C588" s="1">
        <v>46108.999988425923</v>
      </c>
      <c r="D588">
        <v>25.1559029588411</v>
      </c>
      <c r="E588">
        <v>135138.37581536299</v>
      </c>
      <c r="F588" s="1">
        <v>46107.606296296297</v>
      </c>
      <c r="G588">
        <v>52.874696510322202</v>
      </c>
      <c r="H588" t="s">
        <v>19</v>
      </c>
      <c r="J588" t="s">
        <v>16</v>
      </c>
      <c r="K588">
        <v>517686.062074052</v>
      </c>
      <c r="L588" t="s">
        <v>17</v>
      </c>
      <c r="M588">
        <v>0</v>
      </c>
      <c r="N588">
        <v>0.26104310259763602</v>
      </c>
    </row>
    <row r="589" spans="2:14" x14ac:dyDescent="0.25">
      <c r="B589" t="s">
        <v>14</v>
      </c>
      <c r="C589" s="1">
        <v>46107.999988425923</v>
      </c>
      <c r="D589">
        <v>25.1559029588411</v>
      </c>
      <c r="E589">
        <v>135138.37581536299</v>
      </c>
      <c r="F589" s="1">
        <v>46107.606296296297</v>
      </c>
      <c r="G589">
        <v>52.874696510322202</v>
      </c>
      <c r="H589" t="s">
        <v>19</v>
      </c>
      <c r="J589" t="s">
        <v>16</v>
      </c>
      <c r="K589">
        <v>517686.062074052</v>
      </c>
      <c r="L589" t="s">
        <v>17</v>
      </c>
      <c r="M589">
        <v>0</v>
      </c>
      <c r="N589">
        <v>0.26104310259763602</v>
      </c>
    </row>
    <row r="590" spans="2:14" x14ac:dyDescent="0.25">
      <c r="B590" t="s">
        <v>14</v>
      </c>
      <c r="C590" s="1">
        <v>46106.999988425923</v>
      </c>
      <c r="D590">
        <v>25.1559029588411</v>
      </c>
      <c r="E590">
        <v>143101.49766631299</v>
      </c>
      <c r="F590" s="1">
        <v>46104.099108796298</v>
      </c>
      <c r="G590">
        <v>52.874696510322202</v>
      </c>
      <c r="H590" t="s">
        <v>19</v>
      </c>
      <c r="J590" t="s">
        <v>16</v>
      </c>
      <c r="K590">
        <v>517686.062074052</v>
      </c>
      <c r="L590" t="s">
        <v>17</v>
      </c>
      <c r="M590">
        <v>7963.1218509508699</v>
      </c>
      <c r="N590">
        <v>0.27642524717198902</v>
      </c>
    </row>
    <row r="591" spans="2:14" x14ac:dyDescent="0.25">
      <c r="B591" t="s">
        <v>14</v>
      </c>
      <c r="C591" s="1">
        <v>46105.999988425923</v>
      </c>
      <c r="D591">
        <v>25.1559029588411</v>
      </c>
      <c r="E591">
        <v>143101.49766631299</v>
      </c>
      <c r="F591" s="1">
        <v>46104.099108796298</v>
      </c>
      <c r="G591">
        <v>52.874696510322202</v>
      </c>
      <c r="H591" t="s">
        <v>19</v>
      </c>
      <c r="J591" t="s">
        <v>16</v>
      </c>
      <c r="K591">
        <v>517686.062074052</v>
      </c>
      <c r="L591" t="s">
        <v>17</v>
      </c>
      <c r="M591">
        <v>0</v>
      </c>
      <c r="N591">
        <v>0.27642524717198902</v>
      </c>
    </row>
    <row r="592" spans="2:14" x14ac:dyDescent="0.25">
      <c r="B592" t="s">
        <v>14</v>
      </c>
      <c r="C592" s="1">
        <v>46104.999988425923</v>
      </c>
      <c r="D592">
        <v>25.1559029588411</v>
      </c>
      <c r="E592">
        <v>143101.49766631299</v>
      </c>
      <c r="F592" s="1">
        <v>46104.099108796298</v>
      </c>
      <c r="G592">
        <v>52.874696510322202</v>
      </c>
      <c r="H592" t="s">
        <v>19</v>
      </c>
      <c r="J592" t="s">
        <v>16</v>
      </c>
      <c r="K592">
        <v>517686.062074052</v>
      </c>
      <c r="L592" t="s">
        <v>17</v>
      </c>
      <c r="M592">
        <v>0</v>
      </c>
      <c r="N592">
        <v>0.27642524717198902</v>
      </c>
    </row>
    <row r="593" spans="2:14" x14ac:dyDescent="0.25">
      <c r="B593" t="s">
        <v>14</v>
      </c>
      <c r="C593" s="1">
        <v>46103.999988425923</v>
      </c>
      <c r="D593">
        <v>25.1559029588411</v>
      </c>
      <c r="E593">
        <v>128793.921659403</v>
      </c>
      <c r="F593" s="1">
        <v>46101.605474537035</v>
      </c>
      <c r="G593">
        <v>52.874696510322202</v>
      </c>
      <c r="H593" t="s">
        <v>19</v>
      </c>
      <c r="J593" t="s">
        <v>16</v>
      </c>
      <c r="K593">
        <v>517686.062074052</v>
      </c>
      <c r="L593" t="s">
        <v>17</v>
      </c>
      <c r="M593">
        <v>-14307.5760069109</v>
      </c>
      <c r="N593">
        <v>0.24878769411601301</v>
      </c>
    </row>
    <row r="594" spans="2:14" x14ac:dyDescent="0.25">
      <c r="B594" t="s">
        <v>14</v>
      </c>
      <c r="C594" s="1">
        <v>46102.999988425923</v>
      </c>
      <c r="D594">
        <v>25.1559029588411</v>
      </c>
      <c r="E594">
        <v>128793.921659403</v>
      </c>
      <c r="F594" s="1">
        <v>46101.605474537035</v>
      </c>
      <c r="G594">
        <v>52.874696510322202</v>
      </c>
      <c r="H594" t="s">
        <v>19</v>
      </c>
      <c r="J594" t="s">
        <v>16</v>
      </c>
      <c r="K594">
        <v>517686.062074052</v>
      </c>
      <c r="L594" t="s">
        <v>17</v>
      </c>
      <c r="M594">
        <v>0</v>
      </c>
      <c r="N594">
        <v>0.24878769411601301</v>
      </c>
    </row>
    <row r="595" spans="2:14" x14ac:dyDescent="0.25">
      <c r="B595" t="s">
        <v>14</v>
      </c>
      <c r="C595" s="1">
        <v>46101.999988425923</v>
      </c>
      <c r="D595">
        <v>25.1559029588411</v>
      </c>
      <c r="E595">
        <v>128793.921659403</v>
      </c>
      <c r="F595" s="1">
        <v>46101.605474537035</v>
      </c>
      <c r="G595">
        <v>52.874696510322202</v>
      </c>
      <c r="H595" t="s">
        <v>19</v>
      </c>
      <c r="J595" t="s">
        <v>16</v>
      </c>
      <c r="K595">
        <v>517686.062074052</v>
      </c>
      <c r="L595" t="s">
        <v>17</v>
      </c>
      <c r="M595">
        <v>0</v>
      </c>
      <c r="N595">
        <v>0.24878769411601301</v>
      </c>
    </row>
    <row r="596" spans="2:14" x14ac:dyDescent="0.25">
      <c r="B596" t="s">
        <v>14</v>
      </c>
      <c r="C596" s="1">
        <v>46100.999988425923</v>
      </c>
      <c r="D596">
        <v>25.1559029588411</v>
      </c>
      <c r="E596">
        <v>156295.207552757</v>
      </c>
      <c r="F596" s="1">
        <v>46098.099803240744</v>
      </c>
      <c r="G596">
        <v>52.874696510322202</v>
      </c>
      <c r="H596" t="s">
        <v>19</v>
      </c>
      <c r="J596" t="s">
        <v>16</v>
      </c>
      <c r="K596">
        <v>517686.062074052</v>
      </c>
      <c r="L596" t="s">
        <v>17</v>
      </c>
      <c r="M596">
        <v>27501.285893353899</v>
      </c>
      <c r="N596">
        <v>0.30191117552320701</v>
      </c>
    </row>
    <row r="597" spans="2:14" x14ac:dyDescent="0.25">
      <c r="B597" t="s">
        <v>14</v>
      </c>
      <c r="C597" s="1">
        <v>46099.999988425923</v>
      </c>
      <c r="D597">
        <v>25.1559029588411</v>
      </c>
      <c r="E597">
        <v>156295.207552757</v>
      </c>
      <c r="F597" s="1">
        <v>46098.099803240744</v>
      </c>
      <c r="G597">
        <v>52.874696510322202</v>
      </c>
      <c r="H597" t="s">
        <v>19</v>
      </c>
      <c r="J597" t="s">
        <v>16</v>
      </c>
      <c r="K597">
        <v>517686.062074052</v>
      </c>
      <c r="L597" t="s">
        <v>17</v>
      </c>
      <c r="M597">
        <v>0</v>
      </c>
      <c r="N597">
        <v>0.30191117552320701</v>
      </c>
    </row>
    <row r="598" spans="2:14" x14ac:dyDescent="0.25">
      <c r="B598" t="s">
        <v>14</v>
      </c>
      <c r="C598" s="1">
        <v>46098.999988425923</v>
      </c>
      <c r="D598">
        <v>25.1559029588411</v>
      </c>
      <c r="E598">
        <v>156295.207552757</v>
      </c>
      <c r="F598" s="1">
        <v>46098.099803240744</v>
      </c>
      <c r="G598">
        <v>52.874696510322202</v>
      </c>
      <c r="H598" t="s">
        <v>19</v>
      </c>
      <c r="J598" t="s">
        <v>16</v>
      </c>
      <c r="K598">
        <v>517686.062074052</v>
      </c>
      <c r="L598" t="s">
        <v>17</v>
      </c>
      <c r="M598">
        <v>0</v>
      </c>
      <c r="N598">
        <v>0.30191117552320701</v>
      </c>
    </row>
    <row r="599" spans="2:14" x14ac:dyDescent="0.25">
      <c r="B599" t="s">
        <v>14</v>
      </c>
      <c r="C599" s="1">
        <v>46097.999988425923</v>
      </c>
      <c r="D599">
        <v>25.1559029588411</v>
      </c>
      <c r="E599">
        <v>139121.97583964601</v>
      </c>
      <c r="F599" s="1">
        <v>46095.606296296297</v>
      </c>
      <c r="G599">
        <v>52.874696510322202</v>
      </c>
      <c r="H599" t="s">
        <v>19</v>
      </c>
      <c r="J599" t="s">
        <v>16</v>
      </c>
      <c r="K599">
        <v>517686.062074052</v>
      </c>
      <c r="L599" t="s">
        <v>17</v>
      </c>
      <c r="M599">
        <v>-17173.231713110101</v>
      </c>
      <c r="N599">
        <v>0.26873811375618201</v>
      </c>
    </row>
    <row r="600" spans="2:14" x14ac:dyDescent="0.25">
      <c r="B600" t="s">
        <v>14</v>
      </c>
      <c r="C600" s="1">
        <v>46096.999988425923</v>
      </c>
      <c r="D600">
        <v>25.1559029588411</v>
      </c>
      <c r="E600">
        <v>139121.97583964601</v>
      </c>
      <c r="F600" s="1">
        <v>46095.606296296297</v>
      </c>
      <c r="G600">
        <v>52.874696510322202</v>
      </c>
      <c r="H600" t="s">
        <v>19</v>
      </c>
      <c r="J600" t="s">
        <v>16</v>
      </c>
      <c r="K600">
        <v>517686.062074052</v>
      </c>
      <c r="L600" t="s">
        <v>17</v>
      </c>
      <c r="M600">
        <v>0</v>
      </c>
      <c r="N600">
        <v>0.26873811375618201</v>
      </c>
    </row>
    <row r="601" spans="2:14" x14ac:dyDescent="0.25">
      <c r="B601" t="s">
        <v>14</v>
      </c>
      <c r="C601" s="1">
        <v>46095.999988425923</v>
      </c>
      <c r="D601">
        <v>25.1559029588411</v>
      </c>
      <c r="E601">
        <v>139121.97583964601</v>
      </c>
      <c r="F601" s="1">
        <v>46095.606296296297</v>
      </c>
      <c r="G601">
        <v>52.874696510322202</v>
      </c>
      <c r="H601" t="s">
        <v>19</v>
      </c>
      <c r="J601" t="s">
        <v>16</v>
      </c>
      <c r="K601">
        <v>517686.062074052</v>
      </c>
      <c r="L601" t="s">
        <v>17</v>
      </c>
      <c r="M601">
        <v>0</v>
      </c>
      <c r="N601">
        <v>0.26873811375618201</v>
      </c>
    </row>
    <row r="602" spans="2:14" x14ac:dyDescent="0.25">
      <c r="B602" t="s">
        <v>14</v>
      </c>
      <c r="C602" s="1">
        <v>46094.999988425923</v>
      </c>
      <c r="D602">
        <v>25.1559029588411</v>
      </c>
      <c r="E602">
        <v>148962.79973922099</v>
      </c>
      <c r="F602" s="1">
        <v>46092.099097222221</v>
      </c>
      <c r="G602">
        <v>52.874696510322202</v>
      </c>
      <c r="H602" t="s">
        <v>19</v>
      </c>
      <c r="J602" t="s">
        <v>16</v>
      </c>
      <c r="K602">
        <v>517686.062074052</v>
      </c>
      <c r="L602" t="s">
        <v>17</v>
      </c>
      <c r="M602">
        <v>9840.8238995745705</v>
      </c>
      <c r="N602">
        <v>0.28774736399589002</v>
      </c>
    </row>
    <row r="603" spans="2:14" x14ac:dyDescent="0.25">
      <c r="B603" t="s">
        <v>14</v>
      </c>
      <c r="C603" s="1">
        <v>46093.999988425923</v>
      </c>
      <c r="D603">
        <v>25.1559029588411</v>
      </c>
      <c r="E603">
        <v>148962.79973922099</v>
      </c>
      <c r="F603" s="1">
        <v>46092.099097222221</v>
      </c>
      <c r="G603">
        <v>52.874696510322202</v>
      </c>
      <c r="H603" t="s">
        <v>19</v>
      </c>
      <c r="J603" t="s">
        <v>16</v>
      </c>
      <c r="K603">
        <v>517686.062074052</v>
      </c>
      <c r="L603" t="s">
        <v>17</v>
      </c>
      <c r="M603">
        <v>0</v>
      </c>
      <c r="N603">
        <v>0.28774736399589002</v>
      </c>
    </row>
    <row r="604" spans="2:14" x14ac:dyDescent="0.25">
      <c r="B604" t="s">
        <v>14</v>
      </c>
      <c r="C604" s="1">
        <v>46092.999988425923</v>
      </c>
      <c r="D604">
        <v>25.1559029588411</v>
      </c>
      <c r="E604">
        <v>148962.79973922099</v>
      </c>
      <c r="F604" s="1">
        <v>46092.099097222221</v>
      </c>
      <c r="G604">
        <v>52.874696510322202</v>
      </c>
      <c r="H604" t="s">
        <v>19</v>
      </c>
      <c r="J604" t="s">
        <v>16</v>
      </c>
      <c r="K604">
        <v>517686.062074052</v>
      </c>
      <c r="L604" t="s">
        <v>17</v>
      </c>
      <c r="M604">
        <v>0</v>
      </c>
      <c r="N604">
        <v>0.28774736399589002</v>
      </c>
    </row>
    <row r="605" spans="2:14" x14ac:dyDescent="0.25">
      <c r="B605" t="s">
        <v>14</v>
      </c>
      <c r="C605" s="1">
        <v>46091.999988425923</v>
      </c>
      <c r="D605">
        <v>25.1559029588411</v>
      </c>
      <c r="E605">
        <v>137711.036260041</v>
      </c>
      <c r="F605" s="1">
        <v>46089.605474537035</v>
      </c>
      <c r="G605">
        <v>52.874696510322202</v>
      </c>
      <c r="H605" t="s">
        <v>19</v>
      </c>
      <c r="J605" t="s">
        <v>16</v>
      </c>
      <c r="K605">
        <v>517686.062074052</v>
      </c>
      <c r="L605" t="s">
        <v>17</v>
      </c>
      <c r="M605">
        <v>-11251.763479179899</v>
      </c>
      <c r="N605">
        <v>0.26601264037960998</v>
      </c>
    </row>
    <row r="606" spans="2:14" x14ac:dyDescent="0.25">
      <c r="B606" t="s">
        <v>14</v>
      </c>
      <c r="C606" s="1">
        <v>46090.999988425923</v>
      </c>
      <c r="D606">
        <v>25.1559029588411</v>
      </c>
      <c r="E606">
        <v>137711.036260041</v>
      </c>
      <c r="F606" s="1">
        <v>46089.605474537035</v>
      </c>
      <c r="G606">
        <v>52.874696510322202</v>
      </c>
      <c r="H606" t="s">
        <v>19</v>
      </c>
      <c r="J606" t="s">
        <v>16</v>
      </c>
      <c r="K606">
        <v>517686.062074052</v>
      </c>
      <c r="L606" t="s">
        <v>17</v>
      </c>
      <c r="M606">
        <v>0</v>
      </c>
      <c r="N606">
        <v>0.26601264037960998</v>
      </c>
    </row>
    <row r="607" spans="2:14" x14ac:dyDescent="0.25">
      <c r="B607" t="s">
        <v>14</v>
      </c>
      <c r="C607" s="1">
        <v>46089.999988425923</v>
      </c>
      <c r="D607">
        <v>25.1559029588411</v>
      </c>
      <c r="E607">
        <v>137711.036260041</v>
      </c>
      <c r="F607" s="1">
        <v>46089.605474537035</v>
      </c>
      <c r="G607">
        <v>52.874696510322202</v>
      </c>
      <c r="H607" t="s">
        <v>19</v>
      </c>
      <c r="J607" t="s">
        <v>16</v>
      </c>
      <c r="K607">
        <v>517686.062074052</v>
      </c>
      <c r="L607" t="s">
        <v>17</v>
      </c>
      <c r="M607">
        <v>0</v>
      </c>
      <c r="N607">
        <v>0.26601264037960998</v>
      </c>
    </row>
    <row r="608" spans="2:14" x14ac:dyDescent="0.25">
      <c r="B608" t="s">
        <v>14</v>
      </c>
      <c r="C608" s="1">
        <v>46088.999988425923</v>
      </c>
      <c r="D608">
        <v>25.1559029588411</v>
      </c>
      <c r="E608">
        <v>128680.797858734</v>
      </c>
      <c r="F608" s="1">
        <v>46086.099803240744</v>
      </c>
      <c r="G608">
        <v>52.874696510322202</v>
      </c>
      <c r="H608" t="s">
        <v>19</v>
      </c>
      <c r="J608" t="s">
        <v>16</v>
      </c>
      <c r="K608">
        <v>517686.062074052</v>
      </c>
      <c r="L608" t="s">
        <v>17</v>
      </c>
      <c r="M608">
        <v>-9030.2384013074297</v>
      </c>
      <c r="N608">
        <v>0.24856917596581299</v>
      </c>
    </row>
    <row r="609" spans="2:14" x14ac:dyDescent="0.25">
      <c r="B609" t="s">
        <v>14</v>
      </c>
      <c r="C609" s="1">
        <v>46087.999988425923</v>
      </c>
      <c r="D609">
        <v>25.1559029588411</v>
      </c>
      <c r="E609">
        <v>128680.797858734</v>
      </c>
      <c r="F609" s="1">
        <v>46086.099803240744</v>
      </c>
      <c r="G609">
        <v>52.874696510322202</v>
      </c>
      <c r="H609" t="s">
        <v>19</v>
      </c>
      <c r="J609" t="s">
        <v>16</v>
      </c>
      <c r="K609">
        <v>517686.062074052</v>
      </c>
      <c r="L609" t="s">
        <v>17</v>
      </c>
      <c r="M609">
        <v>0</v>
      </c>
      <c r="N609">
        <v>0.24856917596581299</v>
      </c>
    </row>
    <row r="610" spans="2:14" x14ac:dyDescent="0.25">
      <c r="B610" t="s">
        <v>14</v>
      </c>
      <c r="C610" s="1">
        <v>46086.999988425923</v>
      </c>
      <c r="D610">
        <v>25.1559029588411</v>
      </c>
      <c r="E610">
        <v>128680.797858734</v>
      </c>
      <c r="F610" s="1">
        <v>46086.099803240744</v>
      </c>
      <c r="G610">
        <v>52.874696510322202</v>
      </c>
      <c r="H610" t="s">
        <v>19</v>
      </c>
      <c r="J610" t="s">
        <v>16</v>
      </c>
      <c r="K610">
        <v>517686.062074052</v>
      </c>
      <c r="L610" t="s">
        <v>17</v>
      </c>
      <c r="M610">
        <v>0</v>
      </c>
      <c r="N610">
        <v>0.24856917596581299</v>
      </c>
    </row>
    <row r="611" spans="2:14" x14ac:dyDescent="0.25">
      <c r="B611" t="s">
        <v>14</v>
      </c>
      <c r="C611" s="1">
        <v>46085.999988425923</v>
      </c>
      <c r="D611">
        <v>25.1559029588411</v>
      </c>
      <c r="E611">
        <v>164520.36856259499</v>
      </c>
      <c r="F611" s="1">
        <v>46083.60628472222</v>
      </c>
      <c r="G611">
        <v>52.874696510322202</v>
      </c>
      <c r="H611" t="s">
        <v>19</v>
      </c>
      <c r="J611" t="s">
        <v>16</v>
      </c>
      <c r="K611">
        <v>517686.062074052</v>
      </c>
      <c r="L611" t="s">
        <v>17</v>
      </c>
      <c r="M611">
        <v>35839.570703860998</v>
      </c>
      <c r="N611">
        <v>0.31779949397026902</v>
      </c>
    </row>
    <row r="612" spans="2:14" x14ac:dyDescent="0.25">
      <c r="B612" t="s">
        <v>14</v>
      </c>
      <c r="C612" s="1">
        <v>46084.999988425923</v>
      </c>
      <c r="D612">
        <v>25.1559029588411</v>
      </c>
      <c r="E612">
        <v>164520.36856259499</v>
      </c>
      <c r="F612" s="1">
        <v>46083.60628472222</v>
      </c>
      <c r="G612">
        <v>52.874696510322202</v>
      </c>
      <c r="H612" t="s">
        <v>19</v>
      </c>
      <c r="J612" t="s">
        <v>16</v>
      </c>
      <c r="K612">
        <v>517686.062074052</v>
      </c>
      <c r="L612" t="s">
        <v>17</v>
      </c>
      <c r="M612">
        <v>0</v>
      </c>
      <c r="N612">
        <v>0.31779949397026902</v>
      </c>
    </row>
    <row r="613" spans="2:14" x14ac:dyDescent="0.25">
      <c r="B613" t="s">
        <v>14</v>
      </c>
      <c r="C613" s="1">
        <v>46083.999988425923</v>
      </c>
      <c r="D613">
        <v>25.1559029588411</v>
      </c>
      <c r="E613">
        <v>164520.36856259499</v>
      </c>
      <c r="F613" s="1">
        <v>46083.60628472222</v>
      </c>
      <c r="G613">
        <v>52.874696510322202</v>
      </c>
      <c r="H613" t="s">
        <v>19</v>
      </c>
      <c r="J613" t="s">
        <v>16</v>
      </c>
      <c r="K613">
        <v>517686.062074052</v>
      </c>
      <c r="L613" t="s">
        <v>17</v>
      </c>
      <c r="M613">
        <v>0</v>
      </c>
      <c r="N613">
        <v>0.31779949397026902</v>
      </c>
    </row>
    <row r="614" spans="2:14" x14ac:dyDescent="0.25">
      <c r="B614" t="s">
        <v>14</v>
      </c>
      <c r="C614" s="1">
        <v>46082.999988425923</v>
      </c>
      <c r="D614">
        <v>25.1559029588411</v>
      </c>
      <c r="E614">
        <v>230118.26978638701</v>
      </c>
      <c r="F614" s="1">
        <v>46080.099097222221</v>
      </c>
      <c r="G614">
        <v>52.874696510322202</v>
      </c>
      <c r="H614" t="s">
        <v>19</v>
      </c>
      <c r="J614" t="s">
        <v>16</v>
      </c>
      <c r="K614">
        <v>517686.062074052</v>
      </c>
      <c r="L614" t="s">
        <v>17</v>
      </c>
      <c r="M614">
        <v>65597.901223792098</v>
      </c>
      <c r="N614">
        <v>0.44451316472466701</v>
      </c>
    </row>
    <row r="615" spans="2:14" x14ac:dyDescent="0.25">
      <c r="B615" t="s">
        <v>14</v>
      </c>
      <c r="C615" s="1">
        <v>46081.999988425923</v>
      </c>
      <c r="D615">
        <v>25.1559029588411</v>
      </c>
      <c r="E615">
        <v>230118.26978638701</v>
      </c>
      <c r="F615" s="1">
        <v>46080.099097222221</v>
      </c>
      <c r="G615">
        <v>52.874696510322202</v>
      </c>
      <c r="H615" t="s">
        <v>19</v>
      </c>
      <c r="J615" t="s">
        <v>16</v>
      </c>
      <c r="K615">
        <v>517686.062074052</v>
      </c>
      <c r="L615" t="s">
        <v>17</v>
      </c>
      <c r="M615">
        <v>0</v>
      </c>
      <c r="N615">
        <v>0.44451316472466701</v>
      </c>
    </row>
    <row r="616" spans="2:14" x14ac:dyDescent="0.25">
      <c r="B616" t="s">
        <v>14</v>
      </c>
      <c r="C616" s="1">
        <v>46080.999988425923</v>
      </c>
      <c r="D616">
        <v>25.1559029588411</v>
      </c>
      <c r="E616">
        <v>230118.26978638701</v>
      </c>
      <c r="F616" s="1">
        <v>46080.099097222221</v>
      </c>
      <c r="G616">
        <v>52.874696510322202</v>
      </c>
      <c r="H616" t="s">
        <v>19</v>
      </c>
      <c r="J616" t="s">
        <v>16</v>
      </c>
      <c r="K616">
        <v>517686.062074052</v>
      </c>
      <c r="L616" t="s">
        <v>17</v>
      </c>
      <c r="M616">
        <v>0</v>
      </c>
      <c r="N616">
        <v>0.44451316472466701</v>
      </c>
    </row>
    <row r="617" spans="2:14" x14ac:dyDescent="0.25">
      <c r="B617" t="s">
        <v>14</v>
      </c>
      <c r="C617" s="1">
        <v>46079.999988425923</v>
      </c>
      <c r="D617">
        <v>25.1559029588411</v>
      </c>
      <c r="E617">
        <v>517686.062074052</v>
      </c>
      <c r="F617" s="1">
        <v>46077.605474537035</v>
      </c>
      <c r="G617">
        <v>52.874696510322202</v>
      </c>
      <c r="H617" t="s">
        <v>19</v>
      </c>
      <c r="J617" t="s">
        <v>16</v>
      </c>
      <c r="K617">
        <v>517686.062074052</v>
      </c>
      <c r="L617" t="s">
        <v>17</v>
      </c>
      <c r="M617">
        <v>287567.79228766402</v>
      </c>
      <c r="N617">
        <v>1</v>
      </c>
    </row>
    <row r="618" spans="2:14" x14ac:dyDescent="0.25">
      <c r="B618" t="s">
        <v>14</v>
      </c>
      <c r="C618" s="1">
        <v>46078.999988425923</v>
      </c>
      <c r="D618">
        <v>25.1559029588411</v>
      </c>
      <c r="E618">
        <v>517686.062074052</v>
      </c>
      <c r="F618" s="1">
        <v>46077.605474537035</v>
      </c>
      <c r="G618">
        <v>52.874696510322202</v>
      </c>
      <c r="H618" t="s">
        <v>19</v>
      </c>
      <c r="J618" t="s">
        <v>16</v>
      </c>
      <c r="K618">
        <v>517686.062074052</v>
      </c>
      <c r="L618" t="s">
        <v>17</v>
      </c>
      <c r="M618">
        <v>0</v>
      </c>
      <c r="N618">
        <v>1</v>
      </c>
    </row>
    <row r="619" spans="2:14" x14ac:dyDescent="0.25">
      <c r="B619" t="s">
        <v>14</v>
      </c>
      <c r="C619" s="1">
        <v>46077.999988425923</v>
      </c>
      <c r="D619">
        <v>25.1559029588411</v>
      </c>
      <c r="E619">
        <v>517686.062074052</v>
      </c>
      <c r="F619" s="1">
        <v>46077.605474537035</v>
      </c>
      <c r="G619">
        <v>52.874696510322202</v>
      </c>
      <c r="H619" t="s">
        <v>19</v>
      </c>
      <c r="J619" t="s">
        <v>16</v>
      </c>
      <c r="K619">
        <v>517686.062074052</v>
      </c>
      <c r="L619" t="s">
        <v>17</v>
      </c>
      <c r="M619">
        <v>0</v>
      </c>
      <c r="N619">
        <v>1</v>
      </c>
    </row>
    <row r="620" spans="2:14" x14ac:dyDescent="0.25">
      <c r="B620" t="s">
        <v>14</v>
      </c>
      <c r="C620" s="1">
        <v>46076.999988425923</v>
      </c>
      <c r="D620">
        <v>25.1559029588411</v>
      </c>
      <c r="E620">
        <v>340786.10919243301</v>
      </c>
      <c r="F620" s="1">
        <v>46074.099803240744</v>
      </c>
      <c r="G620">
        <v>52.874696510322202</v>
      </c>
      <c r="H620" t="s">
        <v>19</v>
      </c>
      <c r="J620" t="s">
        <v>16</v>
      </c>
      <c r="K620">
        <v>517686.062074052</v>
      </c>
      <c r="L620" t="s">
        <v>17</v>
      </c>
      <c r="M620">
        <v>-176899.952881618</v>
      </c>
      <c r="N620">
        <v>0.65828720175913402</v>
      </c>
    </row>
    <row r="621" spans="2:14" x14ac:dyDescent="0.25">
      <c r="B621" t="s">
        <v>14</v>
      </c>
      <c r="C621" s="1">
        <v>46075.999988425923</v>
      </c>
      <c r="D621">
        <v>25.1559029588411</v>
      </c>
      <c r="E621">
        <v>340786.10919243301</v>
      </c>
      <c r="F621" s="1">
        <v>46074.099803240744</v>
      </c>
      <c r="G621">
        <v>52.874696510322202</v>
      </c>
      <c r="H621" t="s">
        <v>19</v>
      </c>
      <c r="J621" t="s">
        <v>16</v>
      </c>
      <c r="K621">
        <v>517686.062074052</v>
      </c>
      <c r="L621" t="s">
        <v>17</v>
      </c>
      <c r="M621">
        <v>0</v>
      </c>
      <c r="N621">
        <v>0.65828720175913402</v>
      </c>
    </row>
    <row r="622" spans="2:14" x14ac:dyDescent="0.25">
      <c r="B622" t="s">
        <v>14</v>
      </c>
      <c r="C622" s="1">
        <v>46074.999988425923</v>
      </c>
      <c r="D622">
        <v>25.1559029588411</v>
      </c>
      <c r="E622">
        <v>340786.10919243301</v>
      </c>
      <c r="F622" s="1">
        <v>46074.099803240744</v>
      </c>
      <c r="G622">
        <v>52.874696510322202</v>
      </c>
      <c r="H622" t="s">
        <v>19</v>
      </c>
      <c r="J622" t="s">
        <v>16</v>
      </c>
      <c r="K622">
        <v>517686.062074052</v>
      </c>
      <c r="L622" t="s">
        <v>17</v>
      </c>
      <c r="M622">
        <v>0</v>
      </c>
      <c r="N622">
        <v>0.65828720175913402</v>
      </c>
    </row>
    <row r="623" spans="2:14" x14ac:dyDescent="0.25">
      <c r="B623" t="s">
        <v>14</v>
      </c>
      <c r="C623" s="1">
        <v>46073.999988425923</v>
      </c>
      <c r="D623">
        <v>25.1559029588411</v>
      </c>
      <c r="E623">
        <v>517686.062074052</v>
      </c>
      <c r="F623" s="1">
        <v>46071.606296296297</v>
      </c>
      <c r="G623">
        <v>52.874696510322202</v>
      </c>
      <c r="H623" t="s">
        <v>19</v>
      </c>
      <c r="J623" t="s">
        <v>16</v>
      </c>
      <c r="K623">
        <v>517686.062074052</v>
      </c>
      <c r="L623" t="s">
        <v>17</v>
      </c>
      <c r="M623">
        <v>176899.952881618</v>
      </c>
      <c r="N623">
        <v>1</v>
      </c>
    </row>
    <row r="624" spans="2:14" x14ac:dyDescent="0.25">
      <c r="B624" t="s">
        <v>14</v>
      </c>
      <c r="C624" s="1">
        <v>46072.999988425923</v>
      </c>
      <c r="D624">
        <v>25.1559029588411</v>
      </c>
      <c r="E624">
        <v>517686.062074052</v>
      </c>
      <c r="F624" s="1">
        <v>46071.606296296297</v>
      </c>
      <c r="G624">
        <v>52.874696510322202</v>
      </c>
      <c r="H624" t="s">
        <v>19</v>
      </c>
      <c r="J624" t="s">
        <v>16</v>
      </c>
      <c r="K624">
        <v>517686.062074052</v>
      </c>
      <c r="L624" t="s">
        <v>17</v>
      </c>
      <c r="M624">
        <v>0</v>
      </c>
      <c r="N624">
        <v>1</v>
      </c>
    </row>
    <row r="625" spans="2:14" x14ac:dyDescent="0.25">
      <c r="B625" t="s">
        <v>14</v>
      </c>
      <c r="C625" s="1">
        <v>46071.999988425923</v>
      </c>
      <c r="D625">
        <v>25.1559029588411</v>
      </c>
      <c r="E625">
        <v>517686.062074052</v>
      </c>
      <c r="F625" s="1">
        <v>46071.606296296297</v>
      </c>
      <c r="G625">
        <v>52.874696510322202</v>
      </c>
      <c r="H625" t="s">
        <v>19</v>
      </c>
      <c r="J625" t="s">
        <v>16</v>
      </c>
      <c r="K625">
        <v>517686.062074052</v>
      </c>
      <c r="L625" t="s">
        <v>17</v>
      </c>
      <c r="M625">
        <v>0</v>
      </c>
      <c r="N625">
        <v>1</v>
      </c>
    </row>
    <row r="626" spans="2:14" x14ac:dyDescent="0.25">
      <c r="B626" t="s">
        <v>14</v>
      </c>
      <c r="C626" s="1">
        <v>46070.999988425923</v>
      </c>
      <c r="D626">
        <v>25.1559029588411</v>
      </c>
      <c r="E626">
        <v>517686.062074052</v>
      </c>
      <c r="F626" s="1">
        <v>46068.099097222221</v>
      </c>
      <c r="G626">
        <v>52.874696510322202</v>
      </c>
      <c r="H626" t="s">
        <v>19</v>
      </c>
      <c r="J626" t="s">
        <v>16</v>
      </c>
      <c r="K626">
        <v>517686.062074052</v>
      </c>
      <c r="L626" t="s">
        <v>17</v>
      </c>
      <c r="M626">
        <v>0</v>
      </c>
      <c r="N626">
        <v>1</v>
      </c>
    </row>
    <row r="627" spans="2:14" x14ac:dyDescent="0.25">
      <c r="B627" t="s">
        <v>14</v>
      </c>
      <c r="C627" s="1">
        <v>46069.999988425923</v>
      </c>
      <c r="D627">
        <v>25.1559029588411</v>
      </c>
      <c r="E627">
        <v>517686.062074052</v>
      </c>
      <c r="F627" s="1">
        <v>46068.099097222221</v>
      </c>
      <c r="G627">
        <v>52.874696510322202</v>
      </c>
      <c r="H627" t="s">
        <v>19</v>
      </c>
      <c r="J627" t="s">
        <v>16</v>
      </c>
      <c r="K627">
        <v>517686.062074052</v>
      </c>
      <c r="L627" t="s">
        <v>17</v>
      </c>
      <c r="M627">
        <v>0</v>
      </c>
      <c r="N627">
        <v>1</v>
      </c>
    </row>
    <row r="628" spans="2:14" x14ac:dyDescent="0.25">
      <c r="B628" t="s">
        <v>14</v>
      </c>
      <c r="C628" s="1">
        <v>46068.999988425923</v>
      </c>
      <c r="D628">
        <v>25.1559029588411</v>
      </c>
      <c r="E628">
        <v>517686.062074052</v>
      </c>
      <c r="F628" s="1">
        <v>46068.099097222221</v>
      </c>
      <c r="G628">
        <v>52.874696510322202</v>
      </c>
      <c r="H628" t="s">
        <v>19</v>
      </c>
      <c r="J628" t="s">
        <v>16</v>
      </c>
      <c r="K628">
        <v>517686.062074052</v>
      </c>
      <c r="L628" t="s">
        <v>17</v>
      </c>
      <c r="M628">
        <v>0</v>
      </c>
      <c r="N628">
        <v>1</v>
      </c>
    </row>
    <row r="629" spans="2:14" x14ac:dyDescent="0.25">
      <c r="B629" t="s">
        <v>14</v>
      </c>
      <c r="C629" s="1">
        <v>46067.999988425923</v>
      </c>
      <c r="D629">
        <v>25.1559029588411</v>
      </c>
      <c r="E629">
        <v>125280.04046231799</v>
      </c>
      <c r="F629" s="1">
        <v>46065.605474537035</v>
      </c>
      <c r="G629">
        <v>52.874696510322202</v>
      </c>
      <c r="H629" t="s">
        <v>19</v>
      </c>
      <c r="J629" t="s">
        <v>16</v>
      </c>
      <c r="K629">
        <v>517686.062074052</v>
      </c>
      <c r="L629" t="s">
        <v>17</v>
      </c>
      <c r="M629">
        <v>-392406.02161173301</v>
      </c>
      <c r="N629">
        <v>0.24200002596244899</v>
      </c>
    </row>
    <row r="630" spans="2:14" x14ac:dyDescent="0.25">
      <c r="B630" t="s">
        <v>14</v>
      </c>
      <c r="C630" s="1">
        <v>46066.999988425923</v>
      </c>
      <c r="D630">
        <v>25.1559029588411</v>
      </c>
      <c r="E630">
        <v>125280.04046231799</v>
      </c>
      <c r="F630" s="1">
        <v>46065.605474537035</v>
      </c>
      <c r="G630">
        <v>52.874696510322202</v>
      </c>
      <c r="H630" t="s">
        <v>19</v>
      </c>
      <c r="J630" t="s">
        <v>16</v>
      </c>
      <c r="K630">
        <v>517686.062074052</v>
      </c>
      <c r="L630" t="s">
        <v>17</v>
      </c>
      <c r="M630">
        <v>0</v>
      </c>
      <c r="N630">
        <v>0.24200002596244899</v>
      </c>
    </row>
    <row r="631" spans="2:14" x14ac:dyDescent="0.25">
      <c r="B631" t="s">
        <v>14</v>
      </c>
      <c r="C631" s="1">
        <v>46065.999988425923</v>
      </c>
      <c r="D631">
        <v>25.1559029588411</v>
      </c>
      <c r="E631">
        <v>125280.04046231799</v>
      </c>
      <c r="F631" s="1">
        <v>46065.605474537035</v>
      </c>
      <c r="G631">
        <v>52.874696510322202</v>
      </c>
      <c r="H631" t="s">
        <v>19</v>
      </c>
      <c r="J631" t="s">
        <v>16</v>
      </c>
      <c r="K631">
        <v>517686.062074052</v>
      </c>
      <c r="L631" t="s">
        <v>17</v>
      </c>
      <c r="M631">
        <v>0</v>
      </c>
      <c r="N631">
        <v>0.24200002596244899</v>
      </c>
    </row>
    <row r="632" spans="2:14" x14ac:dyDescent="0.25">
      <c r="B632" t="s">
        <v>14</v>
      </c>
      <c r="C632" s="1">
        <v>46064.999988425923</v>
      </c>
      <c r="D632">
        <v>25.1559029588411</v>
      </c>
      <c r="E632">
        <v>145788.89001668201</v>
      </c>
      <c r="F632" s="1">
        <v>46062.099814814814</v>
      </c>
      <c r="G632">
        <v>52.874696510322202</v>
      </c>
      <c r="H632" t="s">
        <v>19</v>
      </c>
      <c r="J632" t="s">
        <v>16</v>
      </c>
      <c r="K632">
        <v>517686.062074052</v>
      </c>
      <c r="L632" t="s">
        <v>17</v>
      </c>
      <c r="M632">
        <v>20508.8495543641</v>
      </c>
      <c r="N632">
        <v>0.28161640943662902</v>
      </c>
    </row>
    <row r="633" spans="2:14" x14ac:dyDescent="0.25">
      <c r="B633" t="s">
        <v>14</v>
      </c>
      <c r="C633" s="1">
        <v>46063.999988425923</v>
      </c>
      <c r="D633">
        <v>25.1559029588411</v>
      </c>
      <c r="E633">
        <v>145788.89001668201</v>
      </c>
      <c r="F633" s="1">
        <v>46062.099814814814</v>
      </c>
      <c r="G633">
        <v>52.874696510322202</v>
      </c>
      <c r="H633" t="s">
        <v>19</v>
      </c>
      <c r="J633" t="s">
        <v>16</v>
      </c>
      <c r="K633">
        <v>517686.062074052</v>
      </c>
      <c r="L633" t="s">
        <v>17</v>
      </c>
      <c r="M633">
        <v>0</v>
      </c>
      <c r="N633">
        <v>0.28161640943662902</v>
      </c>
    </row>
    <row r="634" spans="2:14" x14ac:dyDescent="0.25">
      <c r="B634" t="s">
        <v>14</v>
      </c>
      <c r="C634" s="1">
        <v>46062.999988425923</v>
      </c>
      <c r="D634">
        <v>25.1559029588411</v>
      </c>
      <c r="E634">
        <v>145788.89001668201</v>
      </c>
      <c r="F634" s="1">
        <v>46062.099814814814</v>
      </c>
      <c r="G634">
        <v>52.874696510322202</v>
      </c>
      <c r="H634" t="s">
        <v>19</v>
      </c>
      <c r="J634" t="s">
        <v>16</v>
      </c>
      <c r="K634">
        <v>517686.062074052</v>
      </c>
      <c r="L634" t="s">
        <v>17</v>
      </c>
      <c r="M634">
        <v>0</v>
      </c>
      <c r="N634">
        <v>0.28161640943662902</v>
      </c>
    </row>
    <row r="635" spans="2:14" x14ac:dyDescent="0.25">
      <c r="B635" t="s">
        <v>14</v>
      </c>
      <c r="C635" s="1">
        <v>46061.999988425923</v>
      </c>
      <c r="D635">
        <v>25.1559029588411</v>
      </c>
      <c r="E635">
        <v>517686.062074052</v>
      </c>
      <c r="F635" s="1">
        <v>46059.606296296297</v>
      </c>
      <c r="G635">
        <v>52.874696510322202</v>
      </c>
      <c r="H635" t="s">
        <v>19</v>
      </c>
      <c r="J635" t="s">
        <v>16</v>
      </c>
      <c r="K635">
        <v>517686.062074052</v>
      </c>
      <c r="L635" t="s">
        <v>17</v>
      </c>
      <c r="M635">
        <v>371897.17205736903</v>
      </c>
      <c r="N635">
        <v>1</v>
      </c>
    </row>
    <row r="636" spans="2:14" x14ac:dyDescent="0.25">
      <c r="B636" t="s">
        <v>14</v>
      </c>
      <c r="C636" s="1">
        <v>46060.999988425923</v>
      </c>
      <c r="D636">
        <v>25.1559029588411</v>
      </c>
      <c r="E636">
        <v>517686.062074052</v>
      </c>
      <c r="F636" s="1">
        <v>46059.606296296297</v>
      </c>
      <c r="G636">
        <v>52.874696510322202</v>
      </c>
      <c r="H636" t="s">
        <v>19</v>
      </c>
      <c r="J636" t="s">
        <v>16</v>
      </c>
      <c r="K636">
        <v>517686.062074052</v>
      </c>
      <c r="L636" t="s">
        <v>17</v>
      </c>
      <c r="M636">
        <v>0</v>
      </c>
      <c r="N636">
        <v>1</v>
      </c>
    </row>
    <row r="637" spans="2:14" x14ac:dyDescent="0.25">
      <c r="B637" t="s">
        <v>14</v>
      </c>
      <c r="C637" s="1">
        <v>46059.999988425923</v>
      </c>
      <c r="D637">
        <v>25.1559029588411</v>
      </c>
      <c r="E637">
        <v>517686.062074052</v>
      </c>
      <c r="F637" s="1">
        <v>46059.606296296297</v>
      </c>
      <c r="G637">
        <v>52.874696510322202</v>
      </c>
      <c r="H637" t="s">
        <v>19</v>
      </c>
      <c r="J637" t="s">
        <v>16</v>
      </c>
      <c r="K637">
        <v>517686.062074052</v>
      </c>
      <c r="L637" t="s">
        <v>17</v>
      </c>
      <c r="M637">
        <v>0</v>
      </c>
      <c r="N637">
        <v>1</v>
      </c>
    </row>
    <row r="638" spans="2:14" x14ac:dyDescent="0.25">
      <c r="B638" t="s">
        <v>14</v>
      </c>
      <c r="C638" s="1">
        <v>46058.999988425923</v>
      </c>
      <c r="D638">
        <v>25.1559029588411</v>
      </c>
      <c r="E638">
        <v>255918.25065643701</v>
      </c>
      <c r="F638" s="1">
        <v>46056.099097222221</v>
      </c>
      <c r="G638">
        <v>52.874696510322202</v>
      </c>
      <c r="H638" t="s">
        <v>19</v>
      </c>
      <c r="J638" t="s">
        <v>16</v>
      </c>
      <c r="K638">
        <v>517686.062074052</v>
      </c>
      <c r="L638" t="s">
        <v>17</v>
      </c>
      <c r="M638">
        <v>-261767.81141761399</v>
      </c>
      <c r="N638">
        <v>0.49435028177333801</v>
      </c>
    </row>
    <row r="639" spans="2:14" x14ac:dyDescent="0.25">
      <c r="B639" t="s">
        <v>14</v>
      </c>
      <c r="C639" s="1">
        <v>46057.999988425923</v>
      </c>
      <c r="D639">
        <v>25.1559029588411</v>
      </c>
      <c r="E639">
        <v>255918.25065643701</v>
      </c>
      <c r="F639" s="1">
        <v>46056.099097222221</v>
      </c>
      <c r="G639">
        <v>52.874696510322202</v>
      </c>
      <c r="H639" t="s">
        <v>19</v>
      </c>
      <c r="J639" t="s">
        <v>16</v>
      </c>
      <c r="K639">
        <v>517686.062074052</v>
      </c>
      <c r="L639" t="s">
        <v>17</v>
      </c>
      <c r="M639">
        <v>0</v>
      </c>
      <c r="N639">
        <v>0.49435028177333801</v>
      </c>
    </row>
    <row r="640" spans="2:14" x14ac:dyDescent="0.25">
      <c r="B640" t="s">
        <v>14</v>
      </c>
      <c r="C640" s="1">
        <v>46056.999988425923</v>
      </c>
      <c r="D640">
        <v>25.1559029588411</v>
      </c>
      <c r="E640">
        <v>255918.25065643701</v>
      </c>
      <c r="F640" s="1">
        <v>46056.099097222221</v>
      </c>
      <c r="G640">
        <v>52.874696510322202</v>
      </c>
      <c r="H640" t="s">
        <v>19</v>
      </c>
      <c r="J640" t="s">
        <v>16</v>
      </c>
      <c r="K640">
        <v>517686.062074052</v>
      </c>
      <c r="L640" t="s">
        <v>17</v>
      </c>
      <c r="M640">
        <v>0</v>
      </c>
      <c r="N640">
        <v>0.49435028177333801</v>
      </c>
    </row>
    <row r="641" spans="2:14" x14ac:dyDescent="0.25">
      <c r="B641" t="s">
        <v>14</v>
      </c>
      <c r="C641" s="1">
        <v>46055.999988425923</v>
      </c>
      <c r="D641">
        <v>25.1559029588411</v>
      </c>
      <c r="E641">
        <v>310315.51136476902</v>
      </c>
      <c r="F641" s="1">
        <v>46053.605474537035</v>
      </c>
      <c r="G641">
        <v>52.874696510322202</v>
      </c>
      <c r="H641" t="s">
        <v>19</v>
      </c>
      <c r="J641" t="s">
        <v>16</v>
      </c>
      <c r="K641">
        <v>517686.062074052</v>
      </c>
      <c r="L641" t="s">
        <v>17</v>
      </c>
      <c r="M641">
        <v>54397.260708331698</v>
      </c>
      <c r="N641">
        <v>0.599427981741529</v>
      </c>
    </row>
    <row r="642" spans="2:14" x14ac:dyDescent="0.25">
      <c r="B642" t="s">
        <v>14</v>
      </c>
      <c r="C642" s="1">
        <v>46054.999988425923</v>
      </c>
      <c r="D642">
        <v>25.1559029588411</v>
      </c>
      <c r="E642">
        <v>310315.51136476902</v>
      </c>
      <c r="F642" s="1">
        <v>46053.605474537035</v>
      </c>
      <c r="G642">
        <v>52.874696510322202</v>
      </c>
      <c r="H642" t="s">
        <v>19</v>
      </c>
      <c r="J642" t="s">
        <v>16</v>
      </c>
      <c r="K642">
        <v>517686.062074052</v>
      </c>
      <c r="L642" t="s">
        <v>17</v>
      </c>
      <c r="M642">
        <v>0</v>
      </c>
      <c r="N642">
        <v>0.599427981741529</v>
      </c>
    </row>
    <row r="643" spans="2:14" x14ac:dyDescent="0.25">
      <c r="B643" t="s">
        <v>14</v>
      </c>
      <c r="C643" s="1">
        <v>46053.999988425923</v>
      </c>
      <c r="D643">
        <v>25.1559029588411</v>
      </c>
      <c r="E643">
        <v>310315.51136476902</v>
      </c>
      <c r="F643" s="1">
        <v>46053.605474537035</v>
      </c>
      <c r="G643">
        <v>52.874696510322202</v>
      </c>
      <c r="H643" t="s">
        <v>19</v>
      </c>
      <c r="J643" t="s">
        <v>16</v>
      </c>
      <c r="K643">
        <v>517686.062074052</v>
      </c>
      <c r="L643" t="s">
        <v>17</v>
      </c>
      <c r="M643">
        <v>0</v>
      </c>
      <c r="N643">
        <v>0.599427981741529</v>
      </c>
    </row>
    <row r="644" spans="2:14" x14ac:dyDescent="0.25">
      <c r="B644" t="s">
        <v>14</v>
      </c>
      <c r="C644" s="1">
        <v>46052.999988425923</v>
      </c>
      <c r="D644">
        <v>25.1559029588411</v>
      </c>
      <c r="E644">
        <v>517686.062074052</v>
      </c>
      <c r="F644" s="1">
        <v>46050.099814814814</v>
      </c>
      <c r="G644">
        <v>52.874696510322202</v>
      </c>
      <c r="H644" t="s">
        <v>19</v>
      </c>
      <c r="J644" t="s">
        <v>16</v>
      </c>
      <c r="K644">
        <v>517686.062074052</v>
      </c>
      <c r="L644" t="s">
        <v>17</v>
      </c>
      <c r="M644">
        <v>207370.55070928199</v>
      </c>
      <c r="N644">
        <v>1</v>
      </c>
    </row>
    <row r="645" spans="2:14" x14ac:dyDescent="0.25">
      <c r="B645" t="s">
        <v>14</v>
      </c>
      <c r="C645" s="1">
        <v>46051.999988425923</v>
      </c>
      <c r="D645">
        <v>25.1559029588411</v>
      </c>
      <c r="E645">
        <v>517686.062074052</v>
      </c>
      <c r="F645" s="1">
        <v>46050.099814814814</v>
      </c>
      <c r="G645">
        <v>52.874696510322202</v>
      </c>
      <c r="H645" t="s">
        <v>19</v>
      </c>
      <c r="J645" t="s">
        <v>16</v>
      </c>
      <c r="K645">
        <v>517686.062074052</v>
      </c>
      <c r="L645" t="s">
        <v>17</v>
      </c>
      <c r="M645">
        <v>0</v>
      </c>
      <c r="N645">
        <v>1</v>
      </c>
    </row>
    <row r="646" spans="2:14" x14ac:dyDescent="0.25">
      <c r="B646" t="s">
        <v>14</v>
      </c>
      <c r="C646" s="1">
        <v>46050.999988425923</v>
      </c>
      <c r="D646">
        <v>25.1559029588411</v>
      </c>
      <c r="E646">
        <v>517686.062074052</v>
      </c>
      <c r="F646" s="1">
        <v>46050.099814814814</v>
      </c>
      <c r="G646">
        <v>52.874696510322202</v>
      </c>
      <c r="H646" t="s">
        <v>19</v>
      </c>
      <c r="J646" t="s">
        <v>16</v>
      </c>
      <c r="K646">
        <v>517686.062074052</v>
      </c>
      <c r="L646" t="s">
        <v>17</v>
      </c>
      <c r="M646">
        <v>0</v>
      </c>
      <c r="N646">
        <v>1</v>
      </c>
    </row>
    <row r="647" spans="2:14" x14ac:dyDescent="0.25">
      <c r="B647" t="s">
        <v>14</v>
      </c>
      <c r="C647" s="1">
        <v>46049.999988425923</v>
      </c>
      <c r="D647">
        <v>25.1559029588411</v>
      </c>
      <c r="E647">
        <v>517686.062074052</v>
      </c>
      <c r="F647" s="1">
        <v>46047.606307870374</v>
      </c>
      <c r="G647">
        <v>52.874696510322202</v>
      </c>
      <c r="H647" t="s">
        <v>19</v>
      </c>
      <c r="J647" t="s">
        <v>16</v>
      </c>
      <c r="K647">
        <v>517686.062074052</v>
      </c>
      <c r="L647" t="s">
        <v>17</v>
      </c>
      <c r="M647">
        <v>0</v>
      </c>
      <c r="N647">
        <v>1</v>
      </c>
    </row>
    <row r="648" spans="2:14" x14ac:dyDescent="0.25">
      <c r="B648" t="s">
        <v>14</v>
      </c>
      <c r="C648" s="1">
        <v>46048.999988425923</v>
      </c>
      <c r="D648">
        <v>25.1559029588411</v>
      </c>
      <c r="E648">
        <v>517686.062074052</v>
      </c>
      <c r="F648" s="1">
        <v>46047.606307870374</v>
      </c>
      <c r="G648">
        <v>52.874696510322202</v>
      </c>
      <c r="H648" t="s">
        <v>19</v>
      </c>
      <c r="J648" t="s">
        <v>16</v>
      </c>
      <c r="K648">
        <v>517686.062074052</v>
      </c>
      <c r="L648" t="s">
        <v>17</v>
      </c>
      <c r="M648">
        <v>0</v>
      </c>
      <c r="N648">
        <v>1</v>
      </c>
    </row>
    <row r="649" spans="2:14" x14ac:dyDescent="0.25">
      <c r="B649" t="s">
        <v>14</v>
      </c>
      <c r="C649" s="1">
        <v>46047.999988425923</v>
      </c>
      <c r="D649">
        <v>25.1559029588411</v>
      </c>
      <c r="E649">
        <v>517686.062074052</v>
      </c>
      <c r="F649" s="1">
        <v>46047.606307870374</v>
      </c>
      <c r="G649">
        <v>52.874696510322202</v>
      </c>
      <c r="H649" t="s">
        <v>19</v>
      </c>
      <c r="J649" t="s">
        <v>16</v>
      </c>
      <c r="K649">
        <v>517686.062074052</v>
      </c>
      <c r="L649" t="s">
        <v>17</v>
      </c>
      <c r="M649">
        <v>0</v>
      </c>
      <c r="N649">
        <v>1</v>
      </c>
    </row>
    <row r="650" spans="2:14" x14ac:dyDescent="0.25">
      <c r="B650" t="s">
        <v>14</v>
      </c>
      <c r="C650" s="1">
        <v>46046.999988425923</v>
      </c>
      <c r="D650">
        <v>25.1559029588411</v>
      </c>
      <c r="E650">
        <v>497925.12245306798</v>
      </c>
      <c r="F650" s="1">
        <v>46041.605486111112</v>
      </c>
      <c r="G650">
        <v>52.874696510322202</v>
      </c>
      <c r="H650" t="s">
        <v>19</v>
      </c>
      <c r="J650" t="s">
        <v>16</v>
      </c>
      <c r="K650">
        <v>517686.062074052</v>
      </c>
      <c r="L650" t="s">
        <v>17</v>
      </c>
      <c r="M650">
        <v>-19760.939620983601</v>
      </c>
      <c r="N650">
        <v>0.96182833367811005</v>
      </c>
    </row>
    <row r="651" spans="2:14" x14ac:dyDescent="0.25">
      <c r="B651" t="s">
        <v>14</v>
      </c>
      <c r="C651" s="1">
        <v>46045.999988425923</v>
      </c>
      <c r="D651">
        <v>25.1559029588411</v>
      </c>
      <c r="E651">
        <v>497925.12245306798</v>
      </c>
      <c r="F651" s="1">
        <v>46041.605486111112</v>
      </c>
      <c r="G651">
        <v>52.874696510322202</v>
      </c>
      <c r="H651" t="s">
        <v>19</v>
      </c>
      <c r="J651" t="s">
        <v>16</v>
      </c>
      <c r="K651">
        <v>517686.062074052</v>
      </c>
      <c r="L651" t="s">
        <v>17</v>
      </c>
      <c r="M651">
        <v>0</v>
      </c>
      <c r="N651">
        <v>0.96182833367811005</v>
      </c>
    </row>
    <row r="652" spans="2:14" x14ac:dyDescent="0.25">
      <c r="B652" t="s">
        <v>14</v>
      </c>
      <c r="C652" s="1">
        <v>46044.999988425923</v>
      </c>
      <c r="D652">
        <v>25.1559029588411</v>
      </c>
      <c r="E652">
        <v>497925.12245306798</v>
      </c>
      <c r="F652" s="1">
        <v>46041.605486111112</v>
      </c>
      <c r="G652">
        <v>52.874696510322202</v>
      </c>
      <c r="H652" t="s">
        <v>19</v>
      </c>
      <c r="J652" t="s">
        <v>16</v>
      </c>
      <c r="K652">
        <v>517686.062074052</v>
      </c>
      <c r="L652" t="s">
        <v>17</v>
      </c>
      <c r="M652">
        <v>0</v>
      </c>
      <c r="N652">
        <v>0.96182833367811005</v>
      </c>
    </row>
    <row r="653" spans="2:14" x14ac:dyDescent="0.25">
      <c r="B653" t="s">
        <v>14</v>
      </c>
      <c r="C653" s="1">
        <v>46043.999988425923</v>
      </c>
      <c r="D653">
        <v>25.1559029588411</v>
      </c>
      <c r="E653">
        <v>497925.12245306798</v>
      </c>
      <c r="F653" s="1">
        <v>46041.605486111112</v>
      </c>
      <c r="G653">
        <v>52.874696510322202</v>
      </c>
      <c r="H653" t="s">
        <v>19</v>
      </c>
      <c r="J653" t="s">
        <v>16</v>
      </c>
      <c r="K653">
        <v>517686.062074052</v>
      </c>
      <c r="L653" t="s">
        <v>17</v>
      </c>
      <c r="M653">
        <v>0</v>
      </c>
      <c r="N653">
        <v>0.96182833367811005</v>
      </c>
    </row>
    <row r="654" spans="2:14" x14ac:dyDescent="0.25">
      <c r="B654" t="s">
        <v>14</v>
      </c>
      <c r="C654" s="1">
        <v>46042.999988425923</v>
      </c>
      <c r="D654">
        <v>25.1559029588411</v>
      </c>
      <c r="E654">
        <v>497925.12245306798</v>
      </c>
      <c r="F654" s="1">
        <v>46041.605486111112</v>
      </c>
      <c r="G654">
        <v>52.874696510322202</v>
      </c>
      <c r="H654" t="s">
        <v>19</v>
      </c>
      <c r="J654" t="s">
        <v>16</v>
      </c>
      <c r="K654">
        <v>517686.062074052</v>
      </c>
      <c r="L654" t="s">
        <v>17</v>
      </c>
      <c r="M654">
        <v>0</v>
      </c>
      <c r="N654">
        <v>0.96182833367811005</v>
      </c>
    </row>
    <row r="655" spans="2:14" x14ac:dyDescent="0.25">
      <c r="B655" t="s">
        <v>14</v>
      </c>
      <c r="C655" s="1">
        <v>46041.999988425923</v>
      </c>
      <c r="D655">
        <v>25.1559029588411</v>
      </c>
      <c r="E655">
        <v>497925.12245306798</v>
      </c>
      <c r="F655" s="1">
        <v>46041.605486111112</v>
      </c>
      <c r="G655">
        <v>52.874696510322202</v>
      </c>
      <c r="H655" t="s">
        <v>19</v>
      </c>
      <c r="J655" t="s">
        <v>16</v>
      </c>
      <c r="K655">
        <v>517686.062074052</v>
      </c>
      <c r="L655" t="s">
        <v>17</v>
      </c>
      <c r="M655">
        <v>0</v>
      </c>
      <c r="N655">
        <v>0.96182833367811005</v>
      </c>
    </row>
    <row r="656" spans="2:14" x14ac:dyDescent="0.25">
      <c r="B656" t="s">
        <v>14</v>
      </c>
      <c r="C656" s="1">
        <v>46040.999988425923</v>
      </c>
      <c r="D656">
        <v>25.1559029588411</v>
      </c>
      <c r="E656">
        <v>449218.13453595899</v>
      </c>
      <c r="F656" s="1">
        <v>46038.099826388891</v>
      </c>
      <c r="G656">
        <v>52.874696510322202</v>
      </c>
      <c r="H656" t="s">
        <v>19</v>
      </c>
      <c r="J656" t="s">
        <v>16</v>
      </c>
      <c r="K656">
        <v>517686.062074052</v>
      </c>
      <c r="L656" t="s">
        <v>17</v>
      </c>
      <c r="M656">
        <v>-48706.987917108701</v>
      </c>
      <c r="N656">
        <v>0.86774237795048303</v>
      </c>
    </row>
    <row r="657" spans="2:14" x14ac:dyDescent="0.25">
      <c r="B657" t="s">
        <v>14</v>
      </c>
      <c r="C657" s="1">
        <v>46039.999988425923</v>
      </c>
      <c r="D657">
        <v>25.1559029588411</v>
      </c>
      <c r="E657">
        <v>449218.13453595899</v>
      </c>
      <c r="F657" s="1">
        <v>46038.099826388891</v>
      </c>
      <c r="G657">
        <v>52.874696510322202</v>
      </c>
      <c r="H657" t="s">
        <v>19</v>
      </c>
      <c r="J657" t="s">
        <v>16</v>
      </c>
      <c r="K657">
        <v>517686.062074052</v>
      </c>
      <c r="L657" t="s">
        <v>17</v>
      </c>
      <c r="M657">
        <v>0</v>
      </c>
      <c r="N657">
        <v>0.86774237795048303</v>
      </c>
    </row>
    <row r="658" spans="2:14" x14ac:dyDescent="0.25">
      <c r="B658" t="s">
        <v>14</v>
      </c>
      <c r="C658" s="1">
        <v>46038.999988425923</v>
      </c>
      <c r="D658">
        <v>25.1559029588411</v>
      </c>
      <c r="E658">
        <v>449218.13453595899</v>
      </c>
      <c r="F658" s="1">
        <v>46038.099826388891</v>
      </c>
      <c r="G658">
        <v>52.874696510322202</v>
      </c>
      <c r="H658" t="s">
        <v>19</v>
      </c>
      <c r="J658" t="s">
        <v>16</v>
      </c>
      <c r="K658">
        <v>517686.062074052</v>
      </c>
      <c r="L658" t="s">
        <v>17</v>
      </c>
      <c r="M658">
        <v>0</v>
      </c>
      <c r="N658">
        <v>0.86774237795048303</v>
      </c>
    </row>
    <row r="659" spans="2:14" x14ac:dyDescent="0.25">
      <c r="B659" t="s">
        <v>14</v>
      </c>
      <c r="C659" s="1">
        <v>46037.999988425923</v>
      </c>
      <c r="D659">
        <v>25.1559029588411</v>
      </c>
      <c r="E659">
        <v>209012.86260661099</v>
      </c>
      <c r="F659" s="1">
        <v>46035.606319444443</v>
      </c>
      <c r="G659">
        <v>52.874696510322202</v>
      </c>
      <c r="H659" t="s">
        <v>19</v>
      </c>
      <c r="J659" t="s">
        <v>16</v>
      </c>
      <c r="K659">
        <v>517686.062074052</v>
      </c>
      <c r="L659" t="s">
        <v>17</v>
      </c>
      <c r="M659">
        <v>-240205.271929348</v>
      </c>
      <c r="N659">
        <v>0.40374442720984999</v>
      </c>
    </row>
    <row r="660" spans="2:14" x14ac:dyDescent="0.25">
      <c r="B660" t="s">
        <v>14</v>
      </c>
      <c r="C660" s="1">
        <v>46036.999988425923</v>
      </c>
      <c r="D660">
        <v>25.1559029588411</v>
      </c>
      <c r="E660">
        <v>209012.86260661099</v>
      </c>
      <c r="F660" s="1">
        <v>46035.606319444443</v>
      </c>
      <c r="G660">
        <v>52.874696510322202</v>
      </c>
      <c r="H660" t="s">
        <v>19</v>
      </c>
      <c r="J660" t="s">
        <v>16</v>
      </c>
      <c r="K660">
        <v>517686.062074052</v>
      </c>
      <c r="L660" t="s">
        <v>17</v>
      </c>
      <c r="M660">
        <v>0</v>
      </c>
      <c r="N660">
        <v>0.40374442720984999</v>
      </c>
    </row>
    <row r="661" spans="2:14" x14ac:dyDescent="0.25">
      <c r="B661" t="s">
        <v>14</v>
      </c>
      <c r="C661" s="1">
        <v>46035.999988425923</v>
      </c>
      <c r="D661">
        <v>25.1559029588411</v>
      </c>
      <c r="E661">
        <v>209012.86260661099</v>
      </c>
      <c r="F661" s="1">
        <v>46035.606319444443</v>
      </c>
      <c r="G661">
        <v>52.874696510322202</v>
      </c>
      <c r="H661" t="s">
        <v>19</v>
      </c>
      <c r="J661" t="s">
        <v>16</v>
      </c>
      <c r="K661">
        <v>517686.062074052</v>
      </c>
      <c r="L661" t="s">
        <v>17</v>
      </c>
      <c r="M661">
        <v>0</v>
      </c>
      <c r="N661">
        <v>0.40374442720984999</v>
      </c>
    </row>
    <row r="662" spans="2:14" x14ac:dyDescent="0.25">
      <c r="B662" t="s">
        <v>14</v>
      </c>
      <c r="C662" s="1">
        <v>46034.999988425923</v>
      </c>
      <c r="D662">
        <v>25.1559029588411</v>
      </c>
      <c r="E662">
        <v>137532.110881236</v>
      </c>
      <c r="F662" s="1">
        <v>46032.099108796298</v>
      </c>
      <c r="G662">
        <v>52.874696510322202</v>
      </c>
      <c r="H662" t="s">
        <v>19</v>
      </c>
      <c r="J662" t="s">
        <v>16</v>
      </c>
      <c r="K662">
        <v>517686.062074052</v>
      </c>
      <c r="L662" t="s">
        <v>17</v>
      </c>
      <c r="M662">
        <v>-71480.751725374605</v>
      </c>
      <c r="N662">
        <v>0.26566701512153701</v>
      </c>
    </row>
    <row r="663" spans="2:14" x14ac:dyDescent="0.25">
      <c r="B663" t="s">
        <v>14</v>
      </c>
      <c r="C663" s="1">
        <v>46033.999988425923</v>
      </c>
      <c r="D663">
        <v>25.1559029588411</v>
      </c>
      <c r="E663">
        <v>137532.110881236</v>
      </c>
      <c r="F663" s="1">
        <v>46032.099108796298</v>
      </c>
      <c r="G663">
        <v>52.874696510322202</v>
      </c>
      <c r="H663" t="s">
        <v>19</v>
      </c>
      <c r="J663" t="s">
        <v>16</v>
      </c>
      <c r="K663">
        <v>517686.062074052</v>
      </c>
      <c r="L663" t="s">
        <v>17</v>
      </c>
      <c r="M663">
        <v>0</v>
      </c>
      <c r="N663">
        <v>0.26566701512153701</v>
      </c>
    </row>
    <row r="664" spans="2:14" x14ac:dyDescent="0.25">
      <c r="B664" t="s">
        <v>14</v>
      </c>
      <c r="C664" s="1">
        <v>46032.999988425923</v>
      </c>
      <c r="D664">
        <v>25.1559029588411</v>
      </c>
      <c r="E664">
        <v>137532.110881236</v>
      </c>
      <c r="F664" s="1">
        <v>46032.099108796298</v>
      </c>
      <c r="G664">
        <v>52.874696510322202</v>
      </c>
      <c r="H664" t="s">
        <v>19</v>
      </c>
      <c r="J664" t="s">
        <v>16</v>
      </c>
      <c r="K664">
        <v>517686.062074052</v>
      </c>
      <c r="L664" t="s">
        <v>17</v>
      </c>
      <c r="M664">
        <v>0</v>
      </c>
      <c r="N664">
        <v>0.26566701512153701</v>
      </c>
    </row>
    <row r="665" spans="2:14" x14ac:dyDescent="0.25">
      <c r="B665" t="s">
        <v>14</v>
      </c>
      <c r="C665" s="1">
        <v>46031.999988425923</v>
      </c>
      <c r="D665">
        <v>25.1559029588411</v>
      </c>
      <c r="E665">
        <v>517686.062074052</v>
      </c>
      <c r="F665" s="1">
        <v>46029.605486111112</v>
      </c>
      <c r="G665">
        <v>52.874696510322202</v>
      </c>
      <c r="H665" t="s">
        <v>19</v>
      </c>
      <c r="J665" t="s">
        <v>16</v>
      </c>
      <c r="K665">
        <v>517686.062074052</v>
      </c>
      <c r="L665" t="s">
        <v>17</v>
      </c>
      <c r="M665">
        <v>380153.95119281497</v>
      </c>
      <c r="N665">
        <v>1</v>
      </c>
    </row>
    <row r="666" spans="2:14" x14ac:dyDescent="0.25">
      <c r="B666" t="s">
        <v>14</v>
      </c>
      <c r="C666" s="1">
        <v>46030.999988425923</v>
      </c>
      <c r="D666">
        <v>25.1559029588411</v>
      </c>
      <c r="E666">
        <v>517686.062074052</v>
      </c>
      <c r="F666" s="1">
        <v>46029.605486111112</v>
      </c>
      <c r="G666">
        <v>52.874696510322202</v>
      </c>
      <c r="H666" t="s">
        <v>19</v>
      </c>
      <c r="J666" t="s">
        <v>16</v>
      </c>
      <c r="K666">
        <v>517686.062074052</v>
      </c>
      <c r="L666" t="s">
        <v>17</v>
      </c>
      <c r="M666">
        <v>0</v>
      </c>
      <c r="N666">
        <v>1</v>
      </c>
    </row>
    <row r="667" spans="2:14" x14ac:dyDescent="0.25">
      <c r="B667" t="s">
        <v>14</v>
      </c>
      <c r="C667" s="1">
        <v>46029.999988425923</v>
      </c>
      <c r="D667">
        <v>25.1559029588411</v>
      </c>
      <c r="E667">
        <v>517686.062074052</v>
      </c>
      <c r="F667" s="1">
        <v>46029.605486111112</v>
      </c>
      <c r="G667">
        <v>52.874696510322202</v>
      </c>
      <c r="H667" t="s">
        <v>19</v>
      </c>
      <c r="J667" t="s">
        <v>16</v>
      </c>
      <c r="K667">
        <v>517686.062074052</v>
      </c>
      <c r="L667" t="s">
        <v>17</v>
      </c>
      <c r="M667">
        <v>0</v>
      </c>
      <c r="N667">
        <v>1</v>
      </c>
    </row>
    <row r="668" spans="2:14" x14ac:dyDescent="0.25">
      <c r="B668" t="s">
        <v>14</v>
      </c>
      <c r="C668" s="1">
        <v>46028.999988425923</v>
      </c>
      <c r="D668">
        <v>25.1559029588411</v>
      </c>
      <c r="E668">
        <v>141327.286065313</v>
      </c>
      <c r="F668" s="1">
        <v>46026.09983796296</v>
      </c>
      <c r="G668">
        <v>52.874696510322202</v>
      </c>
      <c r="H668" t="s">
        <v>19</v>
      </c>
      <c r="J668" t="s">
        <v>16</v>
      </c>
      <c r="K668">
        <v>517686.062074052</v>
      </c>
      <c r="L668" t="s">
        <v>17</v>
      </c>
      <c r="M668">
        <v>-376358.77600873797</v>
      </c>
      <c r="N668">
        <v>0.27299805117236697</v>
      </c>
    </row>
    <row r="669" spans="2:14" x14ac:dyDescent="0.25">
      <c r="B669" t="s">
        <v>14</v>
      </c>
      <c r="C669" s="1">
        <v>46027.999988425923</v>
      </c>
      <c r="D669">
        <v>25.1559029588411</v>
      </c>
      <c r="E669">
        <v>141327.286065313</v>
      </c>
      <c r="F669" s="1">
        <v>46026.09983796296</v>
      </c>
      <c r="G669">
        <v>52.874696510322202</v>
      </c>
      <c r="H669" t="s">
        <v>19</v>
      </c>
      <c r="J669" t="s">
        <v>16</v>
      </c>
      <c r="K669">
        <v>517686.062074052</v>
      </c>
      <c r="L669" t="s">
        <v>17</v>
      </c>
      <c r="M669">
        <v>0</v>
      </c>
      <c r="N669">
        <v>0.27299805117236697</v>
      </c>
    </row>
    <row r="670" spans="2:14" x14ac:dyDescent="0.25">
      <c r="B670" t="s">
        <v>14</v>
      </c>
      <c r="C670" s="1">
        <v>46026.999988425923</v>
      </c>
      <c r="D670">
        <v>25.1559029588411</v>
      </c>
      <c r="E670">
        <v>141327.286065313</v>
      </c>
      <c r="F670" s="1">
        <v>46026.09983796296</v>
      </c>
      <c r="G670">
        <v>52.874696510322202</v>
      </c>
      <c r="H670" t="s">
        <v>19</v>
      </c>
      <c r="J670" t="s">
        <v>16</v>
      </c>
      <c r="K670">
        <v>517686.062074052</v>
      </c>
      <c r="L670" t="s">
        <v>17</v>
      </c>
      <c r="M670">
        <v>0</v>
      </c>
      <c r="N670">
        <v>0.27299805117236697</v>
      </c>
    </row>
    <row r="671" spans="2:14" x14ac:dyDescent="0.25">
      <c r="B671" t="s">
        <v>14</v>
      </c>
      <c r="C671" s="1">
        <v>46025.999988425923</v>
      </c>
      <c r="D671">
        <v>25.1559029588411</v>
      </c>
      <c r="E671">
        <v>335731.510451373</v>
      </c>
      <c r="F671" s="1">
        <v>46023.60633101852</v>
      </c>
      <c r="G671">
        <v>52.874696510322202</v>
      </c>
      <c r="H671" t="s">
        <v>19</v>
      </c>
      <c r="J671" t="s">
        <v>16</v>
      </c>
      <c r="K671">
        <v>517686.062074052</v>
      </c>
      <c r="L671" t="s">
        <v>17</v>
      </c>
      <c r="M671">
        <v>194404.22438606</v>
      </c>
      <c r="N671">
        <v>0.64852337168650498</v>
      </c>
    </row>
    <row r="672" spans="2:14" x14ac:dyDescent="0.25">
      <c r="B672" t="s">
        <v>14</v>
      </c>
      <c r="C672" s="1">
        <v>46024.999988425923</v>
      </c>
      <c r="D672">
        <v>25.1559029588411</v>
      </c>
      <c r="E672">
        <v>335731.510451373</v>
      </c>
      <c r="F672" s="1">
        <v>46023.60633101852</v>
      </c>
      <c r="G672">
        <v>52.874696510322202</v>
      </c>
      <c r="H672" t="s">
        <v>19</v>
      </c>
      <c r="J672" t="s">
        <v>16</v>
      </c>
      <c r="K672">
        <v>517686.062074052</v>
      </c>
      <c r="L672" t="s">
        <v>17</v>
      </c>
      <c r="M672">
        <v>0</v>
      </c>
      <c r="N672">
        <v>0.64852337168650498</v>
      </c>
    </row>
    <row r="673" spans="2:14" x14ac:dyDescent="0.25">
      <c r="B673" t="s">
        <v>14</v>
      </c>
      <c r="C673" s="1">
        <v>46023.999988425923</v>
      </c>
      <c r="D673">
        <v>25.1559029588411</v>
      </c>
      <c r="E673">
        <v>335731.510451373</v>
      </c>
      <c r="F673" s="1">
        <v>46023.60633101852</v>
      </c>
      <c r="G673">
        <v>52.874696510322202</v>
      </c>
      <c r="H673" t="s">
        <v>19</v>
      </c>
      <c r="J673" t="s">
        <v>16</v>
      </c>
      <c r="K673">
        <v>517686.062074052</v>
      </c>
      <c r="L673" t="s">
        <v>17</v>
      </c>
      <c r="M673">
        <v>0</v>
      </c>
      <c r="N673">
        <v>0.64852337168650498</v>
      </c>
    </row>
    <row r="674" spans="2:14" x14ac:dyDescent="0.25">
      <c r="B674" t="s">
        <v>14</v>
      </c>
      <c r="C674" s="1">
        <v>46246.999988425923</v>
      </c>
      <c r="D674">
        <v>25.155780241920802</v>
      </c>
      <c r="E674">
        <v>187335.46035073599</v>
      </c>
      <c r="F674" s="1">
        <v>46246.605821759258</v>
      </c>
      <c r="G674">
        <v>52.873819572515004</v>
      </c>
      <c r="H674" t="s">
        <v>20</v>
      </c>
      <c r="J674" t="s">
        <v>16</v>
      </c>
      <c r="K674">
        <v>689407.18733078905</v>
      </c>
      <c r="L674" t="s">
        <v>17</v>
      </c>
      <c r="M674">
        <v>0</v>
      </c>
      <c r="N674">
        <v>0.271734127223204</v>
      </c>
    </row>
    <row r="675" spans="2:14" x14ac:dyDescent="0.25">
      <c r="B675" t="s">
        <v>14</v>
      </c>
      <c r="C675" s="1">
        <v>46245.999988425923</v>
      </c>
      <c r="D675">
        <v>25.155780241920802</v>
      </c>
      <c r="E675">
        <v>689407.18733078905</v>
      </c>
      <c r="F675" s="1">
        <v>46243.09915509259</v>
      </c>
      <c r="G675">
        <v>52.873819572515004</v>
      </c>
      <c r="H675" t="s">
        <v>20</v>
      </c>
      <c r="J675" t="s">
        <v>16</v>
      </c>
      <c r="K675">
        <v>689407.18733078905</v>
      </c>
      <c r="L675" t="s">
        <v>17</v>
      </c>
      <c r="M675">
        <v>502071.726980053</v>
      </c>
      <c r="N675">
        <v>1</v>
      </c>
    </row>
    <row r="676" spans="2:14" x14ac:dyDescent="0.25">
      <c r="B676" t="s">
        <v>14</v>
      </c>
      <c r="C676" s="1">
        <v>46244.999988425923</v>
      </c>
      <c r="D676">
        <v>25.155780241920802</v>
      </c>
      <c r="E676">
        <v>689407.18733078905</v>
      </c>
      <c r="F676" s="1">
        <v>46243.09915509259</v>
      </c>
      <c r="G676">
        <v>52.873819572515004</v>
      </c>
      <c r="H676" t="s">
        <v>20</v>
      </c>
      <c r="J676" t="s">
        <v>16</v>
      </c>
      <c r="K676">
        <v>689407.18733078905</v>
      </c>
      <c r="L676" t="s">
        <v>17</v>
      </c>
      <c r="M676">
        <v>0</v>
      </c>
      <c r="N676">
        <v>1</v>
      </c>
    </row>
    <row r="677" spans="2:14" x14ac:dyDescent="0.25">
      <c r="B677" t="s">
        <v>14</v>
      </c>
      <c r="C677" s="1">
        <v>46243.999988425923</v>
      </c>
      <c r="D677">
        <v>25.155780241920802</v>
      </c>
      <c r="E677">
        <v>689407.18733078905</v>
      </c>
      <c r="F677" s="1">
        <v>46243.09915509259</v>
      </c>
      <c r="G677">
        <v>52.873819572515004</v>
      </c>
      <c r="H677" t="s">
        <v>20</v>
      </c>
      <c r="J677" t="s">
        <v>16</v>
      </c>
      <c r="K677">
        <v>689407.18733078905</v>
      </c>
      <c r="L677" t="s">
        <v>17</v>
      </c>
      <c r="M677">
        <v>0</v>
      </c>
      <c r="N677">
        <v>1</v>
      </c>
    </row>
    <row r="678" spans="2:14" x14ac:dyDescent="0.25">
      <c r="B678" t="s">
        <v>14</v>
      </c>
      <c r="C678" s="1">
        <v>46242.999988425923</v>
      </c>
      <c r="D678">
        <v>25.155780241920802</v>
      </c>
      <c r="E678">
        <v>523384.25265493197</v>
      </c>
      <c r="F678" s="1">
        <v>46240.605520833335</v>
      </c>
      <c r="G678">
        <v>52.873819572515004</v>
      </c>
      <c r="H678" t="s">
        <v>20</v>
      </c>
      <c r="J678" t="s">
        <v>16</v>
      </c>
      <c r="K678">
        <v>689407.18733078905</v>
      </c>
      <c r="L678" t="s">
        <v>17</v>
      </c>
      <c r="M678">
        <v>-166022.93467585699</v>
      </c>
      <c r="N678">
        <v>0.75918015111119397</v>
      </c>
    </row>
    <row r="679" spans="2:14" x14ac:dyDescent="0.25">
      <c r="B679" t="s">
        <v>14</v>
      </c>
      <c r="C679" s="1">
        <v>46241.999988425923</v>
      </c>
      <c r="D679">
        <v>25.155780241920802</v>
      </c>
      <c r="E679">
        <v>523384.25265493197</v>
      </c>
      <c r="F679" s="1">
        <v>46240.605520833335</v>
      </c>
      <c r="G679">
        <v>52.873819572515004</v>
      </c>
      <c r="H679" t="s">
        <v>20</v>
      </c>
      <c r="J679" t="s">
        <v>16</v>
      </c>
      <c r="K679">
        <v>689407.18733078905</v>
      </c>
      <c r="L679" t="s">
        <v>17</v>
      </c>
      <c r="M679">
        <v>0</v>
      </c>
      <c r="N679">
        <v>0.75918015111119397</v>
      </c>
    </row>
    <row r="680" spans="2:14" x14ac:dyDescent="0.25">
      <c r="B680" t="s">
        <v>14</v>
      </c>
      <c r="C680" s="1">
        <v>46240.999988425923</v>
      </c>
      <c r="D680">
        <v>25.155780241920802</v>
      </c>
      <c r="E680">
        <v>523384.25265493197</v>
      </c>
      <c r="F680" s="1">
        <v>46240.605520833335</v>
      </c>
      <c r="G680">
        <v>52.873819572515004</v>
      </c>
      <c r="H680" t="s">
        <v>20</v>
      </c>
      <c r="J680" t="s">
        <v>16</v>
      </c>
      <c r="K680">
        <v>689407.18733078905</v>
      </c>
      <c r="L680" t="s">
        <v>17</v>
      </c>
      <c r="M680">
        <v>0</v>
      </c>
      <c r="N680">
        <v>0.75918015111119397</v>
      </c>
    </row>
    <row r="681" spans="2:14" x14ac:dyDescent="0.25">
      <c r="B681" t="s">
        <v>14</v>
      </c>
      <c r="C681" s="1">
        <v>46239.999988425923</v>
      </c>
      <c r="D681">
        <v>25.155780241920802</v>
      </c>
      <c r="E681">
        <v>43255.569800172299</v>
      </c>
      <c r="F681" s="1">
        <v>46237.099328703705</v>
      </c>
      <c r="G681">
        <v>52.873819572515004</v>
      </c>
      <c r="H681" t="s">
        <v>20</v>
      </c>
      <c r="J681" t="s">
        <v>16</v>
      </c>
      <c r="K681">
        <v>689407.18733078905</v>
      </c>
      <c r="L681" t="s">
        <v>17</v>
      </c>
      <c r="M681">
        <v>-480128.68285475997</v>
      </c>
      <c r="N681">
        <v>6.2743137285305894E-2</v>
      </c>
    </row>
    <row r="682" spans="2:14" x14ac:dyDescent="0.25">
      <c r="B682" t="s">
        <v>14</v>
      </c>
      <c r="C682" s="1">
        <v>46238.999988425923</v>
      </c>
      <c r="D682">
        <v>25.155780241920802</v>
      </c>
      <c r="E682">
        <v>43255.569800172299</v>
      </c>
      <c r="F682" s="1">
        <v>46237.099328703705</v>
      </c>
      <c r="G682">
        <v>52.873819572515004</v>
      </c>
      <c r="H682" t="s">
        <v>20</v>
      </c>
      <c r="J682" t="s">
        <v>16</v>
      </c>
      <c r="K682">
        <v>689407.18733078905</v>
      </c>
      <c r="L682" t="s">
        <v>17</v>
      </c>
      <c r="M682">
        <v>0</v>
      </c>
      <c r="N682">
        <v>6.2743137285305894E-2</v>
      </c>
    </row>
    <row r="683" spans="2:14" x14ac:dyDescent="0.25">
      <c r="B683" t="s">
        <v>14</v>
      </c>
      <c r="C683" s="1">
        <v>46237.999988425923</v>
      </c>
      <c r="D683">
        <v>25.155780241920802</v>
      </c>
      <c r="E683">
        <v>43255.569800172299</v>
      </c>
      <c r="F683" s="1">
        <v>46237.099328703705</v>
      </c>
      <c r="G683">
        <v>52.873819572515004</v>
      </c>
      <c r="H683" t="s">
        <v>20</v>
      </c>
      <c r="J683" t="s">
        <v>16</v>
      </c>
      <c r="K683">
        <v>689407.18733078905</v>
      </c>
      <c r="L683" t="s">
        <v>17</v>
      </c>
      <c r="M683">
        <v>0</v>
      </c>
      <c r="N683">
        <v>6.2743137285305894E-2</v>
      </c>
    </row>
    <row r="684" spans="2:14" x14ac:dyDescent="0.25">
      <c r="B684" t="s">
        <v>14</v>
      </c>
      <c r="C684" s="1">
        <v>46236.999988425923</v>
      </c>
      <c r="D684">
        <v>25.155780241920802</v>
      </c>
      <c r="E684">
        <v>359008.57790893398</v>
      </c>
      <c r="F684" s="1">
        <v>46234.605810185189</v>
      </c>
      <c r="G684">
        <v>52.873819572515004</v>
      </c>
      <c r="H684" t="s">
        <v>20</v>
      </c>
      <c r="J684" t="s">
        <v>16</v>
      </c>
      <c r="K684">
        <v>689407.18733078905</v>
      </c>
      <c r="L684" t="s">
        <v>17</v>
      </c>
      <c r="M684">
        <v>315753.00810876099</v>
      </c>
      <c r="N684">
        <v>0.520749688292233</v>
      </c>
    </row>
    <row r="685" spans="2:14" x14ac:dyDescent="0.25">
      <c r="B685" t="s">
        <v>14</v>
      </c>
      <c r="C685" s="1">
        <v>46235.999988425923</v>
      </c>
      <c r="D685">
        <v>25.155780241920802</v>
      </c>
      <c r="E685">
        <v>359008.57790893398</v>
      </c>
      <c r="F685" s="1">
        <v>46234.605810185189</v>
      </c>
      <c r="G685">
        <v>52.873819572515004</v>
      </c>
      <c r="H685" t="s">
        <v>20</v>
      </c>
      <c r="J685" t="s">
        <v>16</v>
      </c>
      <c r="K685">
        <v>689407.18733078905</v>
      </c>
      <c r="L685" t="s">
        <v>17</v>
      </c>
      <c r="M685">
        <v>0</v>
      </c>
      <c r="N685">
        <v>0.520749688292233</v>
      </c>
    </row>
    <row r="686" spans="2:14" x14ac:dyDescent="0.25">
      <c r="B686" t="s">
        <v>14</v>
      </c>
      <c r="C686" s="1">
        <v>46234.999988425923</v>
      </c>
      <c r="D686">
        <v>25.155780241920802</v>
      </c>
      <c r="E686">
        <v>359008.57790893398</v>
      </c>
      <c r="F686" s="1">
        <v>46234.605810185189</v>
      </c>
      <c r="G686">
        <v>52.873819572515004</v>
      </c>
      <c r="H686" t="s">
        <v>20</v>
      </c>
      <c r="J686" t="s">
        <v>16</v>
      </c>
      <c r="K686">
        <v>689407.18733078905</v>
      </c>
      <c r="L686" t="s">
        <v>17</v>
      </c>
      <c r="M686">
        <v>0</v>
      </c>
      <c r="N686">
        <v>0.520749688292233</v>
      </c>
    </row>
    <row r="687" spans="2:14" x14ac:dyDescent="0.25">
      <c r="B687" t="s">
        <v>14</v>
      </c>
      <c r="C687" s="1">
        <v>46233.999988425923</v>
      </c>
      <c r="D687">
        <v>25.155780241920802</v>
      </c>
      <c r="E687">
        <v>239836.922794557</v>
      </c>
      <c r="F687" s="1">
        <v>46231.09915509259</v>
      </c>
      <c r="G687">
        <v>52.873819572515004</v>
      </c>
      <c r="H687" t="s">
        <v>20</v>
      </c>
      <c r="J687" t="s">
        <v>16</v>
      </c>
      <c r="K687">
        <v>689407.18733078905</v>
      </c>
      <c r="L687" t="s">
        <v>17</v>
      </c>
      <c r="M687">
        <v>-119171.655114376</v>
      </c>
      <c r="N687">
        <v>0.34788863127920799</v>
      </c>
    </row>
    <row r="688" spans="2:14" x14ac:dyDescent="0.25">
      <c r="B688" t="s">
        <v>14</v>
      </c>
      <c r="C688" s="1">
        <v>46232.999988425923</v>
      </c>
      <c r="D688">
        <v>25.155780241920802</v>
      </c>
      <c r="E688">
        <v>239836.922794557</v>
      </c>
      <c r="F688" s="1">
        <v>46231.09915509259</v>
      </c>
      <c r="G688">
        <v>52.873819572515004</v>
      </c>
      <c r="H688" t="s">
        <v>20</v>
      </c>
      <c r="J688" t="s">
        <v>16</v>
      </c>
      <c r="K688">
        <v>689407.18733078905</v>
      </c>
      <c r="L688" t="s">
        <v>17</v>
      </c>
      <c r="M688">
        <v>0</v>
      </c>
      <c r="N688">
        <v>0.34788863127920799</v>
      </c>
    </row>
    <row r="689" spans="2:14" x14ac:dyDescent="0.25">
      <c r="B689" t="s">
        <v>14</v>
      </c>
      <c r="C689" s="1">
        <v>46231.999988425923</v>
      </c>
      <c r="D689">
        <v>25.155780241920802</v>
      </c>
      <c r="E689">
        <v>239836.922794557</v>
      </c>
      <c r="F689" s="1">
        <v>46231.09915509259</v>
      </c>
      <c r="G689">
        <v>52.873819572515004</v>
      </c>
      <c r="H689" t="s">
        <v>20</v>
      </c>
      <c r="J689" t="s">
        <v>16</v>
      </c>
      <c r="K689">
        <v>689407.18733078905</v>
      </c>
      <c r="L689" t="s">
        <v>17</v>
      </c>
      <c r="M689">
        <v>0</v>
      </c>
      <c r="N689">
        <v>0.34788863127920799</v>
      </c>
    </row>
    <row r="690" spans="2:14" x14ac:dyDescent="0.25">
      <c r="B690" t="s">
        <v>14</v>
      </c>
      <c r="C690" s="1">
        <v>46230.999988425923</v>
      </c>
      <c r="D690">
        <v>25.155780241920802</v>
      </c>
      <c r="E690">
        <v>579152.11266252503</v>
      </c>
      <c r="F690" s="1">
        <v>46228.605520833335</v>
      </c>
      <c r="G690">
        <v>52.873819572515004</v>
      </c>
      <c r="H690" t="s">
        <v>20</v>
      </c>
      <c r="J690" t="s">
        <v>16</v>
      </c>
      <c r="K690">
        <v>689407.18733078905</v>
      </c>
      <c r="L690" t="s">
        <v>17</v>
      </c>
      <c r="M690">
        <v>339315.18986796797</v>
      </c>
      <c r="N690">
        <v>0.84007263530984599</v>
      </c>
    </row>
    <row r="691" spans="2:14" x14ac:dyDescent="0.25">
      <c r="B691" t="s">
        <v>14</v>
      </c>
      <c r="C691" s="1">
        <v>46229.999988425923</v>
      </c>
      <c r="D691">
        <v>25.155780241920802</v>
      </c>
      <c r="E691">
        <v>579152.11266252503</v>
      </c>
      <c r="F691" s="1">
        <v>46228.605520833335</v>
      </c>
      <c r="G691">
        <v>52.873819572515004</v>
      </c>
      <c r="H691" t="s">
        <v>20</v>
      </c>
      <c r="J691" t="s">
        <v>16</v>
      </c>
      <c r="K691">
        <v>689407.18733078905</v>
      </c>
      <c r="L691" t="s">
        <v>17</v>
      </c>
      <c r="M691">
        <v>0</v>
      </c>
      <c r="N691">
        <v>0.84007263530984599</v>
      </c>
    </row>
    <row r="692" spans="2:14" x14ac:dyDescent="0.25">
      <c r="B692" t="s">
        <v>14</v>
      </c>
      <c r="C692" s="1">
        <v>46228.999988425923</v>
      </c>
      <c r="D692">
        <v>25.155780241920802</v>
      </c>
      <c r="E692">
        <v>579152.11266252503</v>
      </c>
      <c r="F692" s="1">
        <v>46228.605520833335</v>
      </c>
      <c r="G692">
        <v>52.873819572515004</v>
      </c>
      <c r="H692" t="s">
        <v>20</v>
      </c>
      <c r="J692" t="s">
        <v>16</v>
      </c>
      <c r="K692">
        <v>689407.18733078905</v>
      </c>
      <c r="L692" t="s">
        <v>17</v>
      </c>
      <c r="M692">
        <v>0</v>
      </c>
      <c r="N692">
        <v>0.84007263530984599</v>
      </c>
    </row>
    <row r="693" spans="2:14" x14ac:dyDescent="0.25">
      <c r="B693" t="s">
        <v>14</v>
      </c>
      <c r="C693" s="1">
        <v>46227.999988425923</v>
      </c>
      <c r="D693">
        <v>25.155780241920802</v>
      </c>
      <c r="E693">
        <v>689407.18733078905</v>
      </c>
      <c r="F693" s="1">
        <v>46225.099317129629</v>
      </c>
      <c r="G693">
        <v>52.873819572515004</v>
      </c>
      <c r="H693" t="s">
        <v>20</v>
      </c>
      <c r="J693" t="s">
        <v>16</v>
      </c>
      <c r="K693">
        <v>689407.18733078905</v>
      </c>
      <c r="L693" t="s">
        <v>17</v>
      </c>
      <c r="M693">
        <v>110255.074668264</v>
      </c>
      <c r="N693">
        <v>1</v>
      </c>
    </row>
    <row r="694" spans="2:14" x14ac:dyDescent="0.25">
      <c r="B694" t="s">
        <v>14</v>
      </c>
      <c r="C694" s="1">
        <v>46226.999988425923</v>
      </c>
      <c r="D694">
        <v>25.155780241920802</v>
      </c>
      <c r="E694">
        <v>689407.18733078905</v>
      </c>
      <c r="F694" s="1">
        <v>46225.099317129629</v>
      </c>
      <c r="G694">
        <v>52.873819572515004</v>
      </c>
      <c r="H694" t="s">
        <v>20</v>
      </c>
      <c r="J694" t="s">
        <v>16</v>
      </c>
      <c r="K694">
        <v>689407.18733078905</v>
      </c>
      <c r="L694" t="s">
        <v>17</v>
      </c>
      <c r="M694">
        <v>0</v>
      </c>
      <c r="N694">
        <v>1</v>
      </c>
    </row>
    <row r="695" spans="2:14" x14ac:dyDescent="0.25">
      <c r="B695" t="s">
        <v>14</v>
      </c>
      <c r="C695" s="1">
        <v>46225.999988425923</v>
      </c>
      <c r="D695">
        <v>25.155780241920802</v>
      </c>
      <c r="E695">
        <v>689407.18733078905</v>
      </c>
      <c r="F695" s="1">
        <v>46225.099317129629</v>
      </c>
      <c r="G695">
        <v>52.873819572515004</v>
      </c>
      <c r="H695" t="s">
        <v>20</v>
      </c>
      <c r="J695" t="s">
        <v>16</v>
      </c>
      <c r="K695">
        <v>689407.18733078905</v>
      </c>
      <c r="L695" t="s">
        <v>17</v>
      </c>
      <c r="M695">
        <v>0</v>
      </c>
      <c r="N695">
        <v>1</v>
      </c>
    </row>
    <row r="696" spans="2:14" x14ac:dyDescent="0.25">
      <c r="B696" t="s">
        <v>14</v>
      </c>
      <c r="C696" s="1">
        <v>46224.999988425923</v>
      </c>
      <c r="D696">
        <v>25.155780241920802</v>
      </c>
      <c r="E696">
        <v>358059.34204800799</v>
      </c>
      <c r="F696" s="1">
        <v>46222.605810185189</v>
      </c>
      <c r="G696">
        <v>52.873819572515004</v>
      </c>
      <c r="H696" t="s">
        <v>20</v>
      </c>
      <c r="J696" t="s">
        <v>16</v>
      </c>
      <c r="K696">
        <v>689407.18733078905</v>
      </c>
      <c r="L696" t="s">
        <v>17</v>
      </c>
      <c r="M696">
        <v>-331347.845282781</v>
      </c>
      <c r="N696">
        <v>0.51937280119507201</v>
      </c>
    </row>
    <row r="697" spans="2:14" x14ac:dyDescent="0.25">
      <c r="B697" t="s">
        <v>14</v>
      </c>
      <c r="C697" s="1">
        <v>46223.999988425923</v>
      </c>
      <c r="D697">
        <v>25.155780241920802</v>
      </c>
      <c r="E697">
        <v>358059.34204800799</v>
      </c>
      <c r="F697" s="1">
        <v>46222.605810185189</v>
      </c>
      <c r="G697">
        <v>52.873819572515004</v>
      </c>
      <c r="H697" t="s">
        <v>20</v>
      </c>
      <c r="J697" t="s">
        <v>16</v>
      </c>
      <c r="K697">
        <v>689407.18733078905</v>
      </c>
      <c r="L697" t="s">
        <v>17</v>
      </c>
      <c r="M697">
        <v>0</v>
      </c>
      <c r="N697">
        <v>0.51937280119507201</v>
      </c>
    </row>
    <row r="698" spans="2:14" x14ac:dyDescent="0.25">
      <c r="B698" t="s">
        <v>14</v>
      </c>
      <c r="C698" s="1">
        <v>46222.999988425923</v>
      </c>
      <c r="D698">
        <v>25.155780241920802</v>
      </c>
      <c r="E698">
        <v>358059.34204800799</v>
      </c>
      <c r="F698" s="1">
        <v>46222.605810185189</v>
      </c>
      <c r="G698">
        <v>52.873819572515004</v>
      </c>
      <c r="H698" t="s">
        <v>20</v>
      </c>
      <c r="J698" t="s">
        <v>16</v>
      </c>
      <c r="K698">
        <v>689407.18733078905</v>
      </c>
      <c r="L698" t="s">
        <v>17</v>
      </c>
      <c r="M698">
        <v>0</v>
      </c>
      <c r="N698">
        <v>0.51937280119507201</v>
      </c>
    </row>
    <row r="699" spans="2:14" x14ac:dyDescent="0.25">
      <c r="B699" t="s">
        <v>14</v>
      </c>
      <c r="C699" s="1">
        <v>46221.999988425923</v>
      </c>
      <c r="D699">
        <v>25.155780241920802</v>
      </c>
      <c r="E699">
        <v>689407.18733078905</v>
      </c>
      <c r="F699" s="1">
        <v>46219.099143518521</v>
      </c>
      <c r="G699">
        <v>52.873819572515004</v>
      </c>
      <c r="H699" t="s">
        <v>20</v>
      </c>
      <c r="J699" t="s">
        <v>16</v>
      </c>
      <c r="K699">
        <v>689407.18733078905</v>
      </c>
      <c r="L699" t="s">
        <v>17</v>
      </c>
      <c r="M699">
        <v>331347.845282781</v>
      </c>
      <c r="N699">
        <v>1</v>
      </c>
    </row>
    <row r="700" spans="2:14" x14ac:dyDescent="0.25">
      <c r="B700" t="s">
        <v>14</v>
      </c>
      <c r="C700" s="1">
        <v>46220.999988425923</v>
      </c>
      <c r="D700">
        <v>25.155780241920802</v>
      </c>
      <c r="E700">
        <v>689407.18733078905</v>
      </c>
      <c r="F700" s="1">
        <v>46219.099143518521</v>
      </c>
      <c r="G700">
        <v>52.873819572515004</v>
      </c>
      <c r="H700" t="s">
        <v>20</v>
      </c>
      <c r="J700" t="s">
        <v>16</v>
      </c>
      <c r="K700">
        <v>689407.18733078905</v>
      </c>
      <c r="L700" t="s">
        <v>17</v>
      </c>
      <c r="M700">
        <v>0</v>
      </c>
      <c r="N700">
        <v>1</v>
      </c>
    </row>
    <row r="701" spans="2:14" x14ac:dyDescent="0.25">
      <c r="B701" t="s">
        <v>14</v>
      </c>
      <c r="C701" s="1">
        <v>46219.999988425923</v>
      </c>
      <c r="D701">
        <v>25.155780241920802</v>
      </c>
      <c r="E701">
        <v>689407.18733078905</v>
      </c>
      <c r="F701" s="1">
        <v>46219.099143518521</v>
      </c>
      <c r="G701">
        <v>52.873819572515004</v>
      </c>
      <c r="H701" t="s">
        <v>20</v>
      </c>
      <c r="J701" t="s">
        <v>16</v>
      </c>
      <c r="K701">
        <v>689407.18733078905</v>
      </c>
      <c r="L701" t="s">
        <v>17</v>
      </c>
      <c r="M701">
        <v>0</v>
      </c>
      <c r="N701">
        <v>1</v>
      </c>
    </row>
    <row r="702" spans="2:14" x14ac:dyDescent="0.25">
      <c r="B702" t="s">
        <v>14</v>
      </c>
      <c r="C702" s="1">
        <v>46218.999988425923</v>
      </c>
      <c r="D702">
        <v>25.155780241920802</v>
      </c>
      <c r="E702">
        <v>76287.852970982407</v>
      </c>
      <c r="F702" s="1">
        <v>46216.605509259258</v>
      </c>
      <c r="G702">
        <v>52.873819572515004</v>
      </c>
      <c r="H702" t="s">
        <v>20</v>
      </c>
      <c r="J702" t="s">
        <v>16</v>
      </c>
      <c r="K702">
        <v>689407.18733078905</v>
      </c>
      <c r="L702" t="s">
        <v>17</v>
      </c>
      <c r="M702">
        <v>-613119.33435980696</v>
      </c>
      <c r="N702">
        <v>0.11065717673520301</v>
      </c>
    </row>
    <row r="703" spans="2:14" x14ac:dyDescent="0.25">
      <c r="B703" t="s">
        <v>14</v>
      </c>
      <c r="C703" s="1">
        <v>46217.999988425923</v>
      </c>
      <c r="D703">
        <v>25.155780241920802</v>
      </c>
      <c r="E703">
        <v>76287.852970982407</v>
      </c>
      <c r="F703" s="1">
        <v>46216.605509259258</v>
      </c>
      <c r="G703">
        <v>52.873819572515004</v>
      </c>
      <c r="H703" t="s">
        <v>20</v>
      </c>
      <c r="J703" t="s">
        <v>16</v>
      </c>
      <c r="K703">
        <v>689407.18733078905</v>
      </c>
      <c r="L703" t="s">
        <v>17</v>
      </c>
      <c r="M703">
        <v>0</v>
      </c>
      <c r="N703">
        <v>0.11065717673520301</v>
      </c>
    </row>
    <row r="704" spans="2:14" x14ac:dyDescent="0.25">
      <c r="B704" t="s">
        <v>14</v>
      </c>
      <c r="C704" s="1">
        <v>46216.999988425923</v>
      </c>
      <c r="D704">
        <v>25.155780241920802</v>
      </c>
      <c r="E704">
        <v>76287.852970982407</v>
      </c>
      <c r="F704" s="1">
        <v>46216.605509259258</v>
      </c>
      <c r="G704">
        <v>52.873819572515004</v>
      </c>
      <c r="H704" t="s">
        <v>20</v>
      </c>
      <c r="J704" t="s">
        <v>16</v>
      </c>
      <c r="K704">
        <v>689407.18733078905</v>
      </c>
      <c r="L704" t="s">
        <v>17</v>
      </c>
      <c r="M704">
        <v>0</v>
      </c>
      <c r="N704">
        <v>0.11065717673520301</v>
      </c>
    </row>
    <row r="705" spans="2:14" x14ac:dyDescent="0.25">
      <c r="B705" t="s">
        <v>14</v>
      </c>
      <c r="C705" s="1">
        <v>46215.999988425923</v>
      </c>
      <c r="D705">
        <v>25.155780241920802</v>
      </c>
      <c r="E705">
        <v>689407.18733078905</v>
      </c>
      <c r="F705" s="1">
        <v>46213.099305555559</v>
      </c>
      <c r="G705">
        <v>52.873819572515004</v>
      </c>
      <c r="H705" t="s">
        <v>20</v>
      </c>
      <c r="J705" t="s">
        <v>16</v>
      </c>
      <c r="K705">
        <v>689407.18733078905</v>
      </c>
      <c r="L705" t="s">
        <v>17</v>
      </c>
      <c r="M705">
        <v>613119.33435980696</v>
      </c>
      <c r="N705">
        <v>1</v>
      </c>
    </row>
    <row r="706" spans="2:14" x14ac:dyDescent="0.25">
      <c r="B706" t="s">
        <v>14</v>
      </c>
      <c r="C706" s="1">
        <v>46214.999988425923</v>
      </c>
      <c r="D706">
        <v>25.155780241920802</v>
      </c>
      <c r="E706">
        <v>689407.18733078905</v>
      </c>
      <c r="F706" s="1">
        <v>46213.099305555559</v>
      </c>
      <c r="G706">
        <v>52.873819572515004</v>
      </c>
      <c r="H706" t="s">
        <v>20</v>
      </c>
      <c r="J706" t="s">
        <v>16</v>
      </c>
      <c r="K706">
        <v>689407.18733078905</v>
      </c>
      <c r="L706" t="s">
        <v>17</v>
      </c>
      <c r="M706">
        <v>0</v>
      </c>
      <c r="N706">
        <v>1</v>
      </c>
    </row>
    <row r="707" spans="2:14" x14ac:dyDescent="0.25">
      <c r="B707" t="s">
        <v>14</v>
      </c>
      <c r="C707" s="1">
        <v>46213.999988425923</v>
      </c>
      <c r="D707">
        <v>25.155780241920802</v>
      </c>
      <c r="E707">
        <v>689407.18733078905</v>
      </c>
      <c r="F707" s="1">
        <v>46213.099305555559</v>
      </c>
      <c r="G707">
        <v>52.873819572515004</v>
      </c>
      <c r="H707" t="s">
        <v>20</v>
      </c>
      <c r="J707" t="s">
        <v>16</v>
      </c>
      <c r="K707">
        <v>689407.18733078905</v>
      </c>
      <c r="L707" t="s">
        <v>17</v>
      </c>
      <c r="M707">
        <v>0</v>
      </c>
      <c r="N707">
        <v>1</v>
      </c>
    </row>
    <row r="708" spans="2:14" x14ac:dyDescent="0.25">
      <c r="B708" t="s">
        <v>14</v>
      </c>
      <c r="C708" s="1">
        <v>46212.999988425923</v>
      </c>
      <c r="D708">
        <v>25.155780241920802</v>
      </c>
      <c r="E708">
        <v>317630.434947645</v>
      </c>
      <c r="F708" s="1">
        <v>46210.605798611112</v>
      </c>
      <c r="G708">
        <v>52.873819572515004</v>
      </c>
      <c r="H708" t="s">
        <v>20</v>
      </c>
      <c r="J708" t="s">
        <v>16</v>
      </c>
      <c r="K708">
        <v>689407.18733078905</v>
      </c>
      <c r="L708" t="s">
        <v>17</v>
      </c>
      <c r="M708">
        <v>-371776.75238314399</v>
      </c>
      <c r="N708">
        <v>0.46072979914443501</v>
      </c>
    </row>
    <row r="709" spans="2:14" x14ac:dyDescent="0.25">
      <c r="B709" t="s">
        <v>14</v>
      </c>
      <c r="C709" s="1">
        <v>46211.999988425923</v>
      </c>
      <c r="D709">
        <v>25.155780241920802</v>
      </c>
      <c r="E709">
        <v>317630.434947645</v>
      </c>
      <c r="F709" s="1">
        <v>46210.605798611112</v>
      </c>
      <c r="G709">
        <v>52.873819572515004</v>
      </c>
      <c r="H709" t="s">
        <v>20</v>
      </c>
      <c r="J709" t="s">
        <v>16</v>
      </c>
      <c r="K709">
        <v>689407.18733078905</v>
      </c>
      <c r="L709" t="s">
        <v>17</v>
      </c>
      <c r="M709">
        <v>0</v>
      </c>
      <c r="N709">
        <v>0.46072979914443501</v>
      </c>
    </row>
    <row r="710" spans="2:14" x14ac:dyDescent="0.25">
      <c r="B710" t="s">
        <v>14</v>
      </c>
      <c r="C710" s="1">
        <v>46210.999988425923</v>
      </c>
      <c r="D710">
        <v>25.155780241920802</v>
      </c>
      <c r="E710">
        <v>317630.434947645</v>
      </c>
      <c r="F710" s="1">
        <v>46210.605798611112</v>
      </c>
      <c r="G710">
        <v>52.873819572515004</v>
      </c>
      <c r="H710" t="s">
        <v>20</v>
      </c>
      <c r="J710" t="s">
        <v>16</v>
      </c>
      <c r="K710">
        <v>689407.18733078905</v>
      </c>
      <c r="L710" t="s">
        <v>17</v>
      </c>
      <c r="M710">
        <v>0</v>
      </c>
      <c r="N710">
        <v>0.46072979914443501</v>
      </c>
    </row>
    <row r="711" spans="2:14" x14ac:dyDescent="0.25">
      <c r="B711" t="s">
        <v>14</v>
      </c>
      <c r="C711" s="1">
        <v>46209.999988425923</v>
      </c>
      <c r="D711">
        <v>25.155780241920802</v>
      </c>
      <c r="E711">
        <v>118311.078327323</v>
      </c>
      <c r="F711" s="1">
        <v>46207.099131944444</v>
      </c>
      <c r="G711">
        <v>52.873819572515004</v>
      </c>
      <c r="H711" t="s">
        <v>20</v>
      </c>
      <c r="J711" t="s">
        <v>16</v>
      </c>
      <c r="K711">
        <v>689407.18733078905</v>
      </c>
      <c r="L711" t="s">
        <v>17</v>
      </c>
      <c r="M711">
        <v>-199319.35662032099</v>
      </c>
      <c r="N711">
        <v>0.17161277181543999</v>
      </c>
    </row>
    <row r="712" spans="2:14" x14ac:dyDescent="0.25">
      <c r="B712" t="s">
        <v>14</v>
      </c>
      <c r="C712" s="1">
        <v>46208.999988425923</v>
      </c>
      <c r="D712">
        <v>25.155780241920802</v>
      </c>
      <c r="E712">
        <v>118311.078327323</v>
      </c>
      <c r="F712" s="1">
        <v>46207.099131944444</v>
      </c>
      <c r="G712">
        <v>52.873819572515004</v>
      </c>
      <c r="H712" t="s">
        <v>20</v>
      </c>
      <c r="J712" t="s">
        <v>16</v>
      </c>
      <c r="K712">
        <v>689407.18733078905</v>
      </c>
      <c r="L712" t="s">
        <v>17</v>
      </c>
      <c r="M712">
        <v>0</v>
      </c>
      <c r="N712">
        <v>0.17161277181543999</v>
      </c>
    </row>
    <row r="713" spans="2:14" x14ac:dyDescent="0.25">
      <c r="B713" t="s">
        <v>14</v>
      </c>
      <c r="C713" s="1">
        <v>46207.999988425923</v>
      </c>
      <c r="D713">
        <v>25.155780241920802</v>
      </c>
      <c r="E713">
        <v>118311.078327323</v>
      </c>
      <c r="F713" s="1">
        <v>46207.099131944444</v>
      </c>
      <c r="G713">
        <v>52.873819572515004</v>
      </c>
      <c r="H713" t="s">
        <v>20</v>
      </c>
      <c r="J713" t="s">
        <v>16</v>
      </c>
      <c r="K713">
        <v>689407.18733078905</v>
      </c>
      <c r="L713" t="s">
        <v>17</v>
      </c>
      <c r="M713">
        <v>0</v>
      </c>
      <c r="N713">
        <v>0.17161277181543999</v>
      </c>
    </row>
    <row r="714" spans="2:14" x14ac:dyDescent="0.25">
      <c r="B714" t="s">
        <v>14</v>
      </c>
      <c r="C714" s="1">
        <v>46206.999988425923</v>
      </c>
      <c r="D714">
        <v>25.155780241920802</v>
      </c>
      <c r="E714">
        <v>377222.24313286599</v>
      </c>
      <c r="F714" s="1">
        <v>46204.605509259258</v>
      </c>
      <c r="G714">
        <v>52.873819572515004</v>
      </c>
      <c r="H714" t="s">
        <v>20</v>
      </c>
      <c r="J714" t="s">
        <v>16</v>
      </c>
      <c r="K714">
        <v>689407.18733078905</v>
      </c>
      <c r="L714" t="s">
        <v>17</v>
      </c>
      <c r="M714">
        <v>258911.164805543</v>
      </c>
      <c r="N714">
        <v>0.54716900268094903</v>
      </c>
    </row>
    <row r="715" spans="2:14" x14ac:dyDescent="0.25">
      <c r="B715" t="s">
        <v>14</v>
      </c>
      <c r="C715" s="1">
        <v>46205.999988425923</v>
      </c>
      <c r="D715">
        <v>25.155780241920802</v>
      </c>
      <c r="E715">
        <v>377222.24313286599</v>
      </c>
      <c r="F715" s="1">
        <v>46204.605509259258</v>
      </c>
      <c r="G715">
        <v>52.873819572515004</v>
      </c>
      <c r="H715" t="s">
        <v>20</v>
      </c>
      <c r="J715" t="s">
        <v>16</v>
      </c>
      <c r="K715">
        <v>689407.18733078905</v>
      </c>
      <c r="L715" t="s">
        <v>17</v>
      </c>
      <c r="M715">
        <v>0</v>
      </c>
      <c r="N715">
        <v>0.54716900268094903</v>
      </c>
    </row>
    <row r="716" spans="2:14" x14ac:dyDescent="0.25">
      <c r="B716" t="s">
        <v>14</v>
      </c>
      <c r="C716" s="1">
        <v>46204.999988425923</v>
      </c>
      <c r="D716">
        <v>25.155780241920802</v>
      </c>
      <c r="E716">
        <v>377222.24313286599</v>
      </c>
      <c r="F716" s="1">
        <v>46204.605509259258</v>
      </c>
      <c r="G716">
        <v>52.873819572515004</v>
      </c>
      <c r="H716" t="s">
        <v>20</v>
      </c>
      <c r="J716" t="s">
        <v>16</v>
      </c>
      <c r="K716">
        <v>689407.18733078905</v>
      </c>
      <c r="L716" t="s">
        <v>17</v>
      </c>
      <c r="M716">
        <v>0</v>
      </c>
      <c r="N716">
        <v>0.54716900268094903</v>
      </c>
    </row>
    <row r="717" spans="2:14" x14ac:dyDescent="0.25">
      <c r="B717" t="s">
        <v>14</v>
      </c>
      <c r="C717" s="1">
        <v>46203.999988425923</v>
      </c>
      <c r="D717">
        <v>25.155780241920802</v>
      </c>
      <c r="E717">
        <v>336990.94771195698</v>
      </c>
      <c r="F717" s="1">
        <v>46201.099305555559</v>
      </c>
      <c r="G717">
        <v>52.873819572515004</v>
      </c>
      <c r="H717" t="s">
        <v>20</v>
      </c>
      <c r="J717" t="s">
        <v>16</v>
      </c>
      <c r="K717">
        <v>689407.18733078905</v>
      </c>
      <c r="L717" t="s">
        <v>17</v>
      </c>
      <c r="M717">
        <v>-40231.2954209089</v>
      </c>
      <c r="N717">
        <v>0.48881264063506602</v>
      </c>
    </row>
    <row r="718" spans="2:14" x14ac:dyDescent="0.25">
      <c r="B718" t="s">
        <v>14</v>
      </c>
      <c r="C718" s="1">
        <v>46202.999988425923</v>
      </c>
      <c r="D718">
        <v>25.155780241920802</v>
      </c>
      <c r="E718">
        <v>336990.94771195698</v>
      </c>
      <c r="F718" s="1">
        <v>46201.099305555559</v>
      </c>
      <c r="G718">
        <v>52.873819572515004</v>
      </c>
      <c r="H718" t="s">
        <v>20</v>
      </c>
      <c r="J718" t="s">
        <v>16</v>
      </c>
      <c r="K718">
        <v>689407.18733078905</v>
      </c>
      <c r="L718" t="s">
        <v>17</v>
      </c>
      <c r="M718">
        <v>0</v>
      </c>
      <c r="N718">
        <v>0.48881264063506602</v>
      </c>
    </row>
    <row r="719" spans="2:14" x14ac:dyDescent="0.25">
      <c r="B719" t="s">
        <v>14</v>
      </c>
      <c r="C719" s="1">
        <v>46201.999988425923</v>
      </c>
      <c r="D719">
        <v>25.155780241920802</v>
      </c>
      <c r="E719">
        <v>336990.94771195698</v>
      </c>
      <c r="F719" s="1">
        <v>46201.099305555559</v>
      </c>
      <c r="G719">
        <v>52.873819572515004</v>
      </c>
      <c r="H719" t="s">
        <v>20</v>
      </c>
      <c r="J719" t="s">
        <v>16</v>
      </c>
      <c r="K719">
        <v>689407.18733078905</v>
      </c>
      <c r="L719" t="s">
        <v>17</v>
      </c>
      <c r="M719">
        <v>0</v>
      </c>
      <c r="N719">
        <v>0.48881264063506602</v>
      </c>
    </row>
    <row r="720" spans="2:14" x14ac:dyDescent="0.25">
      <c r="B720" t="s">
        <v>14</v>
      </c>
      <c r="C720" s="1">
        <v>46200.999988425923</v>
      </c>
      <c r="D720">
        <v>25.155780241920802</v>
      </c>
      <c r="E720">
        <v>185584.71863402001</v>
      </c>
      <c r="F720" s="1">
        <v>46198.605787037035</v>
      </c>
      <c r="G720">
        <v>52.873819572515004</v>
      </c>
      <c r="H720" t="s">
        <v>20</v>
      </c>
      <c r="J720" t="s">
        <v>16</v>
      </c>
      <c r="K720">
        <v>689407.18733078905</v>
      </c>
      <c r="L720" t="s">
        <v>17</v>
      </c>
      <c r="M720">
        <v>-151406.22907793699</v>
      </c>
      <c r="N720">
        <v>0.26919463858878101</v>
      </c>
    </row>
    <row r="721" spans="2:14" x14ac:dyDescent="0.25">
      <c r="B721" t="s">
        <v>14</v>
      </c>
      <c r="C721" s="1">
        <v>46199.999988425923</v>
      </c>
      <c r="D721">
        <v>25.155780241920802</v>
      </c>
      <c r="E721">
        <v>185584.71863402001</v>
      </c>
      <c r="F721" s="1">
        <v>46198.605787037035</v>
      </c>
      <c r="G721">
        <v>52.873819572515004</v>
      </c>
      <c r="H721" t="s">
        <v>20</v>
      </c>
      <c r="J721" t="s">
        <v>16</v>
      </c>
      <c r="K721">
        <v>689407.18733078905</v>
      </c>
      <c r="L721" t="s">
        <v>17</v>
      </c>
      <c r="M721">
        <v>0</v>
      </c>
      <c r="N721">
        <v>0.26919463858878101</v>
      </c>
    </row>
    <row r="722" spans="2:14" x14ac:dyDescent="0.25">
      <c r="B722" t="s">
        <v>14</v>
      </c>
      <c r="C722" s="1">
        <v>46198.999988425923</v>
      </c>
      <c r="D722">
        <v>25.155780241920802</v>
      </c>
      <c r="E722">
        <v>185584.71863402001</v>
      </c>
      <c r="F722" s="1">
        <v>46198.605787037035</v>
      </c>
      <c r="G722">
        <v>52.873819572515004</v>
      </c>
      <c r="H722" t="s">
        <v>20</v>
      </c>
      <c r="J722" t="s">
        <v>16</v>
      </c>
      <c r="K722">
        <v>689407.18733078905</v>
      </c>
      <c r="L722" t="s">
        <v>17</v>
      </c>
      <c r="M722">
        <v>0</v>
      </c>
      <c r="N722">
        <v>0.26919463858878101</v>
      </c>
    </row>
    <row r="723" spans="2:14" x14ac:dyDescent="0.25">
      <c r="B723" t="s">
        <v>14</v>
      </c>
      <c r="C723" s="1">
        <v>46197.999988425923</v>
      </c>
      <c r="D723">
        <v>25.155780241920802</v>
      </c>
      <c r="E723">
        <v>372495.25393558497</v>
      </c>
      <c r="F723" s="1">
        <v>46194.099780092591</v>
      </c>
      <c r="G723">
        <v>52.873819572515004</v>
      </c>
      <c r="H723" t="s">
        <v>20</v>
      </c>
      <c r="J723" t="s">
        <v>16</v>
      </c>
      <c r="K723">
        <v>689407.18733078905</v>
      </c>
      <c r="L723" t="s">
        <v>17</v>
      </c>
      <c r="M723">
        <v>186910.535301564</v>
      </c>
      <c r="N723">
        <v>0.54031240285990101</v>
      </c>
    </row>
    <row r="724" spans="2:14" x14ac:dyDescent="0.25">
      <c r="B724" t="s">
        <v>14</v>
      </c>
      <c r="C724" s="1">
        <v>46196.999988425923</v>
      </c>
      <c r="D724">
        <v>25.155780241920802</v>
      </c>
      <c r="E724">
        <v>372495.25393558497</v>
      </c>
      <c r="F724" s="1">
        <v>46194.099780092591</v>
      </c>
      <c r="G724">
        <v>52.873819572515004</v>
      </c>
      <c r="H724" t="s">
        <v>20</v>
      </c>
      <c r="J724" t="s">
        <v>16</v>
      </c>
      <c r="K724">
        <v>689407.18733078905</v>
      </c>
      <c r="L724" t="s">
        <v>17</v>
      </c>
      <c r="M724">
        <v>0</v>
      </c>
      <c r="N724">
        <v>0.54031240285990101</v>
      </c>
    </row>
    <row r="725" spans="2:14" x14ac:dyDescent="0.25">
      <c r="B725" t="s">
        <v>14</v>
      </c>
      <c r="C725" s="1">
        <v>46195.999988425923</v>
      </c>
      <c r="D725">
        <v>25.155780241920802</v>
      </c>
      <c r="E725">
        <v>372495.25393558497</v>
      </c>
      <c r="F725" s="1">
        <v>46194.099780092591</v>
      </c>
      <c r="G725">
        <v>52.873819572515004</v>
      </c>
      <c r="H725" t="s">
        <v>20</v>
      </c>
      <c r="J725" t="s">
        <v>16</v>
      </c>
      <c r="K725">
        <v>689407.18733078905</v>
      </c>
      <c r="L725" t="s">
        <v>17</v>
      </c>
      <c r="M725">
        <v>0</v>
      </c>
      <c r="N725">
        <v>0.54031240285990101</v>
      </c>
    </row>
    <row r="726" spans="2:14" x14ac:dyDescent="0.25">
      <c r="B726" t="s">
        <v>14</v>
      </c>
      <c r="C726" s="1">
        <v>46194.999988425923</v>
      </c>
      <c r="D726">
        <v>25.155780241920802</v>
      </c>
      <c r="E726">
        <v>372495.25393558497</v>
      </c>
      <c r="F726" s="1">
        <v>46194.099780092591</v>
      </c>
      <c r="G726">
        <v>52.873819572515004</v>
      </c>
      <c r="H726" t="s">
        <v>20</v>
      </c>
      <c r="J726" t="s">
        <v>16</v>
      </c>
      <c r="K726">
        <v>689407.18733078905</v>
      </c>
      <c r="L726" t="s">
        <v>17</v>
      </c>
      <c r="M726">
        <v>0</v>
      </c>
      <c r="N726">
        <v>0.54031240285990101</v>
      </c>
    </row>
    <row r="727" spans="2:14" x14ac:dyDescent="0.25">
      <c r="B727" t="s">
        <v>14</v>
      </c>
      <c r="C727" s="1">
        <v>46193.999988425923</v>
      </c>
      <c r="D727">
        <v>25.155780241920802</v>
      </c>
      <c r="E727">
        <v>331355.40670177998</v>
      </c>
      <c r="F727" s="1">
        <v>46191.606261574074</v>
      </c>
      <c r="G727">
        <v>52.873819572515004</v>
      </c>
      <c r="H727" t="s">
        <v>20</v>
      </c>
      <c r="J727" t="s">
        <v>16</v>
      </c>
      <c r="K727">
        <v>689407.18733078905</v>
      </c>
      <c r="L727" t="s">
        <v>17</v>
      </c>
      <c r="M727">
        <v>-41139.847233804503</v>
      </c>
      <c r="N727">
        <v>0.48063816680633198</v>
      </c>
    </row>
    <row r="728" spans="2:14" x14ac:dyDescent="0.25">
      <c r="B728" t="s">
        <v>14</v>
      </c>
      <c r="C728" s="1">
        <v>46192.999988425923</v>
      </c>
      <c r="D728">
        <v>25.155780241920802</v>
      </c>
      <c r="E728">
        <v>331355.40670177998</v>
      </c>
      <c r="F728" s="1">
        <v>46191.606261574074</v>
      </c>
      <c r="G728">
        <v>52.873819572515004</v>
      </c>
      <c r="H728" t="s">
        <v>20</v>
      </c>
      <c r="J728" t="s">
        <v>16</v>
      </c>
      <c r="K728">
        <v>689407.18733078905</v>
      </c>
      <c r="L728" t="s">
        <v>17</v>
      </c>
      <c r="M728">
        <v>0</v>
      </c>
      <c r="N728">
        <v>0.48063816680633198</v>
      </c>
    </row>
    <row r="729" spans="2:14" x14ac:dyDescent="0.25">
      <c r="B729" t="s">
        <v>14</v>
      </c>
      <c r="C729" s="1">
        <v>46191.999988425923</v>
      </c>
      <c r="D729">
        <v>25.155780241920802</v>
      </c>
      <c r="E729">
        <v>331355.40670177998</v>
      </c>
      <c r="F729" s="1">
        <v>46191.606261574074</v>
      </c>
      <c r="G729">
        <v>52.873819572515004</v>
      </c>
      <c r="H729" t="s">
        <v>20</v>
      </c>
      <c r="J729" t="s">
        <v>16</v>
      </c>
      <c r="K729">
        <v>689407.18733078905</v>
      </c>
      <c r="L729" t="s">
        <v>17</v>
      </c>
      <c r="M729">
        <v>0</v>
      </c>
      <c r="N729">
        <v>0.48063816680633198</v>
      </c>
    </row>
    <row r="730" spans="2:14" x14ac:dyDescent="0.25">
      <c r="B730" t="s">
        <v>14</v>
      </c>
      <c r="C730" s="1">
        <v>46190.999988425923</v>
      </c>
      <c r="D730">
        <v>25.155780241920802</v>
      </c>
      <c r="E730">
        <v>689407.18733078905</v>
      </c>
      <c r="F730" s="1">
        <v>46189.099270833336</v>
      </c>
      <c r="G730">
        <v>52.873819572515004</v>
      </c>
      <c r="H730" t="s">
        <v>20</v>
      </c>
      <c r="J730" t="s">
        <v>16</v>
      </c>
      <c r="K730">
        <v>689407.18733078905</v>
      </c>
      <c r="L730" t="s">
        <v>17</v>
      </c>
      <c r="M730">
        <v>358051.78062900802</v>
      </c>
      <c r="N730">
        <v>1</v>
      </c>
    </row>
    <row r="731" spans="2:14" x14ac:dyDescent="0.25">
      <c r="B731" t="s">
        <v>14</v>
      </c>
      <c r="C731" s="1">
        <v>46189.999988425923</v>
      </c>
      <c r="D731">
        <v>25.155780241920802</v>
      </c>
      <c r="E731">
        <v>689407.18733078905</v>
      </c>
      <c r="F731" s="1">
        <v>46189.099270833336</v>
      </c>
      <c r="G731">
        <v>52.873819572515004</v>
      </c>
      <c r="H731" t="s">
        <v>20</v>
      </c>
      <c r="J731" t="s">
        <v>16</v>
      </c>
      <c r="K731">
        <v>689407.18733078905</v>
      </c>
      <c r="L731" t="s">
        <v>17</v>
      </c>
      <c r="M731">
        <v>0</v>
      </c>
      <c r="N731">
        <v>1</v>
      </c>
    </row>
    <row r="732" spans="2:14" x14ac:dyDescent="0.25">
      <c r="B732" t="s">
        <v>14</v>
      </c>
      <c r="C732" s="1">
        <v>46188.999988425923</v>
      </c>
      <c r="D732">
        <v>25.155780241920802</v>
      </c>
      <c r="E732">
        <v>139151.66497190099</v>
      </c>
      <c r="F732" s="1">
        <v>46186.60564814815</v>
      </c>
      <c r="G732">
        <v>52.873819572515004</v>
      </c>
      <c r="H732" t="s">
        <v>20</v>
      </c>
      <c r="J732" t="s">
        <v>16</v>
      </c>
      <c r="K732">
        <v>689407.18733078905</v>
      </c>
      <c r="L732" t="s">
        <v>17</v>
      </c>
      <c r="M732">
        <v>-550255.52235888795</v>
      </c>
      <c r="N732">
        <v>0.201842492403743</v>
      </c>
    </row>
    <row r="733" spans="2:14" x14ac:dyDescent="0.25">
      <c r="B733" t="s">
        <v>14</v>
      </c>
      <c r="C733" s="1">
        <v>46187.999988425923</v>
      </c>
      <c r="D733">
        <v>25.155780241920802</v>
      </c>
      <c r="E733">
        <v>139151.66497190099</v>
      </c>
      <c r="F733" s="1">
        <v>46186.60564814815</v>
      </c>
      <c r="G733">
        <v>52.873819572515004</v>
      </c>
      <c r="H733" t="s">
        <v>20</v>
      </c>
      <c r="J733" t="s">
        <v>16</v>
      </c>
      <c r="K733">
        <v>689407.18733078905</v>
      </c>
      <c r="L733" t="s">
        <v>17</v>
      </c>
      <c r="M733">
        <v>0</v>
      </c>
      <c r="N733">
        <v>0.201842492403743</v>
      </c>
    </row>
    <row r="734" spans="2:14" x14ac:dyDescent="0.25">
      <c r="B734" t="s">
        <v>14</v>
      </c>
      <c r="C734" s="1">
        <v>46186.999988425923</v>
      </c>
      <c r="D734">
        <v>25.155780241920802</v>
      </c>
      <c r="E734">
        <v>139151.66497190099</v>
      </c>
      <c r="F734" s="1">
        <v>46186.60564814815</v>
      </c>
      <c r="G734">
        <v>52.873819572515004</v>
      </c>
      <c r="H734" t="s">
        <v>20</v>
      </c>
      <c r="J734" t="s">
        <v>16</v>
      </c>
      <c r="K734">
        <v>689407.18733078905</v>
      </c>
      <c r="L734" t="s">
        <v>17</v>
      </c>
      <c r="M734">
        <v>0</v>
      </c>
      <c r="N734">
        <v>0.201842492403743</v>
      </c>
    </row>
    <row r="735" spans="2:14" x14ac:dyDescent="0.25">
      <c r="B735" t="s">
        <v>14</v>
      </c>
      <c r="C735" s="1">
        <v>46185.999988425923</v>
      </c>
      <c r="D735">
        <v>25.155780241920802</v>
      </c>
      <c r="E735">
        <v>689407.18733078905</v>
      </c>
      <c r="F735" s="1">
        <v>46182.099780092591</v>
      </c>
      <c r="G735">
        <v>52.873819572515004</v>
      </c>
      <c r="H735" t="s">
        <v>20</v>
      </c>
      <c r="J735" t="s">
        <v>16</v>
      </c>
      <c r="K735">
        <v>689407.18733078905</v>
      </c>
      <c r="L735" t="s">
        <v>17</v>
      </c>
      <c r="M735">
        <v>550255.52235888795</v>
      </c>
      <c r="N735">
        <v>1</v>
      </c>
    </row>
    <row r="736" spans="2:14" x14ac:dyDescent="0.25">
      <c r="B736" t="s">
        <v>14</v>
      </c>
      <c r="C736" s="1">
        <v>46184.999988425923</v>
      </c>
      <c r="D736">
        <v>25.155780241920802</v>
      </c>
      <c r="E736">
        <v>689407.18733078905</v>
      </c>
      <c r="F736" s="1">
        <v>46182.099780092591</v>
      </c>
      <c r="G736">
        <v>52.873819572515004</v>
      </c>
      <c r="H736" t="s">
        <v>20</v>
      </c>
      <c r="J736" t="s">
        <v>16</v>
      </c>
      <c r="K736">
        <v>689407.18733078905</v>
      </c>
      <c r="L736" t="s">
        <v>17</v>
      </c>
      <c r="M736">
        <v>0</v>
      </c>
      <c r="N736">
        <v>1</v>
      </c>
    </row>
    <row r="737" spans="2:14" x14ac:dyDescent="0.25">
      <c r="B737" t="s">
        <v>14</v>
      </c>
      <c r="C737" s="1">
        <v>46183.999988425923</v>
      </c>
      <c r="D737">
        <v>25.155780241920802</v>
      </c>
      <c r="E737">
        <v>689407.18733078905</v>
      </c>
      <c r="F737" s="1">
        <v>46182.099780092591</v>
      </c>
      <c r="G737">
        <v>52.873819572515004</v>
      </c>
      <c r="H737" t="s">
        <v>20</v>
      </c>
      <c r="J737" t="s">
        <v>16</v>
      </c>
      <c r="K737">
        <v>689407.18733078905</v>
      </c>
      <c r="L737" t="s">
        <v>17</v>
      </c>
      <c r="M737">
        <v>0</v>
      </c>
      <c r="N737">
        <v>1</v>
      </c>
    </row>
    <row r="738" spans="2:14" x14ac:dyDescent="0.25">
      <c r="B738" t="s">
        <v>14</v>
      </c>
      <c r="C738" s="1">
        <v>46182.999988425923</v>
      </c>
      <c r="D738">
        <v>25.155780241920802</v>
      </c>
      <c r="E738">
        <v>689407.18733078905</v>
      </c>
      <c r="F738" s="1">
        <v>46182.099780092591</v>
      </c>
      <c r="G738">
        <v>52.873819572515004</v>
      </c>
      <c r="H738" t="s">
        <v>20</v>
      </c>
      <c r="J738" t="s">
        <v>16</v>
      </c>
      <c r="K738">
        <v>689407.18733078905</v>
      </c>
      <c r="L738" t="s">
        <v>17</v>
      </c>
      <c r="M738">
        <v>0</v>
      </c>
      <c r="N738">
        <v>1</v>
      </c>
    </row>
    <row r="739" spans="2:14" x14ac:dyDescent="0.25">
      <c r="B739" t="s">
        <v>14</v>
      </c>
      <c r="C739" s="1">
        <v>46181.999988425923</v>
      </c>
      <c r="D739">
        <v>25.155780241920802</v>
      </c>
      <c r="E739">
        <v>546477.51570148405</v>
      </c>
      <c r="F739" s="1">
        <v>46179.606273148151</v>
      </c>
      <c r="G739">
        <v>52.873819572515004</v>
      </c>
      <c r="H739" t="s">
        <v>20</v>
      </c>
      <c r="J739" t="s">
        <v>16</v>
      </c>
      <c r="K739">
        <v>689407.18733078905</v>
      </c>
      <c r="L739" t="s">
        <v>17</v>
      </c>
      <c r="M739">
        <v>-142929.671629305</v>
      </c>
      <c r="N739">
        <v>0.79267742742472302</v>
      </c>
    </row>
    <row r="740" spans="2:14" x14ac:dyDescent="0.25">
      <c r="B740" t="s">
        <v>14</v>
      </c>
      <c r="C740" s="1">
        <v>46180.999988425923</v>
      </c>
      <c r="D740">
        <v>25.155780241920802</v>
      </c>
      <c r="E740">
        <v>546477.51570148405</v>
      </c>
      <c r="F740" s="1">
        <v>46179.606273148151</v>
      </c>
      <c r="G740">
        <v>52.873819572515004</v>
      </c>
      <c r="H740" t="s">
        <v>20</v>
      </c>
      <c r="J740" t="s">
        <v>16</v>
      </c>
      <c r="K740">
        <v>689407.18733078905</v>
      </c>
      <c r="L740" t="s">
        <v>17</v>
      </c>
      <c r="M740">
        <v>0</v>
      </c>
      <c r="N740">
        <v>0.79267742742472302</v>
      </c>
    </row>
    <row r="741" spans="2:14" x14ac:dyDescent="0.25">
      <c r="B741" t="s">
        <v>14</v>
      </c>
      <c r="C741" s="1">
        <v>46179.999988425923</v>
      </c>
      <c r="D741">
        <v>25.155780241920802</v>
      </c>
      <c r="E741">
        <v>546477.51570148405</v>
      </c>
      <c r="F741" s="1">
        <v>46179.606273148151</v>
      </c>
      <c r="G741">
        <v>52.873819572515004</v>
      </c>
      <c r="H741" t="s">
        <v>20</v>
      </c>
      <c r="J741" t="s">
        <v>16</v>
      </c>
      <c r="K741">
        <v>689407.18733078905</v>
      </c>
      <c r="L741" t="s">
        <v>17</v>
      </c>
      <c r="M741">
        <v>0</v>
      </c>
      <c r="N741">
        <v>0.79267742742472302</v>
      </c>
    </row>
    <row r="742" spans="2:14" x14ac:dyDescent="0.25">
      <c r="B742" t="s">
        <v>14</v>
      </c>
      <c r="C742" s="1">
        <v>46178.999988425923</v>
      </c>
      <c r="D742">
        <v>25.155780241920802</v>
      </c>
      <c r="E742">
        <v>567430.04330511903</v>
      </c>
      <c r="F742" s="1">
        <v>46177.099259259259</v>
      </c>
      <c r="G742">
        <v>52.873819572515004</v>
      </c>
      <c r="H742" t="s">
        <v>20</v>
      </c>
      <c r="J742" t="s">
        <v>16</v>
      </c>
      <c r="K742">
        <v>689407.18733078905</v>
      </c>
      <c r="L742" t="s">
        <v>17</v>
      </c>
      <c r="M742">
        <v>20952.5276036344</v>
      </c>
      <c r="N742">
        <v>0.82306952078939599</v>
      </c>
    </row>
    <row r="743" spans="2:14" x14ac:dyDescent="0.25">
      <c r="B743" t="s">
        <v>14</v>
      </c>
      <c r="C743" s="1">
        <v>46177.999988425923</v>
      </c>
      <c r="D743">
        <v>25.155780241920802</v>
      </c>
      <c r="E743">
        <v>567430.04330511903</v>
      </c>
      <c r="F743" s="1">
        <v>46177.099259259259</v>
      </c>
      <c r="G743">
        <v>52.873819572515004</v>
      </c>
      <c r="H743" t="s">
        <v>20</v>
      </c>
      <c r="J743" t="s">
        <v>16</v>
      </c>
      <c r="K743">
        <v>689407.18733078905</v>
      </c>
      <c r="L743" t="s">
        <v>17</v>
      </c>
      <c r="M743">
        <v>0</v>
      </c>
      <c r="N743">
        <v>0.82306952078939599</v>
      </c>
    </row>
    <row r="744" spans="2:14" x14ac:dyDescent="0.25">
      <c r="B744" t="s">
        <v>14</v>
      </c>
      <c r="C744" s="1">
        <v>46176.999988425923</v>
      </c>
      <c r="D744">
        <v>25.155780241920802</v>
      </c>
      <c r="E744">
        <v>462395.42142917903</v>
      </c>
      <c r="F744" s="1">
        <v>46176.099143518521</v>
      </c>
      <c r="G744">
        <v>52.873819572515004</v>
      </c>
      <c r="H744" t="s">
        <v>20</v>
      </c>
      <c r="J744" t="s">
        <v>16</v>
      </c>
      <c r="K744">
        <v>689407.18733078905</v>
      </c>
      <c r="L744" t="s">
        <v>17</v>
      </c>
      <c r="M744">
        <v>-105034.621875939</v>
      </c>
      <c r="N744">
        <v>0.67071453551196303</v>
      </c>
    </row>
    <row r="745" spans="2:14" x14ac:dyDescent="0.25">
      <c r="B745" t="s">
        <v>14</v>
      </c>
      <c r="C745" s="1">
        <v>46175.999988425923</v>
      </c>
      <c r="D745">
        <v>25.155780241920802</v>
      </c>
      <c r="E745">
        <v>80082.956473843195</v>
      </c>
      <c r="F745" s="1">
        <v>46173.605520833335</v>
      </c>
      <c r="G745">
        <v>52.873819572515004</v>
      </c>
      <c r="H745" t="s">
        <v>20</v>
      </c>
      <c r="J745" t="s">
        <v>16</v>
      </c>
      <c r="K745">
        <v>689407.18733078905</v>
      </c>
      <c r="L745" t="s">
        <v>17</v>
      </c>
      <c r="M745">
        <v>-382312.46495533601</v>
      </c>
      <c r="N745">
        <v>0.116162056249956</v>
      </c>
    </row>
    <row r="746" spans="2:14" x14ac:dyDescent="0.25">
      <c r="B746" t="s">
        <v>14</v>
      </c>
      <c r="C746" s="1">
        <v>46174.999988425923</v>
      </c>
      <c r="D746">
        <v>25.155780241920802</v>
      </c>
      <c r="E746">
        <v>80082.956473843195</v>
      </c>
      <c r="F746" s="1">
        <v>46173.605520833335</v>
      </c>
      <c r="G746">
        <v>52.873819572515004</v>
      </c>
      <c r="H746" t="s">
        <v>20</v>
      </c>
      <c r="J746" t="s">
        <v>16</v>
      </c>
      <c r="K746">
        <v>689407.18733078905</v>
      </c>
      <c r="L746" t="s">
        <v>17</v>
      </c>
      <c r="M746">
        <v>0</v>
      </c>
      <c r="N746">
        <v>0.116162056249956</v>
      </c>
    </row>
    <row r="747" spans="2:14" x14ac:dyDescent="0.25">
      <c r="B747" t="s">
        <v>14</v>
      </c>
      <c r="C747" s="1">
        <v>46173.999988425923</v>
      </c>
      <c r="D747">
        <v>25.155780241920802</v>
      </c>
      <c r="E747">
        <v>80082.956473843195</v>
      </c>
      <c r="F747" s="1">
        <v>46173.605520833335</v>
      </c>
      <c r="G747">
        <v>52.873819572515004</v>
      </c>
      <c r="H747" t="s">
        <v>20</v>
      </c>
      <c r="J747" t="s">
        <v>16</v>
      </c>
      <c r="K747">
        <v>689407.18733078905</v>
      </c>
      <c r="L747" t="s">
        <v>17</v>
      </c>
      <c r="M747">
        <v>0</v>
      </c>
      <c r="N747">
        <v>0.116162056249956</v>
      </c>
    </row>
    <row r="748" spans="2:14" x14ac:dyDescent="0.25">
      <c r="B748" t="s">
        <v>14</v>
      </c>
      <c r="C748" s="1">
        <v>46172.999988425923</v>
      </c>
      <c r="D748">
        <v>25.155780241920802</v>
      </c>
      <c r="E748">
        <v>689407.18733078905</v>
      </c>
      <c r="F748" s="1">
        <v>46170.099791666667</v>
      </c>
      <c r="G748">
        <v>52.873819572515004</v>
      </c>
      <c r="H748" t="s">
        <v>20</v>
      </c>
      <c r="J748" t="s">
        <v>16</v>
      </c>
      <c r="K748">
        <v>689407.18733078905</v>
      </c>
      <c r="L748" t="s">
        <v>17</v>
      </c>
      <c r="M748">
        <v>609324.23085694597</v>
      </c>
      <c r="N748">
        <v>1</v>
      </c>
    </row>
    <row r="749" spans="2:14" x14ac:dyDescent="0.25">
      <c r="B749" t="s">
        <v>14</v>
      </c>
      <c r="C749" s="1">
        <v>46171.999988425923</v>
      </c>
      <c r="D749">
        <v>25.155780241920802</v>
      </c>
      <c r="E749">
        <v>689407.18733078905</v>
      </c>
      <c r="F749" s="1">
        <v>46170.099791666667</v>
      </c>
      <c r="G749">
        <v>52.873819572515004</v>
      </c>
      <c r="H749" t="s">
        <v>20</v>
      </c>
      <c r="J749" t="s">
        <v>16</v>
      </c>
      <c r="K749">
        <v>689407.18733078905</v>
      </c>
      <c r="L749" t="s">
        <v>17</v>
      </c>
      <c r="M749">
        <v>0</v>
      </c>
      <c r="N749">
        <v>1</v>
      </c>
    </row>
    <row r="750" spans="2:14" x14ac:dyDescent="0.25">
      <c r="B750" t="s">
        <v>14</v>
      </c>
      <c r="C750" s="1">
        <v>46170.999988425923</v>
      </c>
      <c r="D750">
        <v>25.155780241920802</v>
      </c>
      <c r="E750">
        <v>689407.18733078905</v>
      </c>
      <c r="F750" s="1">
        <v>46170.099791666667</v>
      </c>
      <c r="G750">
        <v>52.873819572515004</v>
      </c>
      <c r="H750" t="s">
        <v>20</v>
      </c>
      <c r="J750" t="s">
        <v>16</v>
      </c>
      <c r="K750">
        <v>689407.18733078905</v>
      </c>
      <c r="L750" t="s">
        <v>17</v>
      </c>
      <c r="M750">
        <v>0</v>
      </c>
      <c r="N750">
        <v>1</v>
      </c>
    </row>
    <row r="751" spans="2:14" x14ac:dyDescent="0.25">
      <c r="B751" t="s">
        <v>14</v>
      </c>
      <c r="C751" s="1">
        <v>46169.999988425923</v>
      </c>
      <c r="D751">
        <v>25.155780241920802</v>
      </c>
      <c r="E751">
        <v>558486.52936433197</v>
      </c>
      <c r="F751" s="1">
        <v>46167.60628472222</v>
      </c>
      <c r="G751">
        <v>52.873819572515004</v>
      </c>
      <c r="H751" t="s">
        <v>20</v>
      </c>
      <c r="J751" t="s">
        <v>16</v>
      </c>
      <c r="K751">
        <v>689407.18733078905</v>
      </c>
      <c r="L751" t="s">
        <v>17</v>
      </c>
      <c r="M751">
        <v>-130920.657966457</v>
      </c>
      <c r="N751">
        <v>0.81009676085137805</v>
      </c>
    </row>
    <row r="752" spans="2:14" x14ac:dyDescent="0.25">
      <c r="B752" t="s">
        <v>14</v>
      </c>
      <c r="C752" s="1">
        <v>46168.999988425923</v>
      </c>
      <c r="D752">
        <v>25.155780241920802</v>
      </c>
      <c r="E752">
        <v>558486.52936433197</v>
      </c>
      <c r="F752" s="1">
        <v>46167.60628472222</v>
      </c>
      <c r="G752">
        <v>52.873819572515004</v>
      </c>
      <c r="H752" t="s">
        <v>20</v>
      </c>
      <c r="J752" t="s">
        <v>16</v>
      </c>
      <c r="K752">
        <v>689407.18733078905</v>
      </c>
      <c r="L752" t="s">
        <v>17</v>
      </c>
      <c r="M752">
        <v>0</v>
      </c>
      <c r="N752">
        <v>0.81009676085137805</v>
      </c>
    </row>
    <row r="753" spans="2:14" x14ac:dyDescent="0.25">
      <c r="B753" t="s">
        <v>14</v>
      </c>
      <c r="C753" s="1">
        <v>46167.999988425923</v>
      </c>
      <c r="D753">
        <v>25.155780241920802</v>
      </c>
      <c r="E753">
        <v>558486.52936433197</v>
      </c>
      <c r="F753" s="1">
        <v>46167.60628472222</v>
      </c>
      <c r="G753">
        <v>52.873819572515004</v>
      </c>
      <c r="H753" t="s">
        <v>20</v>
      </c>
      <c r="J753" t="s">
        <v>16</v>
      </c>
      <c r="K753">
        <v>689407.18733078905</v>
      </c>
      <c r="L753" t="s">
        <v>17</v>
      </c>
      <c r="M753">
        <v>0</v>
      </c>
      <c r="N753">
        <v>0.81009676085137805</v>
      </c>
    </row>
    <row r="754" spans="2:14" x14ac:dyDescent="0.25">
      <c r="B754" t="s">
        <v>14</v>
      </c>
      <c r="C754" s="1">
        <v>46166.999988425923</v>
      </c>
      <c r="D754">
        <v>25.155780241920802</v>
      </c>
      <c r="E754">
        <v>689407.18733078905</v>
      </c>
      <c r="F754" s="1">
        <v>46165.099259259259</v>
      </c>
      <c r="G754">
        <v>52.873819572515004</v>
      </c>
      <c r="H754" t="s">
        <v>20</v>
      </c>
      <c r="J754" t="s">
        <v>16</v>
      </c>
      <c r="K754">
        <v>689407.18733078905</v>
      </c>
      <c r="L754" t="s">
        <v>17</v>
      </c>
      <c r="M754">
        <v>130920.657966457</v>
      </c>
      <c r="N754">
        <v>1</v>
      </c>
    </row>
    <row r="755" spans="2:14" x14ac:dyDescent="0.25">
      <c r="B755" t="s">
        <v>14</v>
      </c>
      <c r="C755" s="1">
        <v>46165.999988425923</v>
      </c>
      <c r="D755">
        <v>25.155780241920802</v>
      </c>
      <c r="E755">
        <v>689407.18733078905</v>
      </c>
      <c r="F755" s="1">
        <v>46165.099259259259</v>
      </c>
      <c r="G755">
        <v>52.873819572515004</v>
      </c>
      <c r="H755" t="s">
        <v>20</v>
      </c>
      <c r="J755" t="s">
        <v>16</v>
      </c>
      <c r="K755">
        <v>689407.18733078905</v>
      </c>
      <c r="L755" t="s">
        <v>17</v>
      </c>
      <c r="M755">
        <v>0</v>
      </c>
      <c r="N755">
        <v>1</v>
      </c>
    </row>
    <row r="756" spans="2:14" x14ac:dyDescent="0.25">
      <c r="B756" t="s">
        <v>14</v>
      </c>
      <c r="C756" s="1">
        <v>46164.999988425923</v>
      </c>
      <c r="D756">
        <v>25.155780241920802</v>
      </c>
      <c r="E756">
        <v>689407.18733078905</v>
      </c>
      <c r="F756" s="1">
        <v>46164.099143518521</v>
      </c>
      <c r="G756">
        <v>52.873819572515004</v>
      </c>
      <c r="H756" t="s">
        <v>20</v>
      </c>
      <c r="J756" t="s">
        <v>16</v>
      </c>
      <c r="K756">
        <v>689407.18733078905</v>
      </c>
      <c r="L756" t="s">
        <v>17</v>
      </c>
      <c r="M756">
        <v>0</v>
      </c>
      <c r="N756">
        <v>1</v>
      </c>
    </row>
    <row r="757" spans="2:14" x14ac:dyDescent="0.25">
      <c r="B757" t="s">
        <v>14</v>
      </c>
      <c r="C757" s="1">
        <v>46163.999988425923</v>
      </c>
      <c r="D757">
        <v>25.155780241920802</v>
      </c>
      <c r="E757">
        <v>471180.51344915299</v>
      </c>
      <c r="F757" s="1">
        <v>46162.605624999997</v>
      </c>
      <c r="G757">
        <v>52.873819572515004</v>
      </c>
      <c r="H757" t="s">
        <v>20</v>
      </c>
      <c r="J757" t="s">
        <v>16</v>
      </c>
      <c r="K757">
        <v>689407.18733078905</v>
      </c>
      <c r="L757" t="s">
        <v>17</v>
      </c>
      <c r="M757">
        <v>-218226.673881636</v>
      </c>
      <c r="N757">
        <v>0.68345750103570102</v>
      </c>
    </row>
    <row r="758" spans="2:14" x14ac:dyDescent="0.25">
      <c r="B758" t="s">
        <v>14</v>
      </c>
      <c r="C758" s="1">
        <v>46162.999988425923</v>
      </c>
      <c r="D758">
        <v>25.155780241920802</v>
      </c>
      <c r="E758">
        <v>471180.51344915299</v>
      </c>
      <c r="F758" s="1">
        <v>46162.605624999997</v>
      </c>
      <c r="G758">
        <v>52.873819572515004</v>
      </c>
      <c r="H758" t="s">
        <v>20</v>
      </c>
      <c r="J758" t="s">
        <v>16</v>
      </c>
      <c r="K758">
        <v>689407.18733078905</v>
      </c>
      <c r="L758" t="s">
        <v>17</v>
      </c>
      <c r="M758">
        <v>0</v>
      </c>
      <c r="N758">
        <v>0.68345750103570102</v>
      </c>
    </row>
    <row r="759" spans="2:14" x14ac:dyDescent="0.25">
      <c r="B759" t="s">
        <v>14</v>
      </c>
      <c r="C759" s="1">
        <v>46161.999988425923</v>
      </c>
      <c r="D759">
        <v>25.155780241920802</v>
      </c>
      <c r="E759">
        <v>152113.96462663799</v>
      </c>
      <c r="F759" s="1">
        <v>46161.605509259258</v>
      </c>
      <c r="G759">
        <v>52.873819572515004</v>
      </c>
      <c r="H759" t="s">
        <v>20</v>
      </c>
      <c r="J759" t="s">
        <v>16</v>
      </c>
      <c r="K759">
        <v>689407.18733078905</v>
      </c>
      <c r="L759" t="s">
        <v>17</v>
      </c>
      <c r="M759">
        <v>-319066.54882251401</v>
      </c>
      <c r="N759">
        <v>0.220644587729909</v>
      </c>
    </row>
    <row r="760" spans="2:14" x14ac:dyDescent="0.25">
      <c r="B760" t="s">
        <v>14</v>
      </c>
      <c r="C760" s="1">
        <v>46160.999988425923</v>
      </c>
      <c r="D760">
        <v>25.155780241920802</v>
      </c>
      <c r="E760">
        <v>43949.259043201899</v>
      </c>
      <c r="F760" s="1">
        <v>46158.099791666667</v>
      </c>
      <c r="G760">
        <v>52.873819572515004</v>
      </c>
      <c r="H760" t="s">
        <v>20</v>
      </c>
      <c r="J760" t="s">
        <v>16</v>
      </c>
      <c r="K760">
        <v>689407.18733078905</v>
      </c>
      <c r="L760" t="s">
        <v>17</v>
      </c>
      <c r="M760">
        <v>-108164.70558343601</v>
      </c>
      <c r="N760">
        <v>6.3749348499487393E-2</v>
      </c>
    </row>
    <row r="761" spans="2:14" x14ac:dyDescent="0.25">
      <c r="B761" t="s">
        <v>14</v>
      </c>
      <c r="C761" s="1">
        <v>46159.999988425923</v>
      </c>
      <c r="D761">
        <v>25.155780241920802</v>
      </c>
      <c r="E761">
        <v>43949.259043201899</v>
      </c>
      <c r="F761" s="1">
        <v>46158.099791666667</v>
      </c>
      <c r="G761">
        <v>52.873819572515004</v>
      </c>
      <c r="H761" t="s">
        <v>20</v>
      </c>
      <c r="J761" t="s">
        <v>16</v>
      </c>
      <c r="K761">
        <v>689407.18733078905</v>
      </c>
      <c r="L761" t="s">
        <v>17</v>
      </c>
      <c r="M761">
        <v>0</v>
      </c>
      <c r="N761">
        <v>6.3749348499487393E-2</v>
      </c>
    </row>
    <row r="762" spans="2:14" x14ac:dyDescent="0.25">
      <c r="B762" t="s">
        <v>14</v>
      </c>
      <c r="C762" s="1">
        <v>46158.999988425923</v>
      </c>
      <c r="D762">
        <v>25.155780241920802</v>
      </c>
      <c r="E762">
        <v>43949.259043201899</v>
      </c>
      <c r="F762" s="1">
        <v>46158.099791666667</v>
      </c>
      <c r="G762">
        <v>52.873819572515004</v>
      </c>
      <c r="H762" t="s">
        <v>20</v>
      </c>
      <c r="J762" t="s">
        <v>16</v>
      </c>
      <c r="K762">
        <v>689407.18733078905</v>
      </c>
      <c r="L762" t="s">
        <v>17</v>
      </c>
      <c r="M762">
        <v>0</v>
      </c>
      <c r="N762">
        <v>6.3749348499487393E-2</v>
      </c>
    </row>
    <row r="763" spans="2:14" x14ac:dyDescent="0.25">
      <c r="B763" t="s">
        <v>14</v>
      </c>
      <c r="C763" s="1">
        <v>46157.999988425923</v>
      </c>
      <c r="D763">
        <v>25.155780241920802</v>
      </c>
      <c r="E763">
        <v>74740.328199788099</v>
      </c>
      <c r="F763" s="1">
        <v>46155.60628472222</v>
      </c>
      <c r="G763">
        <v>52.873819572515004</v>
      </c>
      <c r="H763" t="s">
        <v>20</v>
      </c>
      <c r="J763" t="s">
        <v>16</v>
      </c>
      <c r="K763">
        <v>689407.18733078905</v>
      </c>
      <c r="L763" t="s">
        <v>17</v>
      </c>
      <c r="M763">
        <v>30791.069156586102</v>
      </c>
      <c r="N763">
        <v>0.108412458664905</v>
      </c>
    </row>
    <row r="764" spans="2:14" x14ac:dyDescent="0.25">
      <c r="B764" t="s">
        <v>14</v>
      </c>
      <c r="C764" s="1">
        <v>46156.999988425923</v>
      </c>
      <c r="D764">
        <v>25.155780241920802</v>
      </c>
      <c r="E764">
        <v>74740.328199788099</v>
      </c>
      <c r="F764" s="1">
        <v>46155.60628472222</v>
      </c>
      <c r="G764">
        <v>52.873819572515004</v>
      </c>
      <c r="H764" t="s">
        <v>20</v>
      </c>
      <c r="J764" t="s">
        <v>16</v>
      </c>
      <c r="K764">
        <v>689407.18733078905</v>
      </c>
      <c r="L764" t="s">
        <v>17</v>
      </c>
      <c r="M764">
        <v>0</v>
      </c>
      <c r="N764">
        <v>0.108412458664905</v>
      </c>
    </row>
    <row r="765" spans="2:14" x14ac:dyDescent="0.25">
      <c r="B765" t="s">
        <v>14</v>
      </c>
      <c r="C765" s="1">
        <v>46155.999988425923</v>
      </c>
      <c r="D765">
        <v>25.155780241920802</v>
      </c>
      <c r="E765">
        <v>74740.328199788099</v>
      </c>
      <c r="F765" s="1">
        <v>46155.60628472222</v>
      </c>
      <c r="G765">
        <v>52.873819572515004</v>
      </c>
      <c r="H765" t="s">
        <v>20</v>
      </c>
      <c r="J765" t="s">
        <v>16</v>
      </c>
      <c r="K765">
        <v>689407.18733078905</v>
      </c>
      <c r="L765" t="s">
        <v>17</v>
      </c>
      <c r="M765">
        <v>0</v>
      </c>
      <c r="N765">
        <v>0.108412458664905</v>
      </c>
    </row>
    <row r="766" spans="2:14" x14ac:dyDescent="0.25">
      <c r="B766" t="s">
        <v>14</v>
      </c>
      <c r="C766" s="1">
        <v>46154.999988425923</v>
      </c>
      <c r="D766">
        <v>25.155780241920802</v>
      </c>
      <c r="E766">
        <v>48034.036800913302</v>
      </c>
      <c r="F766" s="1">
        <v>46153.099247685182</v>
      </c>
      <c r="G766">
        <v>52.873819572515004</v>
      </c>
      <c r="H766" t="s">
        <v>20</v>
      </c>
      <c r="J766" t="s">
        <v>16</v>
      </c>
      <c r="K766">
        <v>689407.18733078905</v>
      </c>
      <c r="L766" t="s">
        <v>17</v>
      </c>
      <c r="M766">
        <v>-26706.291398874699</v>
      </c>
      <c r="N766">
        <v>6.9674406770966493E-2</v>
      </c>
    </row>
    <row r="767" spans="2:14" x14ac:dyDescent="0.25">
      <c r="B767" t="s">
        <v>14</v>
      </c>
      <c r="C767" s="1">
        <v>46153.999988425923</v>
      </c>
      <c r="D767">
        <v>25.155780241920802</v>
      </c>
      <c r="E767">
        <v>48034.036800913302</v>
      </c>
      <c r="F767" s="1">
        <v>46153.099247685182</v>
      </c>
      <c r="G767">
        <v>52.873819572515004</v>
      </c>
      <c r="H767" t="s">
        <v>20</v>
      </c>
      <c r="J767" t="s">
        <v>16</v>
      </c>
      <c r="K767">
        <v>689407.18733078905</v>
      </c>
      <c r="L767" t="s">
        <v>17</v>
      </c>
      <c r="M767">
        <v>0</v>
      </c>
      <c r="N767">
        <v>6.9674406770966493E-2</v>
      </c>
    </row>
    <row r="768" spans="2:14" x14ac:dyDescent="0.25">
      <c r="B768" t="s">
        <v>14</v>
      </c>
      <c r="C768" s="1">
        <v>46152.999988425923</v>
      </c>
      <c r="D768">
        <v>25.155780241920802</v>
      </c>
      <c r="E768">
        <v>76802.992542235603</v>
      </c>
      <c r="F768" s="1">
        <v>46150.605613425927</v>
      </c>
      <c r="G768">
        <v>52.873819572515004</v>
      </c>
      <c r="H768" t="s">
        <v>20</v>
      </c>
      <c r="J768" t="s">
        <v>16</v>
      </c>
      <c r="K768">
        <v>689407.18733078905</v>
      </c>
      <c r="L768" t="s">
        <v>17</v>
      </c>
      <c r="M768">
        <v>28768.955741322199</v>
      </c>
      <c r="N768">
        <v>0.111404397798052</v>
      </c>
    </row>
    <row r="769" spans="2:14" x14ac:dyDescent="0.25">
      <c r="B769" t="s">
        <v>14</v>
      </c>
      <c r="C769" s="1">
        <v>46151.999988425923</v>
      </c>
      <c r="D769">
        <v>25.155780241920802</v>
      </c>
      <c r="E769">
        <v>76802.992542235603</v>
      </c>
      <c r="F769" s="1">
        <v>46150.605613425927</v>
      </c>
      <c r="G769">
        <v>52.873819572515004</v>
      </c>
      <c r="H769" t="s">
        <v>20</v>
      </c>
      <c r="J769" t="s">
        <v>16</v>
      </c>
      <c r="K769">
        <v>689407.18733078905</v>
      </c>
      <c r="L769" t="s">
        <v>17</v>
      </c>
      <c r="M769">
        <v>0</v>
      </c>
      <c r="N769">
        <v>0.111404397798052</v>
      </c>
    </row>
    <row r="770" spans="2:14" x14ac:dyDescent="0.25">
      <c r="B770" t="s">
        <v>14</v>
      </c>
      <c r="C770" s="1">
        <v>46150.999988425923</v>
      </c>
      <c r="D770">
        <v>25.155780241920802</v>
      </c>
      <c r="E770">
        <v>76802.992542235603</v>
      </c>
      <c r="F770" s="1">
        <v>46150.605613425927</v>
      </c>
      <c r="G770">
        <v>52.873819572515004</v>
      </c>
      <c r="H770" t="s">
        <v>20</v>
      </c>
      <c r="J770" t="s">
        <v>16</v>
      </c>
      <c r="K770">
        <v>689407.18733078905</v>
      </c>
      <c r="L770" t="s">
        <v>17</v>
      </c>
      <c r="M770">
        <v>0</v>
      </c>
      <c r="N770">
        <v>0.111404397798052</v>
      </c>
    </row>
    <row r="771" spans="2:14" x14ac:dyDescent="0.25">
      <c r="B771" t="s">
        <v>14</v>
      </c>
      <c r="C771" s="1">
        <v>46149.999988425923</v>
      </c>
      <c r="D771">
        <v>25.155780241920802</v>
      </c>
      <c r="E771">
        <v>73221.267670018598</v>
      </c>
      <c r="F771" s="1">
        <v>46149.605497685188</v>
      </c>
      <c r="G771">
        <v>52.873819572515004</v>
      </c>
      <c r="H771" t="s">
        <v>20</v>
      </c>
      <c r="J771" t="s">
        <v>16</v>
      </c>
      <c r="K771">
        <v>689407.18733078905</v>
      </c>
      <c r="L771" t="s">
        <v>17</v>
      </c>
      <c r="M771">
        <v>-3581.7248722170398</v>
      </c>
      <c r="N771">
        <v>0.106209028590944</v>
      </c>
    </row>
    <row r="772" spans="2:14" x14ac:dyDescent="0.25">
      <c r="B772" t="s">
        <v>14</v>
      </c>
      <c r="C772" s="1">
        <v>46148.999988425923</v>
      </c>
      <c r="D772">
        <v>25.155780241920802</v>
      </c>
      <c r="E772">
        <v>70781.654024997595</v>
      </c>
      <c r="F772" s="1">
        <v>46146.099803240744</v>
      </c>
      <c r="G772">
        <v>52.873819572515004</v>
      </c>
      <c r="H772" t="s">
        <v>20</v>
      </c>
      <c r="J772" t="s">
        <v>16</v>
      </c>
      <c r="K772">
        <v>689407.18733078905</v>
      </c>
      <c r="L772" t="s">
        <v>17</v>
      </c>
      <c r="M772">
        <v>-2439.6136450209801</v>
      </c>
      <c r="N772">
        <v>0.102670316361287</v>
      </c>
    </row>
    <row r="773" spans="2:14" x14ac:dyDescent="0.25">
      <c r="B773" t="s">
        <v>14</v>
      </c>
      <c r="C773" s="1">
        <v>46147.999988425923</v>
      </c>
      <c r="D773">
        <v>25.155780241920802</v>
      </c>
      <c r="E773">
        <v>70781.654024997595</v>
      </c>
      <c r="F773" s="1">
        <v>46146.099803240744</v>
      </c>
      <c r="G773">
        <v>52.873819572515004</v>
      </c>
      <c r="H773" t="s">
        <v>20</v>
      </c>
      <c r="J773" t="s">
        <v>16</v>
      </c>
      <c r="K773">
        <v>689407.18733078905</v>
      </c>
      <c r="L773" t="s">
        <v>17</v>
      </c>
      <c r="M773">
        <v>0</v>
      </c>
      <c r="N773">
        <v>0.102670316361287</v>
      </c>
    </row>
    <row r="774" spans="2:14" x14ac:dyDescent="0.25">
      <c r="B774" t="s">
        <v>14</v>
      </c>
      <c r="C774" s="1">
        <v>46146.999988425923</v>
      </c>
      <c r="D774">
        <v>25.155780241920802</v>
      </c>
      <c r="E774">
        <v>70781.654024997595</v>
      </c>
      <c r="F774" s="1">
        <v>46146.099803240744</v>
      </c>
      <c r="G774">
        <v>52.873819572515004</v>
      </c>
      <c r="H774" t="s">
        <v>20</v>
      </c>
      <c r="J774" t="s">
        <v>16</v>
      </c>
      <c r="K774">
        <v>689407.18733078905</v>
      </c>
      <c r="L774" t="s">
        <v>17</v>
      </c>
      <c r="M774">
        <v>0</v>
      </c>
      <c r="N774">
        <v>0.102670316361287</v>
      </c>
    </row>
    <row r="775" spans="2:14" x14ac:dyDescent="0.25">
      <c r="B775" t="s">
        <v>14</v>
      </c>
      <c r="C775" s="1">
        <v>46145.999988425923</v>
      </c>
      <c r="D775">
        <v>25.155780241920802</v>
      </c>
      <c r="E775">
        <v>348721.00385675201</v>
      </c>
      <c r="F775" s="1">
        <v>46143.606296296297</v>
      </c>
      <c r="G775">
        <v>52.873819572515004</v>
      </c>
      <c r="H775" t="s">
        <v>20</v>
      </c>
      <c r="J775" t="s">
        <v>16</v>
      </c>
      <c r="K775">
        <v>689407.18733078905</v>
      </c>
      <c r="L775" t="s">
        <v>17</v>
      </c>
      <c r="M775">
        <v>277939.34983175498</v>
      </c>
      <c r="N775">
        <v>0.50582734016294795</v>
      </c>
    </row>
    <row r="776" spans="2:14" x14ac:dyDescent="0.25">
      <c r="B776" t="s">
        <v>14</v>
      </c>
      <c r="C776" s="1">
        <v>46144.999988425923</v>
      </c>
      <c r="D776">
        <v>25.155780241920802</v>
      </c>
      <c r="E776">
        <v>348721.00385675201</v>
      </c>
      <c r="F776" s="1">
        <v>46143.606296296297</v>
      </c>
      <c r="G776">
        <v>52.873819572515004</v>
      </c>
      <c r="H776" t="s">
        <v>20</v>
      </c>
      <c r="J776" t="s">
        <v>16</v>
      </c>
      <c r="K776">
        <v>689407.18733078905</v>
      </c>
      <c r="L776" t="s">
        <v>17</v>
      </c>
      <c r="M776">
        <v>0</v>
      </c>
      <c r="N776">
        <v>0.50582734016294795</v>
      </c>
    </row>
    <row r="777" spans="2:14" x14ac:dyDescent="0.25">
      <c r="B777" t="s">
        <v>14</v>
      </c>
      <c r="C777" s="1">
        <v>46143.999988425923</v>
      </c>
      <c r="D777">
        <v>25.155780241920802</v>
      </c>
      <c r="E777">
        <v>348721.00385675201</v>
      </c>
      <c r="F777" s="1">
        <v>46143.606296296297</v>
      </c>
      <c r="G777">
        <v>52.873819572515004</v>
      </c>
      <c r="H777" t="s">
        <v>20</v>
      </c>
      <c r="J777" t="s">
        <v>16</v>
      </c>
      <c r="K777">
        <v>689407.18733078905</v>
      </c>
      <c r="L777" t="s">
        <v>17</v>
      </c>
      <c r="M777">
        <v>0</v>
      </c>
      <c r="N777">
        <v>0.50582734016294795</v>
      </c>
    </row>
    <row r="778" spans="2:14" x14ac:dyDescent="0.25">
      <c r="B778" t="s">
        <v>14</v>
      </c>
      <c r="C778" s="1">
        <v>46142.999988425923</v>
      </c>
      <c r="D778">
        <v>25.155780241920802</v>
      </c>
      <c r="E778">
        <v>689407.18733078905</v>
      </c>
      <c r="F778" s="1">
        <v>46140.099120370367</v>
      </c>
      <c r="G778">
        <v>52.873819572515004</v>
      </c>
      <c r="H778" t="s">
        <v>20</v>
      </c>
      <c r="J778" t="s">
        <v>16</v>
      </c>
      <c r="K778">
        <v>689407.18733078905</v>
      </c>
      <c r="L778" t="s">
        <v>17</v>
      </c>
      <c r="M778">
        <v>340686.18347403698</v>
      </c>
      <c r="N778">
        <v>1</v>
      </c>
    </row>
    <row r="779" spans="2:14" x14ac:dyDescent="0.25">
      <c r="B779" t="s">
        <v>14</v>
      </c>
      <c r="C779" s="1">
        <v>46141.999988425923</v>
      </c>
      <c r="D779">
        <v>25.155780241920802</v>
      </c>
      <c r="E779">
        <v>689407.18733078905</v>
      </c>
      <c r="F779" s="1">
        <v>46140.099120370367</v>
      </c>
      <c r="G779">
        <v>52.873819572515004</v>
      </c>
      <c r="H779" t="s">
        <v>20</v>
      </c>
      <c r="J779" t="s">
        <v>16</v>
      </c>
      <c r="K779">
        <v>689407.18733078905</v>
      </c>
      <c r="L779" t="s">
        <v>17</v>
      </c>
      <c r="M779">
        <v>0</v>
      </c>
      <c r="N779">
        <v>1</v>
      </c>
    </row>
    <row r="780" spans="2:14" x14ac:dyDescent="0.25">
      <c r="B780" t="s">
        <v>14</v>
      </c>
      <c r="C780" s="1">
        <v>46140.999988425923</v>
      </c>
      <c r="D780">
        <v>25.155780241920802</v>
      </c>
      <c r="E780">
        <v>689407.18733078905</v>
      </c>
      <c r="F780" s="1">
        <v>46140.099120370367</v>
      </c>
      <c r="G780">
        <v>52.873819572515004</v>
      </c>
      <c r="H780" t="s">
        <v>20</v>
      </c>
      <c r="J780" t="s">
        <v>16</v>
      </c>
      <c r="K780">
        <v>689407.18733078905</v>
      </c>
      <c r="L780" t="s">
        <v>17</v>
      </c>
      <c r="M780">
        <v>0</v>
      </c>
      <c r="N780">
        <v>1</v>
      </c>
    </row>
    <row r="781" spans="2:14" x14ac:dyDescent="0.25">
      <c r="B781" t="s">
        <v>14</v>
      </c>
      <c r="C781" s="1">
        <v>46139.999988425923</v>
      </c>
      <c r="D781">
        <v>25.155780241920802</v>
      </c>
      <c r="E781">
        <v>142668.752408734</v>
      </c>
      <c r="F781" s="1">
        <v>46137.605486111112</v>
      </c>
      <c r="G781">
        <v>52.873819572515004</v>
      </c>
      <c r="H781" t="s">
        <v>20</v>
      </c>
      <c r="J781" t="s">
        <v>16</v>
      </c>
      <c r="K781">
        <v>689407.18733078905</v>
      </c>
      <c r="L781" t="s">
        <v>17</v>
      </c>
      <c r="M781">
        <v>-546738.43492205499</v>
      </c>
      <c r="N781">
        <v>0.206944103616198</v>
      </c>
    </row>
    <row r="782" spans="2:14" x14ac:dyDescent="0.25">
      <c r="B782" t="s">
        <v>14</v>
      </c>
      <c r="C782" s="1">
        <v>46138.999988425923</v>
      </c>
      <c r="D782">
        <v>25.155780241920802</v>
      </c>
      <c r="E782">
        <v>142668.752408734</v>
      </c>
      <c r="F782" s="1">
        <v>46137.605486111112</v>
      </c>
      <c r="G782">
        <v>52.873819572515004</v>
      </c>
      <c r="H782" t="s">
        <v>20</v>
      </c>
      <c r="J782" t="s">
        <v>16</v>
      </c>
      <c r="K782">
        <v>689407.18733078905</v>
      </c>
      <c r="L782" t="s">
        <v>17</v>
      </c>
      <c r="M782">
        <v>0</v>
      </c>
      <c r="N782">
        <v>0.206944103616198</v>
      </c>
    </row>
    <row r="783" spans="2:14" x14ac:dyDescent="0.25">
      <c r="B783" t="s">
        <v>14</v>
      </c>
      <c r="C783" s="1">
        <v>46137.999988425923</v>
      </c>
      <c r="D783">
        <v>25.155780241920802</v>
      </c>
      <c r="E783">
        <v>142668.752408734</v>
      </c>
      <c r="F783" s="1">
        <v>46137.605486111112</v>
      </c>
      <c r="G783">
        <v>52.873819572515004</v>
      </c>
      <c r="H783" t="s">
        <v>20</v>
      </c>
      <c r="J783" t="s">
        <v>16</v>
      </c>
      <c r="K783">
        <v>689407.18733078905</v>
      </c>
      <c r="L783" t="s">
        <v>17</v>
      </c>
      <c r="M783">
        <v>0</v>
      </c>
      <c r="N783">
        <v>0.206944103616198</v>
      </c>
    </row>
    <row r="784" spans="2:14" x14ac:dyDescent="0.25">
      <c r="B784" t="s">
        <v>14</v>
      </c>
      <c r="C784" s="1">
        <v>46136.999988425923</v>
      </c>
      <c r="D784">
        <v>25.155780241920802</v>
      </c>
      <c r="E784">
        <v>311271.263097152</v>
      </c>
      <c r="F784" s="1">
        <v>46134.099803240744</v>
      </c>
      <c r="G784">
        <v>52.873819572515004</v>
      </c>
      <c r="H784" t="s">
        <v>20</v>
      </c>
      <c r="J784" t="s">
        <v>16</v>
      </c>
      <c r="K784">
        <v>689407.18733078905</v>
      </c>
      <c r="L784" t="s">
        <v>17</v>
      </c>
      <c r="M784">
        <v>168602.51068841701</v>
      </c>
      <c r="N784">
        <v>0.45150568316862999</v>
      </c>
    </row>
    <row r="785" spans="2:14" x14ac:dyDescent="0.25">
      <c r="B785" t="s">
        <v>14</v>
      </c>
      <c r="C785" s="1">
        <v>46135.999988425923</v>
      </c>
      <c r="D785">
        <v>25.155780241920802</v>
      </c>
      <c r="E785">
        <v>311271.263097152</v>
      </c>
      <c r="F785" s="1">
        <v>46134.099803240744</v>
      </c>
      <c r="G785">
        <v>52.873819572515004</v>
      </c>
      <c r="H785" t="s">
        <v>20</v>
      </c>
      <c r="J785" t="s">
        <v>16</v>
      </c>
      <c r="K785">
        <v>689407.18733078905</v>
      </c>
      <c r="L785" t="s">
        <v>17</v>
      </c>
      <c r="M785">
        <v>0</v>
      </c>
      <c r="N785">
        <v>0.45150568316862999</v>
      </c>
    </row>
    <row r="786" spans="2:14" x14ac:dyDescent="0.25">
      <c r="B786" t="s">
        <v>14</v>
      </c>
      <c r="C786" s="1">
        <v>46134.999988425923</v>
      </c>
      <c r="D786">
        <v>25.155780241920802</v>
      </c>
      <c r="E786">
        <v>311271.263097152</v>
      </c>
      <c r="F786" s="1">
        <v>46134.099803240744</v>
      </c>
      <c r="G786">
        <v>52.873819572515004</v>
      </c>
      <c r="H786" t="s">
        <v>20</v>
      </c>
      <c r="J786" t="s">
        <v>16</v>
      </c>
      <c r="K786">
        <v>689407.18733078905</v>
      </c>
      <c r="L786" t="s">
        <v>17</v>
      </c>
      <c r="M786">
        <v>0</v>
      </c>
      <c r="N786">
        <v>0.45150568316862999</v>
      </c>
    </row>
    <row r="787" spans="2:14" x14ac:dyDescent="0.25">
      <c r="B787" t="s">
        <v>14</v>
      </c>
      <c r="C787" s="1">
        <v>46133.999988425923</v>
      </c>
      <c r="D787">
        <v>25.155780241920802</v>
      </c>
      <c r="E787">
        <v>75170.802576508897</v>
      </c>
      <c r="F787" s="1">
        <v>46131.606296296297</v>
      </c>
      <c r="G787">
        <v>52.873819572515004</v>
      </c>
      <c r="H787" t="s">
        <v>20</v>
      </c>
      <c r="J787" t="s">
        <v>16</v>
      </c>
      <c r="K787">
        <v>689407.18733078905</v>
      </c>
      <c r="L787" t="s">
        <v>17</v>
      </c>
      <c r="M787">
        <v>-236100.46052064301</v>
      </c>
      <c r="N787">
        <v>0.109036871036333</v>
      </c>
    </row>
    <row r="788" spans="2:14" x14ac:dyDescent="0.25">
      <c r="B788" t="s">
        <v>14</v>
      </c>
      <c r="C788" s="1">
        <v>46132.999988425923</v>
      </c>
      <c r="D788">
        <v>25.155780241920802</v>
      </c>
      <c r="E788">
        <v>75170.802576508897</v>
      </c>
      <c r="F788" s="1">
        <v>46131.606296296297</v>
      </c>
      <c r="G788">
        <v>52.873819572515004</v>
      </c>
      <c r="H788" t="s">
        <v>20</v>
      </c>
      <c r="J788" t="s">
        <v>16</v>
      </c>
      <c r="K788">
        <v>689407.18733078905</v>
      </c>
      <c r="L788" t="s">
        <v>17</v>
      </c>
      <c r="M788">
        <v>0</v>
      </c>
      <c r="N788">
        <v>0.109036871036333</v>
      </c>
    </row>
    <row r="789" spans="2:14" x14ac:dyDescent="0.25">
      <c r="B789" t="s">
        <v>14</v>
      </c>
      <c r="C789" s="1">
        <v>46131.999988425923</v>
      </c>
      <c r="D789">
        <v>25.155780241920802</v>
      </c>
      <c r="E789">
        <v>75170.802576508897</v>
      </c>
      <c r="F789" s="1">
        <v>46131.606296296297</v>
      </c>
      <c r="G789">
        <v>52.873819572515004</v>
      </c>
      <c r="H789" t="s">
        <v>20</v>
      </c>
      <c r="J789" t="s">
        <v>16</v>
      </c>
      <c r="K789">
        <v>689407.18733078905</v>
      </c>
      <c r="L789" t="s">
        <v>17</v>
      </c>
      <c r="M789">
        <v>0</v>
      </c>
      <c r="N789">
        <v>0.109036871036333</v>
      </c>
    </row>
    <row r="790" spans="2:14" x14ac:dyDescent="0.25">
      <c r="B790" t="s">
        <v>14</v>
      </c>
      <c r="C790" s="1">
        <v>46130.999988425923</v>
      </c>
      <c r="D790">
        <v>25.155780241920802</v>
      </c>
      <c r="E790">
        <v>45446.160910317303</v>
      </c>
      <c r="F790" s="1">
        <v>46128.099108796298</v>
      </c>
      <c r="G790">
        <v>52.873819572515004</v>
      </c>
      <c r="H790" t="s">
        <v>20</v>
      </c>
      <c r="J790" t="s">
        <v>16</v>
      </c>
      <c r="K790">
        <v>689407.18733078905</v>
      </c>
      <c r="L790" t="s">
        <v>17</v>
      </c>
      <c r="M790">
        <v>-29724.641666191601</v>
      </c>
      <c r="N790">
        <v>6.5920636955169198E-2</v>
      </c>
    </row>
    <row r="791" spans="2:14" x14ac:dyDescent="0.25">
      <c r="B791" t="s">
        <v>14</v>
      </c>
      <c r="C791" s="1">
        <v>46129.999988425923</v>
      </c>
      <c r="D791">
        <v>25.155780241920802</v>
      </c>
      <c r="E791">
        <v>45446.160910317303</v>
      </c>
      <c r="F791" s="1">
        <v>46128.099108796298</v>
      </c>
      <c r="G791">
        <v>52.873819572515004</v>
      </c>
      <c r="H791" t="s">
        <v>20</v>
      </c>
      <c r="J791" t="s">
        <v>16</v>
      </c>
      <c r="K791">
        <v>689407.18733078905</v>
      </c>
      <c r="L791" t="s">
        <v>17</v>
      </c>
      <c r="M791">
        <v>0</v>
      </c>
      <c r="N791">
        <v>6.5920636955169198E-2</v>
      </c>
    </row>
    <row r="792" spans="2:14" x14ac:dyDescent="0.25">
      <c r="B792" t="s">
        <v>14</v>
      </c>
      <c r="C792" s="1">
        <v>46128.999988425923</v>
      </c>
      <c r="D792">
        <v>25.155780241920802</v>
      </c>
      <c r="E792">
        <v>45446.160910317303</v>
      </c>
      <c r="F792" s="1">
        <v>46128.099108796298</v>
      </c>
      <c r="G792">
        <v>52.873819572515004</v>
      </c>
      <c r="H792" t="s">
        <v>20</v>
      </c>
      <c r="J792" t="s">
        <v>16</v>
      </c>
      <c r="K792">
        <v>689407.18733078905</v>
      </c>
      <c r="L792" t="s">
        <v>17</v>
      </c>
      <c r="M792">
        <v>0</v>
      </c>
      <c r="N792">
        <v>6.5920636955169198E-2</v>
      </c>
    </row>
    <row r="793" spans="2:14" x14ac:dyDescent="0.25">
      <c r="B793" t="s">
        <v>14</v>
      </c>
      <c r="C793" s="1">
        <v>46127.999988425923</v>
      </c>
      <c r="D793">
        <v>25.155780241920802</v>
      </c>
      <c r="E793">
        <v>76048.871510090597</v>
      </c>
      <c r="F793" s="1">
        <v>46125.605486111112</v>
      </c>
      <c r="G793">
        <v>52.873819572515004</v>
      </c>
      <c r="H793" t="s">
        <v>20</v>
      </c>
      <c r="J793" t="s">
        <v>16</v>
      </c>
      <c r="K793">
        <v>689407.18733078905</v>
      </c>
      <c r="L793" t="s">
        <v>17</v>
      </c>
      <c r="M793">
        <v>30602.710599773302</v>
      </c>
      <c r="N793">
        <v>0.11031052896987099</v>
      </c>
    </row>
    <row r="794" spans="2:14" x14ac:dyDescent="0.25">
      <c r="B794" t="s">
        <v>14</v>
      </c>
      <c r="C794" s="1">
        <v>46126.999988425923</v>
      </c>
      <c r="D794">
        <v>25.155780241920802</v>
      </c>
      <c r="E794">
        <v>76048.871510090597</v>
      </c>
      <c r="F794" s="1">
        <v>46125.605486111112</v>
      </c>
      <c r="G794">
        <v>52.873819572515004</v>
      </c>
      <c r="H794" t="s">
        <v>20</v>
      </c>
      <c r="J794" t="s">
        <v>16</v>
      </c>
      <c r="K794">
        <v>689407.18733078905</v>
      </c>
      <c r="L794" t="s">
        <v>17</v>
      </c>
      <c r="M794">
        <v>0</v>
      </c>
      <c r="N794">
        <v>0.11031052896987099</v>
      </c>
    </row>
    <row r="795" spans="2:14" x14ac:dyDescent="0.25">
      <c r="B795" t="s">
        <v>14</v>
      </c>
      <c r="C795" s="1">
        <v>46125.999988425923</v>
      </c>
      <c r="D795">
        <v>25.155780241920802</v>
      </c>
      <c r="E795">
        <v>76048.871510090597</v>
      </c>
      <c r="F795" s="1">
        <v>46125.605486111112</v>
      </c>
      <c r="G795">
        <v>52.873819572515004</v>
      </c>
      <c r="H795" t="s">
        <v>20</v>
      </c>
      <c r="J795" t="s">
        <v>16</v>
      </c>
      <c r="K795">
        <v>689407.18733078905</v>
      </c>
      <c r="L795" t="s">
        <v>17</v>
      </c>
      <c r="M795">
        <v>0</v>
      </c>
      <c r="N795">
        <v>0.11031052896987099</v>
      </c>
    </row>
    <row r="796" spans="2:14" x14ac:dyDescent="0.25">
      <c r="B796" t="s">
        <v>14</v>
      </c>
      <c r="C796" s="1">
        <v>46124.999988425923</v>
      </c>
      <c r="D796">
        <v>25.155780241920802</v>
      </c>
      <c r="E796">
        <v>39515.754875117498</v>
      </c>
      <c r="F796" s="1">
        <v>46122.099803240744</v>
      </c>
      <c r="G796">
        <v>52.873819572515004</v>
      </c>
      <c r="H796" t="s">
        <v>20</v>
      </c>
      <c r="J796" t="s">
        <v>16</v>
      </c>
      <c r="K796">
        <v>689407.18733078905</v>
      </c>
      <c r="L796" t="s">
        <v>17</v>
      </c>
      <c r="M796">
        <v>-36533.116634972997</v>
      </c>
      <c r="N796">
        <v>5.7318455045576998E-2</v>
      </c>
    </row>
    <row r="797" spans="2:14" x14ac:dyDescent="0.25">
      <c r="B797" t="s">
        <v>14</v>
      </c>
      <c r="C797" s="1">
        <v>46123.999988425923</v>
      </c>
      <c r="D797">
        <v>25.155780241920802</v>
      </c>
      <c r="E797">
        <v>39515.754875117498</v>
      </c>
      <c r="F797" s="1">
        <v>46122.099803240744</v>
      </c>
      <c r="G797">
        <v>52.873819572515004</v>
      </c>
      <c r="H797" t="s">
        <v>20</v>
      </c>
      <c r="J797" t="s">
        <v>16</v>
      </c>
      <c r="K797">
        <v>689407.18733078905</v>
      </c>
      <c r="L797" t="s">
        <v>17</v>
      </c>
      <c r="M797">
        <v>0</v>
      </c>
      <c r="N797">
        <v>5.7318455045576998E-2</v>
      </c>
    </row>
    <row r="798" spans="2:14" x14ac:dyDescent="0.25">
      <c r="B798" t="s">
        <v>14</v>
      </c>
      <c r="C798" s="1">
        <v>46122.999988425923</v>
      </c>
      <c r="D798">
        <v>25.155780241920802</v>
      </c>
      <c r="E798">
        <v>39515.754875117498</v>
      </c>
      <c r="F798" s="1">
        <v>46122.099803240744</v>
      </c>
      <c r="G798">
        <v>52.873819572515004</v>
      </c>
      <c r="H798" t="s">
        <v>20</v>
      </c>
      <c r="J798" t="s">
        <v>16</v>
      </c>
      <c r="K798">
        <v>689407.18733078905</v>
      </c>
      <c r="L798" t="s">
        <v>17</v>
      </c>
      <c r="M798">
        <v>0</v>
      </c>
      <c r="N798">
        <v>5.7318455045576998E-2</v>
      </c>
    </row>
    <row r="799" spans="2:14" x14ac:dyDescent="0.25">
      <c r="B799" t="s">
        <v>14</v>
      </c>
      <c r="C799" s="1">
        <v>46121.999988425923</v>
      </c>
      <c r="D799">
        <v>25.155780241920802</v>
      </c>
      <c r="E799">
        <v>71684.020728964795</v>
      </c>
      <c r="F799" s="1">
        <v>46119.606296296297</v>
      </c>
      <c r="G799">
        <v>52.873819572515004</v>
      </c>
      <c r="H799" t="s">
        <v>20</v>
      </c>
      <c r="J799" t="s">
        <v>16</v>
      </c>
      <c r="K799">
        <v>689407.18733078905</v>
      </c>
      <c r="L799" t="s">
        <v>17</v>
      </c>
      <c r="M799">
        <v>32168.265853847199</v>
      </c>
      <c r="N799">
        <v>0.103979218735022</v>
      </c>
    </row>
    <row r="800" spans="2:14" x14ac:dyDescent="0.25">
      <c r="B800" t="s">
        <v>14</v>
      </c>
      <c r="C800" s="1">
        <v>46120.999988425923</v>
      </c>
      <c r="D800">
        <v>25.155780241920802</v>
      </c>
      <c r="E800">
        <v>71684.020728964795</v>
      </c>
      <c r="F800" s="1">
        <v>46119.606296296297</v>
      </c>
      <c r="G800">
        <v>52.873819572515004</v>
      </c>
      <c r="H800" t="s">
        <v>20</v>
      </c>
      <c r="J800" t="s">
        <v>16</v>
      </c>
      <c r="K800">
        <v>689407.18733078905</v>
      </c>
      <c r="L800" t="s">
        <v>17</v>
      </c>
      <c r="M800">
        <v>0</v>
      </c>
      <c r="N800">
        <v>0.103979218735022</v>
      </c>
    </row>
    <row r="801" spans="2:14" x14ac:dyDescent="0.25">
      <c r="B801" t="s">
        <v>14</v>
      </c>
      <c r="C801" s="1">
        <v>46119.999988425923</v>
      </c>
      <c r="D801">
        <v>25.155780241920802</v>
      </c>
      <c r="E801">
        <v>71684.020728964795</v>
      </c>
      <c r="F801" s="1">
        <v>46119.606296296297</v>
      </c>
      <c r="G801">
        <v>52.873819572515004</v>
      </c>
      <c r="H801" t="s">
        <v>20</v>
      </c>
      <c r="J801" t="s">
        <v>16</v>
      </c>
      <c r="K801">
        <v>689407.18733078905</v>
      </c>
      <c r="L801" t="s">
        <v>17</v>
      </c>
      <c r="M801">
        <v>0</v>
      </c>
      <c r="N801">
        <v>0.103979218735022</v>
      </c>
    </row>
    <row r="802" spans="2:14" x14ac:dyDescent="0.25">
      <c r="B802" t="s">
        <v>14</v>
      </c>
      <c r="C802" s="1">
        <v>46118.999988425923</v>
      </c>
      <c r="D802">
        <v>25.155780241920802</v>
      </c>
      <c r="E802">
        <v>33788.707112954398</v>
      </c>
      <c r="F802" s="1">
        <v>46116.099108796298</v>
      </c>
      <c r="G802">
        <v>52.873819572515004</v>
      </c>
      <c r="H802" t="s">
        <v>20</v>
      </c>
      <c r="J802" t="s">
        <v>16</v>
      </c>
      <c r="K802">
        <v>689407.18733078905</v>
      </c>
      <c r="L802" t="s">
        <v>17</v>
      </c>
      <c r="M802">
        <v>-37895.313616010302</v>
      </c>
      <c r="N802">
        <v>4.9011248698720103E-2</v>
      </c>
    </row>
    <row r="803" spans="2:14" x14ac:dyDescent="0.25">
      <c r="B803" t="s">
        <v>14</v>
      </c>
      <c r="C803" s="1">
        <v>46117.999988425923</v>
      </c>
      <c r="D803">
        <v>25.155780241920802</v>
      </c>
      <c r="E803">
        <v>33788.707112954398</v>
      </c>
      <c r="F803" s="1">
        <v>46116.099108796298</v>
      </c>
      <c r="G803">
        <v>52.873819572515004</v>
      </c>
      <c r="H803" t="s">
        <v>20</v>
      </c>
      <c r="J803" t="s">
        <v>16</v>
      </c>
      <c r="K803">
        <v>689407.18733078905</v>
      </c>
      <c r="L803" t="s">
        <v>17</v>
      </c>
      <c r="M803">
        <v>0</v>
      </c>
      <c r="N803">
        <v>4.9011248698720103E-2</v>
      </c>
    </row>
    <row r="804" spans="2:14" x14ac:dyDescent="0.25">
      <c r="B804" t="s">
        <v>14</v>
      </c>
      <c r="C804" s="1">
        <v>46116.999988425923</v>
      </c>
      <c r="D804">
        <v>25.155780241920802</v>
      </c>
      <c r="E804">
        <v>33788.707112954398</v>
      </c>
      <c r="F804" s="1">
        <v>46116.099108796298</v>
      </c>
      <c r="G804">
        <v>52.873819572515004</v>
      </c>
      <c r="H804" t="s">
        <v>20</v>
      </c>
      <c r="J804" t="s">
        <v>16</v>
      </c>
      <c r="K804">
        <v>689407.18733078905</v>
      </c>
      <c r="L804" t="s">
        <v>17</v>
      </c>
      <c r="M804">
        <v>0</v>
      </c>
      <c r="N804">
        <v>4.9011248698720103E-2</v>
      </c>
    </row>
    <row r="805" spans="2:14" x14ac:dyDescent="0.25">
      <c r="B805" t="s">
        <v>14</v>
      </c>
      <c r="C805" s="1">
        <v>46115.999988425923</v>
      </c>
      <c r="D805">
        <v>25.155780241920802</v>
      </c>
      <c r="E805">
        <v>69750.507405433294</v>
      </c>
      <c r="F805" s="1">
        <v>46113.605474537035</v>
      </c>
      <c r="G805">
        <v>52.873819572515004</v>
      </c>
      <c r="H805" t="s">
        <v>20</v>
      </c>
      <c r="J805" t="s">
        <v>16</v>
      </c>
      <c r="K805">
        <v>689407.18733078905</v>
      </c>
      <c r="L805" t="s">
        <v>17</v>
      </c>
      <c r="M805">
        <v>35961.800292478802</v>
      </c>
      <c r="N805">
        <v>0.101174615941399</v>
      </c>
    </row>
    <row r="806" spans="2:14" x14ac:dyDescent="0.25">
      <c r="B806" t="s">
        <v>14</v>
      </c>
      <c r="C806" s="1">
        <v>46114.999988425923</v>
      </c>
      <c r="D806">
        <v>25.155780241920802</v>
      </c>
      <c r="E806">
        <v>69750.507405433294</v>
      </c>
      <c r="F806" s="1">
        <v>46113.605474537035</v>
      </c>
      <c r="G806">
        <v>52.873819572515004</v>
      </c>
      <c r="H806" t="s">
        <v>20</v>
      </c>
      <c r="J806" t="s">
        <v>16</v>
      </c>
      <c r="K806">
        <v>689407.18733078905</v>
      </c>
      <c r="L806" t="s">
        <v>17</v>
      </c>
      <c r="M806">
        <v>0</v>
      </c>
      <c r="N806">
        <v>0.101174615941399</v>
      </c>
    </row>
    <row r="807" spans="2:14" x14ac:dyDescent="0.25">
      <c r="B807" t="s">
        <v>14</v>
      </c>
      <c r="C807" s="1">
        <v>46113.999988425923</v>
      </c>
      <c r="D807">
        <v>25.155780241920802</v>
      </c>
      <c r="E807">
        <v>69750.507405433294</v>
      </c>
      <c r="F807" s="1">
        <v>46113.605474537035</v>
      </c>
      <c r="G807">
        <v>52.873819572515004</v>
      </c>
      <c r="H807" t="s">
        <v>20</v>
      </c>
      <c r="J807" t="s">
        <v>16</v>
      </c>
      <c r="K807">
        <v>689407.18733078905</v>
      </c>
      <c r="L807" t="s">
        <v>17</v>
      </c>
      <c r="M807">
        <v>0</v>
      </c>
      <c r="N807">
        <v>0.101174615941399</v>
      </c>
    </row>
    <row r="808" spans="2:14" x14ac:dyDescent="0.25">
      <c r="B808" t="s">
        <v>14</v>
      </c>
      <c r="C808" s="1">
        <v>46112.999988425923</v>
      </c>
      <c r="D808">
        <v>25.155780241920802</v>
      </c>
      <c r="E808">
        <v>29225.079417143701</v>
      </c>
      <c r="F808" s="1">
        <v>46110.099803240744</v>
      </c>
      <c r="G808">
        <v>52.873819572515004</v>
      </c>
      <c r="H808" t="s">
        <v>20</v>
      </c>
      <c r="J808" t="s">
        <v>16</v>
      </c>
      <c r="K808">
        <v>689407.18733078905</v>
      </c>
      <c r="L808" t="s">
        <v>17</v>
      </c>
      <c r="M808">
        <v>-40525.427988289601</v>
      </c>
      <c r="N808">
        <v>4.23916082602733E-2</v>
      </c>
    </row>
    <row r="809" spans="2:14" x14ac:dyDescent="0.25">
      <c r="B809" t="s">
        <v>14</v>
      </c>
      <c r="C809" s="1">
        <v>46111.999988425923</v>
      </c>
      <c r="D809">
        <v>25.155780241920802</v>
      </c>
      <c r="E809">
        <v>29225.079417143701</v>
      </c>
      <c r="F809" s="1">
        <v>46110.099803240744</v>
      </c>
      <c r="G809">
        <v>52.873819572515004</v>
      </c>
      <c r="H809" t="s">
        <v>20</v>
      </c>
      <c r="J809" t="s">
        <v>16</v>
      </c>
      <c r="K809">
        <v>689407.18733078905</v>
      </c>
      <c r="L809" t="s">
        <v>17</v>
      </c>
      <c r="M809">
        <v>0</v>
      </c>
      <c r="N809">
        <v>4.23916082602733E-2</v>
      </c>
    </row>
    <row r="810" spans="2:14" x14ac:dyDescent="0.25">
      <c r="B810" t="s">
        <v>14</v>
      </c>
      <c r="C810" s="1">
        <v>46110.999988425923</v>
      </c>
      <c r="D810">
        <v>25.155780241920802</v>
      </c>
      <c r="E810">
        <v>29225.079417143701</v>
      </c>
      <c r="F810" s="1">
        <v>46110.099803240744</v>
      </c>
      <c r="G810">
        <v>52.873819572515004</v>
      </c>
      <c r="H810" t="s">
        <v>20</v>
      </c>
      <c r="J810" t="s">
        <v>16</v>
      </c>
      <c r="K810">
        <v>689407.18733078905</v>
      </c>
      <c r="L810" t="s">
        <v>17</v>
      </c>
      <c r="M810">
        <v>0</v>
      </c>
      <c r="N810">
        <v>4.23916082602733E-2</v>
      </c>
    </row>
    <row r="811" spans="2:14" x14ac:dyDescent="0.25">
      <c r="B811" t="s">
        <v>14</v>
      </c>
      <c r="C811" s="1">
        <v>46109.999988425923</v>
      </c>
      <c r="D811">
        <v>25.155780241920802</v>
      </c>
      <c r="E811">
        <v>70820.585568559502</v>
      </c>
      <c r="F811" s="1">
        <v>46107.606296296297</v>
      </c>
      <c r="G811">
        <v>52.873819572515004</v>
      </c>
      <c r="H811" t="s">
        <v>20</v>
      </c>
      <c r="J811" t="s">
        <v>16</v>
      </c>
      <c r="K811">
        <v>689407.18733078905</v>
      </c>
      <c r="L811" t="s">
        <v>17</v>
      </c>
      <c r="M811">
        <v>41595.506151415801</v>
      </c>
      <c r="N811">
        <v>0.102726787405218</v>
      </c>
    </row>
    <row r="812" spans="2:14" x14ac:dyDescent="0.25">
      <c r="B812" t="s">
        <v>14</v>
      </c>
      <c r="C812" s="1">
        <v>46108.999988425923</v>
      </c>
      <c r="D812">
        <v>25.155780241920802</v>
      </c>
      <c r="E812">
        <v>70820.585568559502</v>
      </c>
      <c r="F812" s="1">
        <v>46107.606296296297</v>
      </c>
      <c r="G812">
        <v>52.873819572515004</v>
      </c>
      <c r="H812" t="s">
        <v>20</v>
      </c>
      <c r="J812" t="s">
        <v>16</v>
      </c>
      <c r="K812">
        <v>689407.18733078905</v>
      </c>
      <c r="L812" t="s">
        <v>17</v>
      </c>
      <c r="M812">
        <v>0</v>
      </c>
      <c r="N812">
        <v>0.102726787405218</v>
      </c>
    </row>
    <row r="813" spans="2:14" x14ac:dyDescent="0.25">
      <c r="B813" t="s">
        <v>14</v>
      </c>
      <c r="C813" s="1">
        <v>46107.999988425923</v>
      </c>
      <c r="D813">
        <v>25.155780241920802</v>
      </c>
      <c r="E813">
        <v>70820.585568559502</v>
      </c>
      <c r="F813" s="1">
        <v>46107.606296296297</v>
      </c>
      <c r="G813">
        <v>52.873819572515004</v>
      </c>
      <c r="H813" t="s">
        <v>20</v>
      </c>
      <c r="J813" t="s">
        <v>16</v>
      </c>
      <c r="K813">
        <v>689407.18733078905</v>
      </c>
      <c r="L813" t="s">
        <v>17</v>
      </c>
      <c r="M813">
        <v>0</v>
      </c>
      <c r="N813">
        <v>0.102726787405218</v>
      </c>
    </row>
    <row r="814" spans="2:14" x14ac:dyDescent="0.25">
      <c r="B814" t="s">
        <v>14</v>
      </c>
      <c r="C814" s="1">
        <v>46106.999988425923</v>
      </c>
      <c r="D814">
        <v>25.155780241920802</v>
      </c>
      <c r="E814">
        <v>689407.18733078905</v>
      </c>
      <c r="F814" s="1">
        <v>46104.099108796298</v>
      </c>
      <c r="G814">
        <v>52.873819572515004</v>
      </c>
      <c r="H814" t="s">
        <v>20</v>
      </c>
      <c r="J814" t="s">
        <v>16</v>
      </c>
      <c r="K814">
        <v>689407.18733078905</v>
      </c>
      <c r="L814" t="s">
        <v>17</v>
      </c>
      <c r="M814">
        <v>618586.60176223004</v>
      </c>
      <c r="N814">
        <v>1</v>
      </c>
    </row>
    <row r="815" spans="2:14" x14ac:dyDescent="0.25">
      <c r="B815" t="s">
        <v>14</v>
      </c>
      <c r="C815" s="1">
        <v>46105.999988425923</v>
      </c>
      <c r="D815">
        <v>25.155780241920802</v>
      </c>
      <c r="E815">
        <v>689407.18733078905</v>
      </c>
      <c r="F815" s="1">
        <v>46104.099108796298</v>
      </c>
      <c r="G815">
        <v>52.873819572515004</v>
      </c>
      <c r="H815" t="s">
        <v>20</v>
      </c>
      <c r="J815" t="s">
        <v>16</v>
      </c>
      <c r="K815">
        <v>689407.18733078905</v>
      </c>
      <c r="L815" t="s">
        <v>17</v>
      </c>
      <c r="M815">
        <v>0</v>
      </c>
      <c r="N815">
        <v>1</v>
      </c>
    </row>
    <row r="816" spans="2:14" x14ac:dyDescent="0.25">
      <c r="B816" t="s">
        <v>14</v>
      </c>
      <c r="C816" s="1">
        <v>46104.999988425923</v>
      </c>
      <c r="D816">
        <v>25.155780241920802</v>
      </c>
      <c r="E816">
        <v>689407.18733078905</v>
      </c>
      <c r="F816" s="1">
        <v>46104.099108796298</v>
      </c>
      <c r="G816">
        <v>52.873819572515004</v>
      </c>
      <c r="H816" t="s">
        <v>20</v>
      </c>
      <c r="J816" t="s">
        <v>16</v>
      </c>
      <c r="K816">
        <v>689407.18733078905</v>
      </c>
      <c r="L816" t="s">
        <v>17</v>
      </c>
      <c r="M816">
        <v>0</v>
      </c>
      <c r="N816">
        <v>1</v>
      </c>
    </row>
    <row r="817" spans="2:14" x14ac:dyDescent="0.25">
      <c r="B817" t="s">
        <v>14</v>
      </c>
      <c r="C817" s="1">
        <v>46103.999988425923</v>
      </c>
      <c r="D817">
        <v>25.155780241920802</v>
      </c>
      <c r="E817">
        <v>69327.678098214907</v>
      </c>
      <c r="F817" s="1">
        <v>46101.605474537035</v>
      </c>
      <c r="G817">
        <v>52.873819572515004</v>
      </c>
      <c r="H817" t="s">
        <v>20</v>
      </c>
      <c r="J817" t="s">
        <v>16</v>
      </c>
      <c r="K817">
        <v>689407.18733078905</v>
      </c>
      <c r="L817" t="s">
        <v>17</v>
      </c>
      <c r="M817">
        <v>-620079.50923257496</v>
      </c>
      <c r="N817">
        <v>0.100561292908236</v>
      </c>
    </row>
    <row r="818" spans="2:14" x14ac:dyDescent="0.25">
      <c r="B818" t="s">
        <v>14</v>
      </c>
      <c r="C818" s="1">
        <v>46102.999988425923</v>
      </c>
      <c r="D818">
        <v>25.155780241920802</v>
      </c>
      <c r="E818">
        <v>69327.678098214907</v>
      </c>
      <c r="F818" s="1">
        <v>46101.605474537035</v>
      </c>
      <c r="G818">
        <v>52.873819572515004</v>
      </c>
      <c r="H818" t="s">
        <v>20</v>
      </c>
      <c r="J818" t="s">
        <v>16</v>
      </c>
      <c r="K818">
        <v>689407.18733078905</v>
      </c>
      <c r="L818" t="s">
        <v>17</v>
      </c>
      <c r="M818">
        <v>0</v>
      </c>
      <c r="N818">
        <v>0.100561292908236</v>
      </c>
    </row>
    <row r="819" spans="2:14" x14ac:dyDescent="0.25">
      <c r="B819" t="s">
        <v>14</v>
      </c>
      <c r="C819" s="1">
        <v>46101.999988425923</v>
      </c>
      <c r="D819">
        <v>25.155780241920802</v>
      </c>
      <c r="E819">
        <v>69327.678098214907</v>
      </c>
      <c r="F819" s="1">
        <v>46101.605474537035</v>
      </c>
      <c r="G819">
        <v>52.873819572515004</v>
      </c>
      <c r="H819" t="s">
        <v>20</v>
      </c>
      <c r="J819" t="s">
        <v>16</v>
      </c>
      <c r="K819">
        <v>689407.18733078905</v>
      </c>
      <c r="L819" t="s">
        <v>17</v>
      </c>
      <c r="M819">
        <v>0</v>
      </c>
      <c r="N819">
        <v>0.100561292908236</v>
      </c>
    </row>
    <row r="820" spans="2:14" x14ac:dyDescent="0.25">
      <c r="B820" t="s">
        <v>14</v>
      </c>
      <c r="C820" s="1">
        <v>46100.999988425923</v>
      </c>
      <c r="D820">
        <v>25.155780241920802</v>
      </c>
      <c r="E820">
        <v>43157.873547796902</v>
      </c>
      <c r="F820" s="1">
        <v>46098.099803240744</v>
      </c>
      <c r="G820">
        <v>52.873819572515004</v>
      </c>
      <c r="H820" t="s">
        <v>20</v>
      </c>
      <c r="J820" t="s">
        <v>16</v>
      </c>
      <c r="K820">
        <v>689407.18733078905</v>
      </c>
      <c r="L820" t="s">
        <v>17</v>
      </c>
      <c r="M820">
        <v>-26169.804550417899</v>
      </c>
      <c r="N820">
        <v>6.2601426763323004E-2</v>
      </c>
    </row>
    <row r="821" spans="2:14" x14ac:dyDescent="0.25">
      <c r="B821" t="s">
        <v>14</v>
      </c>
      <c r="C821" s="1">
        <v>46099.999988425923</v>
      </c>
      <c r="D821">
        <v>25.155780241920802</v>
      </c>
      <c r="E821">
        <v>43157.873547796902</v>
      </c>
      <c r="F821" s="1">
        <v>46098.099803240744</v>
      </c>
      <c r="G821">
        <v>52.873819572515004</v>
      </c>
      <c r="H821" t="s">
        <v>20</v>
      </c>
      <c r="J821" t="s">
        <v>16</v>
      </c>
      <c r="K821">
        <v>689407.18733078905</v>
      </c>
      <c r="L821" t="s">
        <v>17</v>
      </c>
      <c r="M821">
        <v>0</v>
      </c>
      <c r="N821">
        <v>6.2601426763323004E-2</v>
      </c>
    </row>
    <row r="822" spans="2:14" x14ac:dyDescent="0.25">
      <c r="B822" t="s">
        <v>14</v>
      </c>
      <c r="C822" s="1">
        <v>46098.999988425923</v>
      </c>
      <c r="D822">
        <v>25.155780241920802</v>
      </c>
      <c r="E822">
        <v>43157.873547796902</v>
      </c>
      <c r="F822" s="1">
        <v>46098.099803240744</v>
      </c>
      <c r="G822">
        <v>52.873819572515004</v>
      </c>
      <c r="H822" t="s">
        <v>20</v>
      </c>
      <c r="J822" t="s">
        <v>16</v>
      </c>
      <c r="K822">
        <v>689407.18733078905</v>
      </c>
      <c r="L822" t="s">
        <v>17</v>
      </c>
      <c r="M822">
        <v>0</v>
      </c>
      <c r="N822">
        <v>6.2601426763323004E-2</v>
      </c>
    </row>
    <row r="823" spans="2:14" x14ac:dyDescent="0.25">
      <c r="B823" t="s">
        <v>14</v>
      </c>
      <c r="C823" s="1">
        <v>46097.999988425923</v>
      </c>
      <c r="D823">
        <v>25.155780241920802</v>
      </c>
      <c r="E823">
        <v>67513.260034526495</v>
      </c>
      <c r="F823" s="1">
        <v>46095.606296296297</v>
      </c>
      <c r="G823">
        <v>52.873819572515004</v>
      </c>
      <c r="H823" t="s">
        <v>20</v>
      </c>
      <c r="J823" t="s">
        <v>16</v>
      </c>
      <c r="K823">
        <v>689407.18733078905</v>
      </c>
      <c r="L823" t="s">
        <v>17</v>
      </c>
      <c r="M823">
        <v>24355.3864867296</v>
      </c>
      <c r="N823">
        <v>9.7929440358637404E-2</v>
      </c>
    </row>
    <row r="824" spans="2:14" x14ac:dyDescent="0.25">
      <c r="B824" t="s">
        <v>14</v>
      </c>
      <c r="C824" s="1">
        <v>46096.999988425923</v>
      </c>
      <c r="D824">
        <v>25.155780241920802</v>
      </c>
      <c r="E824">
        <v>67513.260034526495</v>
      </c>
      <c r="F824" s="1">
        <v>46095.606296296297</v>
      </c>
      <c r="G824">
        <v>52.873819572515004</v>
      </c>
      <c r="H824" t="s">
        <v>20</v>
      </c>
      <c r="J824" t="s">
        <v>16</v>
      </c>
      <c r="K824">
        <v>689407.18733078905</v>
      </c>
      <c r="L824" t="s">
        <v>17</v>
      </c>
      <c r="M824">
        <v>0</v>
      </c>
      <c r="N824">
        <v>9.7929440358637404E-2</v>
      </c>
    </row>
    <row r="825" spans="2:14" x14ac:dyDescent="0.25">
      <c r="B825" t="s">
        <v>14</v>
      </c>
      <c r="C825" s="1">
        <v>46095.999988425923</v>
      </c>
      <c r="D825">
        <v>25.155780241920802</v>
      </c>
      <c r="E825">
        <v>67513.260034526495</v>
      </c>
      <c r="F825" s="1">
        <v>46095.606296296297</v>
      </c>
      <c r="G825">
        <v>52.873819572515004</v>
      </c>
      <c r="H825" t="s">
        <v>20</v>
      </c>
      <c r="J825" t="s">
        <v>16</v>
      </c>
      <c r="K825">
        <v>689407.18733078905</v>
      </c>
      <c r="L825" t="s">
        <v>17</v>
      </c>
      <c r="M825">
        <v>0</v>
      </c>
      <c r="N825">
        <v>9.7929440358637404E-2</v>
      </c>
    </row>
    <row r="826" spans="2:14" x14ac:dyDescent="0.25">
      <c r="B826" t="s">
        <v>14</v>
      </c>
      <c r="C826" s="1">
        <v>46094.999988425923</v>
      </c>
      <c r="D826">
        <v>25.155780241920802</v>
      </c>
      <c r="E826">
        <v>44690.323175070298</v>
      </c>
      <c r="F826" s="1">
        <v>46092.099097222221</v>
      </c>
      <c r="G826">
        <v>52.873819572515004</v>
      </c>
      <c r="H826" t="s">
        <v>20</v>
      </c>
      <c r="J826" t="s">
        <v>16</v>
      </c>
      <c r="K826">
        <v>689407.18733078905</v>
      </c>
      <c r="L826" t="s">
        <v>17</v>
      </c>
      <c r="M826">
        <v>-22822.9368594562</v>
      </c>
      <c r="N826">
        <v>6.4824278012099001E-2</v>
      </c>
    </row>
    <row r="827" spans="2:14" x14ac:dyDescent="0.25">
      <c r="B827" t="s">
        <v>14</v>
      </c>
      <c r="C827" s="1">
        <v>46093.999988425923</v>
      </c>
      <c r="D827">
        <v>25.155780241920802</v>
      </c>
      <c r="E827">
        <v>44690.323175070298</v>
      </c>
      <c r="F827" s="1">
        <v>46092.099097222221</v>
      </c>
      <c r="G827">
        <v>52.873819572515004</v>
      </c>
      <c r="H827" t="s">
        <v>20</v>
      </c>
      <c r="J827" t="s">
        <v>16</v>
      </c>
      <c r="K827">
        <v>689407.18733078905</v>
      </c>
      <c r="L827" t="s">
        <v>17</v>
      </c>
      <c r="M827">
        <v>0</v>
      </c>
      <c r="N827">
        <v>6.4824278012099001E-2</v>
      </c>
    </row>
    <row r="828" spans="2:14" x14ac:dyDescent="0.25">
      <c r="B828" t="s">
        <v>14</v>
      </c>
      <c r="C828" s="1">
        <v>46092.999988425923</v>
      </c>
      <c r="D828">
        <v>25.155780241920802</v>
      </c>
      <c r="E828">
        <v>44690.323175070298</v>
      </c>
      <c r="F828" s="1">
        <v>46092.099097222221</v>
      </c>
      <c r="G828">
        <v>52.873819572515004</v>
      </c>
      <c r="H828" t="s">
        <v>20</v>
      </c>
      <c r="J828" t="s">
        <v>16</v>
      </c>
      <c r="K828">
        <v>689407.18733078905</v>
      </c>
      <c r="L828" t="s">
        <v>17</v>
      </c>
      <c r="M828">
        <v>0</v>
      </c>
      <c r="N828">
        <v>6.4824278012099001E-2</v>
      </c>
    </row>
    <row r="829" spans="2:14" x14ac:dyDescent="0.25">
      <c r="B829" t="s">
        <v>14</v>
      </c>
      <c r="C829" s="1">
        <v>46091.999988425923</v>
      </c>
      <c r="D829">
        <v>25.155780241920802</v>
      </c>
      <c r="E829">
        <v>67440.054223851301</v>
      </c>
      <c r="F829" s="1">
        <v>46089.605474537035</v>
      </c>
      <c r="G829">
        <v>52.873819572515004</v>
      </c>
      <c r="H829" t="s">
        <v>20</v>
      </c>
      <c r="J829" t="s">
        <v>16</v>
      </c>
      <c r="K829">
        <v>689407.18733078905</v>
      </c>
      <c r="L829" t="s">
        <v>17</v>
      </c>
      <c r="M829">
        <v>22749.731048780901</v>
      </c>
      <c r="N829">
        <v>9.7823253750750794E-2</v>
      </c>
    </row>
    <row r="830" spans="2:14" x14ac:dyDescent="0.25">
      <c r="B830" t="s">
        <v>14</v>
      </c>
      <c r="C830" s="1">
        <v>46090.999988425923</v>
      </c>
      <c r="D830">
        <v>25.155780241920802</v>
      </c>
      <c r="E830">
        <v>67440.054223851301</v>
      </c>
      <c r="F830" s="1">
        <v>46089.605474537035</v>
      </c>
      <c r="G830">
        <v>52.873819572515004</v>
      </c>
      <c r="H830" t="s">
        <v>20</v>
      </c>
      <c r="J830" t="s">
        <v>16</v>
      </c>
      <c r="K830">
        <v>689407.18733078905</v>
      </c>
      <c r="L830" t="s">
        <v>17</v>
      </c>
      <c r="M830">
        <v>0</v>
      </c>
      <c r="N830">
        <v>9.7823253750750794E-2</v>
      </c>
    </row>
    <row r="831" spans="2:14" x14ac:dyDescent="0.25">
      <c r="B831" t="s">
        <v>14</v>
      </c>
      <c r="C831" s="1">
        <v>46089.999988425923</v>
      </c>
      <c r="D831">
        <v>25.155780241920802</v>
      </c>
      <c r="E831">
        <v>67440.054223851301</v>
      </c>
      <c r="F831" s="1">
        <v>46089.605474537035</v>
      </c>
      <c r="G831">
        <v>52.873819572515004</v>
      </c>
      <c r="H831" t="s">
        <v>20</v>
      </c>
      <c r="J831" t="s">
        <v>16</v>
      </c>
      <c r="K831">
        <v>689407.18733078905</v>
      </c>
      <c r="L831" t="s">
        <v>17</v>
      </c>
      <c r="M831">
        <v>0</v>
      </c>
      <c r="N831">
        <v>9.7823253750750794E-2</v>
      </c>
    </row>
    <row r="832" spans="2:14" x14ac:dyDescent="0.25">
      <c r="B832" t="s">
        <v>14</v>
      </c>
      <c r="C832" s="1">
        <v>46088.999988425923</v>
      </c>
      <c r="D832">
        <v>25.155780241920802</v>
      </c>
      <c r="E832">
        <v>689407.18733078905</v>
      </c>
      <c r="F832" s="1">
        <v>46086.099803240744</v>
      </c>
      <c r="G832">
        <v>52.873819572515004</v>
      </c>
      <c r="H832" t="s">
        <v>20</v>
      </c>
      <c r="J832" t="s">
        <v>16</v>
      </c>
      <c r="K832">
        <v>689407.18733078905</v>
      </c>
      <c r="L832" t="s">
        <v>17</v>
      </c>
      <c r="M832">
        <v>621967.13310693798</v>
      </c>
      <c r="N832">
        <v>1</v>
      </c>
    </row>
    <row r="833" spans="2:14" x14ac:dyDescent="0.25">
      <c r="B833" t="s">
        <v>14</v>
      </c>
      <c r="C833" s="1">
        <v>46087.999988425923</v>
      </c>
      <c r="D833">
        <v>25.155780241920802</v>
      </c>
      <c r="E833">
        <v>689407.18733078905</v>
      </c>
      <c r="F833" s="1">
        <v>46086.099803240744</v>
      </c>
      <c r="G833">
        <v>52.873819572515004</v>
      </c>
      <c r="H833" t="s">
        <v>20</v>
      </c>
      <c r="J833" t="s">
        <v>16</v>
      </c>
      <c r="K833">
        <v>689407.18733078905</v>
      </c>
      <c r="L833" t="s">
        <v>17</v>
      </c>
      <c r="M833">
        <v>0</v>
      </c>
      <c r="N833">
        <v>1</v>
      </c>
    </row>
    <row r="834" spans="2:14" x14ac:dyDescent="0.25">
      <c r="B834" t="s">
        <v>14</v>
      </c>
      <c r="C834" s="1">
        <v>46086.999988425923</v>
      </c>
      <c r="D834">
        <v>25.155780241920802</v>
      </c>
      <c r="E834">
        <v>689407.18733078905</v>
      </c>
      <c r="F834" s="1">
        <v>46086.099803240744</v>
      </c>
      <c r="G834">
        <v>52.873819572515004</v>
      </c>
      <c r="H834" t="s">
        <v>20</v>
      </c>
      <c r="J834" t="s">
        <v>16</v>
      </c>
      <c r="K834">
        <v>689407.18733078905</v>
      </c>
      <c r="L834" t="s">
        <v>17</v>
      </c>
      <c r="M834">
        <v>0</v>
      </c>
      <c r="N834">
        <v>1</v>
      </c>
    </row>
    <row r="835" spans="2:14" x14ac:dyDescent="0.25">
      <c r="B835" t="s">
        <v>14</v>
      </c>
      <c r="C835" s="1">
        <v>46085.999988425923</v>
      </c>
      <c r="D835">
        <v>25.155780241920802</v>
      </c>
      <c r="E835">
        <v>72694.403505905604</v>
      </c>
      <c r="F835" s="1">
        <v>46083.60628472222</v>
      </c>
      <c r="G835">
        <v>52.873819572515004</v>
      </c>
      <c r="H835" t="s">
        <v>20</v>
      </c>
      <c r="J835" t="s">
        <v>16</v>
      </c>
      <c r="K835">
        <v>689407.18733078905</v>
      </c>
      <c r="L835" t="s">
        <v>17</v>
      </c>
      <c r="M835">
        <v>-616712.78382488398</v>
      </c>
      <c r="N835">
        <v>0.10544480075318</v>
      </c>
    </row>
    <row r="836" spans="2:14" x14ac:dyDescent="0.25">
      <c r="B836" t="s">
        <v>14</v>
      </c>
      <c r="C836" s="1">
        <v>46084.999988425923</v>
      </c>
      <c r="D836">
        <v>25.155780241920802</v>
      </c>
      <c r="E836">
        <v>72694.403505905604</v>
      </c>
      <c r="F836" s="1">
        <v>46083.60628472222</v>
      </c>
      <c r="G836">
        <v>52.873819572515004</v>
      </c>
      <c r="H836" t="s">
        <v>20</v>
      </c>
      <c r="J836" t="s">
        <v>16</v>
      </c>
      <c r="K836">
        <v>689407.18733078905</v>
      </c>
      <c r="L836" t="s">
        <v>17</v>
      </c>
      <c r="M836">
        <v>0</v>
      </c>
      <c r="N836">
        <v>0.10544480075318</v>
      </c>
    </row>
    <row r="837" spans="2:14" x14ac:dyDescent="0.25">
      <c r="B837" t="s">
        <v>14</v>
      </c>
      <c r="C837" s="1">
        <v>46083.999988425923</v>
      </c>
      <c r="D837">
        <v>25.155780241920802</v>
      </c>
      <c r="E837">
        <v>72694.403505905604</v>
      </c>
      <c r="F837" s="1">
        <v>46083.60628472222</v>
      </c>
      <c r="G837">
        <v>52.873819572515004</v>
      </c>
      <c r="H837" t="s">
        <v>20</v>
      </c>
      <c r="J837" t="s">
        <v>16</v>
      </c>
      <c r="K837">
        <v>689407.18733078905</v>
      </c>
      <c r="L837" t="s">
        <v>17</v>
      </c>
      <c r="M837">
        <v>0</v>
      </c>
      <c r="N837">
        <v>0.10544480075318</v>
      </c>
    </row>
    <row r="838" spans="2:14" x14ac:dyDescent="0.25">
      <c r="B838" t="s">
        <v>14</v>
      </c>
      <c r="C838" s="1">
        <v>46082.999988425923</v>
      </c>
      <c r="D838">
        <v>25.155780241920802</v>
      </c>
      <c r="E838">
        <v>412378.71889234998</v>
      </c>
      <c r="F838" s="1">
        <v>46080.099097222221</v>
      </c>
      <c r="G838">
        <v>52.873819572515004</v>
      </c>
      <c r="H838" t="s">
        <v>20</v>
      </c>
      <c r="J838" t="s">
        <v>16</v>
      </c>
      <c r="K838">
        <v>689407.18733078905</v>
      </c>
      <c r="L838" t="s">
        <v>17</v>
      </c>
      <c r="M838">
        <v>339684.31538644398</v>
      </c>
      <c r="N838">
        <v>0.59816422931268898</v>
      </c>
    </row>
    <row r="839" spans="2:14" x14ac:dyDescent="0.25">
      <c r="B839" t="s">
        <v>14</v>
      </c>
      <c r="C839" s="1">
        <v>46081.999988425923</v>
      </c>
      <c r="D839">
        <v>25.155780241920802</v>
      </c>
      <c r="E839">
        <v>412378.71889234998</v>
      </c>
      <c r="F839" s="1">
        <v>46080.099097222221</v>
      </c>
      <c r="G839">
        <v>52.873819572515004</v>
      </c>
      <c r="H839" t="s">
        <v>20</v>
      </c>
      <c r="J839" t="s">
        <v>16</v>
      </c>
      <c r="K839">
        <v>689407.18733078905</v>
      </c>
      <c r="L839" t="s">
        <v>17</v>
      </c>
      <c r="M839">
        <v>0</v>
      </c>
      <c r="N839">
        <v>0.59816422931268898</v>
      </c>
    </row>
    <row r="840" spans="2:14" x14ac:dyDescent="0.25">
      <c r="B840" t="s">
        <v>14</v>
      </c>
      <c r="C840" s="1">
        <v>46080.999988425923</v>
      </c>
      <c r="D840">
        <v>25.155780241920802</v>
      </c>
      <c r="E840">
        <v>412378.71889234998</v>
      </c>
      <c r="F840" s="1">
        <v>46080.099097222221</v>
      </c>
      <c r="G840">
        <v>52.873819572515004</v>
      </c>
      <c r="H840" t="s">
        <v>20</v>
      </c>
      <c r="J840" t="s">
        <v>16</v>
      </c>
      <c r="K840">
        <v>689407.18733078905</v>
      </c>
      <c r="L840" t="s">
        <v>17</v>
      </c>
      <c r="M840">
        <v>0</v>
      </c>
      <c r="N840">
        <v>0.59816422931268898</v>
      </c>
    </row>
    <row r="841" spans="2:14" x14ac:dyDescent="0.25">
      <c r="B841" t="s">
        <v>14</v>
      </c>
      <c r="C841" s="1">
        <v>46079.999988425923</v>
      </c>
      <c r="D841">
        <v>25.155780241920802</v>
      </c>
      <c r="E841">
        <v>366789.51957881101</v>
      </c>
      <c r="F841" s="1">
        <v>46077.605474537035</v>
      </c>
      <c r="G841">
        <v>52.873819572515004</v>
      </c>
      <c r="H841" t="s">
        <v>20</v>
      </c>
      <c r="J841" t="s">
        <v>16</v>
      </c>
      <c r="K841">
        <v>689407.18733078905</v>
      </c>
      <c r="L841" t="s">
        <v>17</v>
      </c>
      <c r="M841">
        <v>-45589.199313538702</v>
      </c>
      <c r="N841">
        <v>0.53203611206742396</v>
      </c>
    </row>
    <row r="842" spans="2:14" x14ac:dyDescent="0.25">
      <c r="B842" t="s">
        <v>14</v>
      </c>
      <c r="C842" s="1">
        <v>46078.999988425923</v>
      </c>
      <c r="D842">
        <v>25.155780241920802</v>
      </c>
      <c r="E842">
        <v>366789.51957881101</v>
      </c>
      <c r="F842" s="1">
        <v>46077.605474537035</v>
      </c>
      <c r="G842">
        <v>52.873819572515004</v>
      </c>
      <c r="H842" t="s">
        <v>20</v>
      </c>
      <c r="J842" t="s">
        <v>16</v>
      </c>
      <c r="K842">
        <v>689407.18733078905</v>
      </c>
      <c r="L842" t="s">
        <v>17</v>
      </c>
      <c r="M842">
        <v>0</v>
      </c>
      <c r="N842">
        <v>0.53203611206742396</v>
      </c>
    </row>
    <row r="843" spans="2:14" x14ac:dyDescent="0.25">
      <c r="B843" t="s">
        <v>14</v>
      </c>
      <c r="C843" s="1">
        <v>46077.999988425923</v>
      </c>
      <c r="D843">
        <v>25.155780241920802</v>
      </c>
      <c r="E843">
        <v>366789.51957881101</v>
      </c>
      <c r="F843" s="1">
        <v>46077.605474537035</v>
      </c>
      <c r="G843">
        <v>52.873819572515004</v>
      </c>
      <c r="H843" t="s">
        <v>20</v>
      </c>
      <c r="J843" t="s">
        <v>16</v>
      </c>
      <c r="K843">
        <v>689407.18733078905</v>
      </c>
      <c r="L843" t="s">
        <v>17</v>
      </c>
      <c r="M843">
        <v>0</v>
      </c>
      <c r="N843">
        <v>0.53203611206742396</v>
      </c>
    </row>
    <row r="844" spans="2:14" x14ac:dyDescent="0.25">
      <c r="B844" t="s">
        <v>14</v>
      </c>
      <c r="C844" s="1">
        <v>46076.999988425923</v>
      </c>
      <c r="D844">
        <v>25.155780241920802</v>
      </c>
      <c r="E844">
        <v>43320.676959709002</v>
      </c>
      <c r="F844" s="1">
        <v>46074.099803240744</v>
      </c>
      <c r="G844">
        <v>52.873819572515004</v>
      </c>
      <c r="H844" t="s">
        <v>20</v>
      </c>
      <c r="J844" t="s">
        <v>16</v>
      </c>
      <c r="K844">
        <v>689407.18733078905</v>
      </c>
      <c r="L844" t="s">
        <v>17</v>
      </c>
      <c r="M844">
        <v>-323468.84261910198</v>
      </c>
      <c r="N844">
        <v>6.2837576624977895E-2</v>
      </c>
    </row>
    <row r="845" spans="2:14" x14ac:dyDescent="0.25">
      <c r="B845" t="s">
        <v>14</v>
      </c>
      <c r="C845" s="1">
        <v>46075.999988425923</v>
      </c>
      <c r="D845">
        <v>25.155780241920802</v>
      </c>
      <c r="E845">
        <v>43320.676959709002</v>
      </c>
      <c r="F845" s="1">
        <v>46074.099803240744</v>
      </c>
      <c r="G845">
        <v>52.873819572515004</v>
      </c>
      <c r="H845" t="s">
        <v>20</v>
      </c>
      <c r="J845" t="s">
        <v>16</v>
      </c>
      <c r="K845">
        <v>689407.18733078905</v>
      </c>
      <c r="L845" t="s">
        <v>17</v>
      </c>
      <c r="M845">
        <v>0</v>
      </c>
      <c r="N845">
        <v>6.2837576624977895E-2</v>
      </c>
    </row>
    <row r="846" spans="2:14" x14ac:dyDescent="0.25">
      <c r="B846" t="s">
        <v>14</v>
      </c>
      <c r="C846" s="1">
        <v>46074.999988425923</v>
      </c>
      <c r="D846">
        <v>25.155780241920802</v>
      </c>
      <c r="E846">
        <v>43320.676959709002</v>
      </c>
      <c r="F846" s="1">
        <v>46074.099803240744</v>
      </c>
      <c r="G846">
        <v>52.873819572515004</v>
      </c>
      <c r="H846" t="s">
        <v>20</v>
      </c>
      <c r="J846" t="s">
        <v>16</v>
      </c>
      <c r="K846">
        <v>689407.18733078905</v>
      </c>
      <c r="L846" t="s">
        <v>17</v>
      </c>
      <c r="M846">
        <v>0</v>
      </c>
      <c r="N846">
        <v>6.2837576624977895E-2</v>
      </c>
    </row>
    <row r="847" spans="2:14" x14ac:dyDescent="0.25">
      <c r="B847" t="s">
        <v>14</v>
      </c>
      <c r="C847" s="1">
        <v>46073.999988425923</v>
      </c>
      <c r="D847">
        <v>25.155780241920802</v>
      </c>
      <c r="E847">
        <v>598519.56928019703</v>
      </c>
      <c r="F847" s="1">
        <v>46071.606296296297</v>
      </c>
      <c r="G847">
        <v>52.873819572515004</v>
      </c>
      <c r="H847" t="s">
        <v>20</v>
      </c>
      <c r="J847" t="s">
        <v>16</v>
      </c>
      <c r="K847">
        <v>689407.18733078905</v>
      </c>
      <c r="L847" t="s">
        <v>17</v>
      </c>
      <c r="M847">
        <v>555198.892320488</v>
      </c>
      <c r="N847">
        <v>0.86816554900959697</v>
      </c>
    </row>
    <row r="848" spans="2:14" x14ac:dyDescent="0.25">
      <c r="B848" t="s">
        <v>14</v>
      </c>
      <c r="C848" s="1">
        <v>46072.999988425923</v>
      </c>
      <c r="D848">
        <v>25.155780241920802</v>
      </c>
      <c r="E848">
        <v>598519.56928019703</v>
      </c>
      <c r="F848" s="1">
        <v>46071.606296296297</v>
      </c>
      <c r="G848">
        <v>52.873819572515004</v>
      </c>
      <c r="H848" t="s">
        <v>20</v>
      </c>
      <c r="J848" t="s">
        <v>16</v>
      </c>
      <c r="K848">
        <v>689407.18733078905</v>
      </c>
      <c r="L848" t="s">
        <v>17</v>
      </c>
      <c r="M848">
        <v>0</v>
      </c>
      <c r="N848">
        <v>0.86816554900959697</v>
      </c>
    </row>
    <row r="849" spans="2:14" x14ac:dyDescent="0.25">
      <c r="B849" t="s">
        <v>14</v>
      </c>
      <c r="C849" s="1">
        <v>46071.999988425923</v>
      </c>
      <c r="D849">
        <v>25.155780241920802</v>
      </c>
      <c r="E849">
        <v>598519.56928019703</v>
      </c>
      <c r="F849" s="1">
        <v>46071.606296296297</v>
      </c>
      <c r="G849">
        <v>52.873819572515004</v>
      </c>
      <c r="H849" t="s">
        <v>20</v>
      </c>
      <c r="J849" t="s">
        <v>16</v>
      </c>
      <c r="K849">
        <v>689407.18733078905</v>
      </c>
      <c r="L849" t="s">
        <v>17</v>
      </c>
      <c r="M849">
        <v>0</v>
      </c>
      <c r="N849">
        <v>0.86816554900959697</v>
      </c>
    </row>
    <row r="850" spans="2:14" x14ac:dyDescent="0.25">
      <c r="B850" t="s">
        <v>14</v>
      </c>
      <c r="C850" s="1">
        <v>46070.999988425923</v>
      </c>
      <c r="D850">
        <v>25.155780241920802</v>
      </c>
      <c r="E850">
        <v>47532.221738778397</v>
      </c>
      <c r="F850" s="1">
        <v>46068.099097222221</v>
      </c>
      <c r="G850">
        <v>52.873819572515004</v>
      </c>
      <c r="H850" t="s">
        <v>20</v>
      </c>
      <c r="J850" t="s">
        <v>16</v>
      </c>
      <c r="K850">
        <v>689407.18733078905</v>
      </c>
      <c r="L850" t="s">
        <v>17</v>
      </c>
      <c r="M850">
        <v>-550987.34754141804</v>
      </c>
      <c r="N850">
        <v>6.8946513196085302E-2</v>
      </c>
    </row>
    <row r="851" spans="2:14" x14ac:dyDescent="0.25">
      <c r="B851" t="s">
        <v>14</v>
      </c>
      <c r="C851" s="1">
        <v>46069.999988425923</v>
      </c>
      <c r="D851">
        <v>25.155780241920802</v>
      </c>
      <c r="E851">
        <v>47532.221738778397</v>
      </c>
      <c r="F851" s="1">
        <v>46068.099097222221</v>
      </c>
      <c r="G851">
        <v>52.873819572515004</v>
      </c>
      <c r="H851" t="s">
        <v>20</v>
      </c>
      <c r="J851" t="s">
        <v>16</v>
      </c>
      <c r="K851">
        <v>689407.18733078905</v>
      </c>
      <c r="L851" t="s">
        <v>17</v>
      </c>
      <c r="M851">
        <v>0</v>
      </c>
      <c r="N851">
        <v>6.8946513196085302E-2</v>
      </c>
    </row>
    <row r="852" spans="2:14" x14ac:dyDescent="0.25">
      <c r="B852" t="s">
        <v>14</v>
      </c>
      <c r="C852" s="1">
        <v>46068.999988425923</v>
      </c>
      <c r="D852">
        <v>25.155780241920802</v>
      </c>
      <c r="E852">
        <v>47532.221738778397</v>
      </c>
      <c r="F852" s="1">
        <v>46068.099097222221</v>
      </c>
      <c r="G852">
        <v>52.873819572515004</v>
      </c>
      <c r="H852" t="s">
        <v>20</v>
      </c>
      <c r="J852" t="s">
        <v>16</v>
      </c>
      <c r="K852">
        <v>689407.18733078905</v>
      </c>
      <c r="L852" t="s">
        <v>17</v>
      </c>
      <c r="M852">
        <v>0</v>
      </c>
      <c r="N852">
        <v>6.8946513196085302E-2</v>
      </c>
    </row>
    <row r="853" spans="2:14" x14ac:dyDescent="0.25">
      <c r="B853" t="s">
        <v>14</v>
      </c>
      <c r="C853" s="1">
        <v>46067.999988425923</v>
      </c>
      <c r="D853">
        <v>25.155780241920802</v>
      </c>
      <c r="E853">
        <v>489091.32481176697</v>
      </c>
      <c r="F853" s="1">
        <v>46065.605474537035</v>
      </c>
      <c r="G853">
        <v>52.873819572515004</v>
      </c>
      <c r="H853" t="s">
        <v>20</v>
      </c>
      <c r="J853" t="s">
        <v>16</v>
      </c>
      <c r="K853">
        <v>689407.18733078905</v>
      </c>
      <c r="L853" t="s">
        <v>17</v>
      </c>
      <c r="M853">
        <v>441559.10307298799</v>
      </c>
      <c r="N853">
        <v>0.70943751936414301</v>
      </c>
    </row>
    <row r="854" spans="2:14" x14ac:dyDescent="0.25">
      <c r="B854" t="s">
        <v>14</v>
      </c>
      <c r="C854" s="1">
        <v>46066.999988425923</v>
      </c>
      <c r="D854">
        <v>25.155780241920802</v>
      </c>
      <c r="E854">
        <v>489091.32481176697</v>
      </c>
      <c r="F854" s="1">
        <v>46065.605474537035</v>
      </c>
      <c r="G854">
        <v>52.873819572515004</v>
      </c>
      <c r="H854" t="s">
        <v>20</v>
      </c>
      <c r="J854" t="s">
        <v>16</v>
      </c>
      <c r="K854">
        <v>689407.18733078905</v>
      </c>
      <c r="L854" t="s">
        <v>17</v>
      </c>
      <c r="M854">
        <v>0</v>
      </c>
      <c r="N854">
        <v>0.70943751936414301</v>
      </c>
    </row>
    <row r="855" spans="2:14" x14ac:dyDescent="0.25">
      <c r="B855" t="s">
        <v>14</v>
      </c>
      <c r="C855" s="1">
        <v>46065.999988425923</v>
      </c>
      <c r="D855">
        <v>25.155780241920802</v>
      </c>
      <c r="E855">
        <v>489091.32481176697</v>
      </c>
      <c r="F855" s="1">
        <v>46065.605474537035</v>
      </c>
      <c r="G855">
        <v>52.873819572515004</v>
      </c>
      <c r="H855" t="s">
        <v>20</v>
      </c>
      <c r="J855" t="s">
        <v>16</v>
      </c>
      <c r="K855">
        <v>689407.18733078905</v>
      </c>
      <c r="L855" t="s">
        <v>17</v>
      </c>
      <c r="M855">
        <v>0</v>
      </c>
      <c r="N855">
        <v>0.70943751936414301</v>
      </c>
    </row>
    <row r="856" spans="2:14" x14ac:dyDescent="0.25">
      <c r="B856" t="s">
        <v>14</v>
      </c>
      <c r="C856" s="1">
        <v>46064.999988425923</v>
      </c>
      <c r="D856">
        <v>25.155780241920802</v>
      </c>
      <c r="E856">
        <v>689407.18733078905</v>
      </c>
      <c r="F856" s="1">
        <v>46062.099814814814</v>
      </c>
      <c r="G856">
        <v>52.873819572515004</v>
      </c>
      <c r="H856" t="s">
        <v>20</v>
      </c>
      <c r="J856" t="s">
        <v>16</v>
      </c>
      <c r="K856">
        <v>689407.18733078905</v>
      </c>
      <c r="L856" t="s">
        <v>17</v>
      </c>
      <c r="M856">
        <v>200315.86251902199</v>
      </c>
      <c r="N856">
        <v>1</v>
      </c>
    </row>
    <row r="857" spans="2:14" x14ac:dyDescent="0.25">
      <c r="B857" t="s">
        <v>14</v>
      </c>
      <c r="C857" s="1">
        <v>46063.999988425923</v>
      </c>
      <c r="D857">
        <v>25.155780241920802</v>
      </c>
      <c r="E857">
        <v>689407.18733078905</v>
      </c>
      <c r="F857" s="1">
        <v>46062.099814814814</v>
      </c>
      <c r="G857">
        <v>52.873819572515004</v>
      </c>
      <c r="H857" t="s">
        <v>20</v>
      </c>
      <c r="J857" t="s">
        <v>16</v>
      </c>
      <c r="K857">
        <v>689407.18733078905</v>
      </c>
      <c r="L857" t="s">
        <v>17</v>
      </c>
      <c r="M857">
        <v>0</v>
      </c>
      <c r="N857">
        <v>1</v>
      </c>
    </row>
    <row r="858" spans="2:14" x14ac:dyDescent="0.25">
      <c r="B858" t="s">
        <v>14</v>
      </c>
      <c r="C858" s="1">
        <v>46062.999988425923</v>
      </c>
      <c r="D858">
        <v>25.155780241920802</v>
      </c>
      <c r="E858">
        <v>689407.18733078905</v>
      </c>
      <c r="F858" s="1">
        <v>46062.099814814814</v>
      </c>
      <c r="G858">
        <v>52.873819572515004</v>
      </c>
      <c r="H858" t="s">
        <v>20</v>
      </c>
      <c r="J858" t="s">
        <v>16</v>
      </c>
      <c r="K858">
        <v>689407.18733078905</v>
      </c>
      <c r="L858" t="s">
        <v>17</v>
      </c>
      <c r="M858">
        <v>0</v>
      </c>
      <c r="N858">
        <v>1</v>
      </c>
    </row>
    <row r="859" spans="2:14" x14ac:dyDescent="0.25">
      <c r="B859" t="s">
        <v>14</v>
      </c>
      <c r="C859" s="1">
        <v>46061.999988425923</v>
      </c>
      <c r="D859">
        <v>25.155780241920802</v>
      </c>
      <c r="E859">
        <v>155860.59480631299</v>
      </c>
      <c r="F859" s="1">
        <v>46059.606296296297</v>
      </c>
      <c r="G859">
        <v>52.873819572515004</v>
      </c>
      <c r="H859" t="s">
        <v>20</v>
      </c>
      <c r="J859" t="s">
        <v>16</v>
      </c>
      <c r="K859">
        <v>689407.18733078905</v>
      </c>
      <c r="L859" t="s">
        <v>17</v>
      </c>
      <c r="M859">
        <v>-533546.592524476</v>
      </c>
      <c r="N859">
        <v>0.226079155643511</v>
      </c>
    </row>
    <row r="860" spans="2:14" x14ac:dyDescent="0.25">
      <c r="B860" t="s">
        <v>14</v>
      </c>
      <c r="C860" s="1">
        <v>46060.999988425923</v>
      </c>
      <c r="D860">
        <v>25.155780241920802</v>
      </c>
      <c r="E860">
        <v>155860.59480631299</v>
      </c>
      <c r="F860" s="1">
        <v>46059.606296296297</v>
      </c>
      <c r="G860">
        <v>52.873819572515004</v>
      </c>
      <c r="H860" t="s">
        <v>20</v>
      </c>
      <c r="J860" t="s">
        <v>16</v>
      </c>
      <c r="K860">
        <v>689407.18733078905</v>
      </c>
      <c r="L860" t="s">
        <v>17</v>
      </c>
      <c r="M860">
        <v>0</v>
      </c>
      <c r="N860">
        <v>0.226079155643511</v>
      </c>
    </row>
    <row r="861" spans="2:14" x14ac:dyDescent="0.25">
      <c r="B861" t="s">
        <v>14</v>
      </c>
      <c r="C861" s="1">
        <v>46059.999988425923</v>
      </c>
      <c r="D861">
        <v>25.155780241920802</v>
      </c>
      <c r="E861">
        <v>155860.59480631299</v>
      </c>
      <c r="F861" s="1">
        <v>46059.606296296297</v>
      </c>
      <c r="G861">
        <v>52.873819572515004</v>
      </c>
      <c r="H861" t="s">
        <v>20</v>
      </c>
      <c r="J861" t="s">
        <v>16</v>
      </c>
      <c r="K861">
        <v>689407.18733078905</v>
      </c>
      <c r="L861" t="s">
        <v>17</v>
      </c>
      <c r="M861">
        <v>0</v>
      </c>
      <c r="N861">
        <v>0.226079155643511</v>
      </c>
    </row>
    <row r="862" spans="2:14" x14ac:dyDescent="0.25">
      <c r="B862" t="s">
        <v>14</v>
      </c>
      <c r="C862" s="1">
        <v>46058.999988425923</v>
      </c>
      <c r="D862">
        <v>25.155780241920802</v>
      </c>
      <c r="E862">
        <v>689407.18733078905</v>
      </c>
      <c r="F862" s="1">
        <v>46056.099097222221</v>
      </c>
      <c r="G862">
        <v>52.873819572515004</v>
      </c>
      <c r="H862" t="s">
        <v>20</v>
      </c>
      <c r="J862" t="s">
        <v>16</v>
      </c>
      <c r="K862">
        <v>689407.18733078905</v>
      </c>
      <c r="L862" t="s">
        <v>17</v>
      </c>
      <c r="M862">
        <v>533546.592524476</v>
      </c>
      <c r="N862">
        <v>1</v>
      </c>
    </row>
    <row r="863" spans="2:14" x14ac:dyDescent="0.25">
      <c r="B863" t="s">
        <v>14</v>
      </c>
      <c r="C863" s="1">
        <v>46057.999988425923</v>
      </c>
      <c r="D863">
        <v>25.155780241920802</v>
      </c>
      <c r="E863">
        <v>689407.18733078905</v>
      </c>
      <c r="F863" s="1">
        <v>46056.099097222221</v>
      </c>
      <c r="G863">
        <v>52.873819572515004</v>
      </c>
      <c r="H863" t="s">
        <v>20</v>
      </c>
      <c r="J863" t="s">
        <v>16</v>
      </c>
      <c r="K863">
        <v>689407.18733078905</v>
      </c>
      <c r="L863" t="s">
        <v>17</v>
      </c>
      <c r="M863">
        <v>0</v>
      </c>
      <c r="N863">
        <v>1</v>
      </c>
    </row>
    <row r="864" spans="2:14" x14ac:dyDescent="0.25">
      <c r="B864" t="s">
        <v>14</v>
      </c>
      <c r="C864" s="1">
        <v>46056.999988425923</v>
      </c>
      <c r="D864">
        <v>25.155780241920802</v>
      </c>
      <c r="E864">
        <v>689407.18733078905</v>
      </c>
      <c r="F864" s="1">
        <v>46056.099097222221</v>
      </c>
      <c r="G864">
        <v>52.873819572515004</v>
      </c>
      <c r="H864" t="s">
        <v>20</v>
      </c>
      <c r="J864" t="s">
        <v>16</v>
      </c>
      <c r="K864">
        <v>689407.18733078905</v>
      </c>
      <c r="L864" t="s">
        <v>17</v>
      </c>
      <c r="M864">
        <v>0</v>
      </c>
      <c r="N864">
        <v>1</v>
      </c>
    </row>
    <row r="865" spans="2:14" x14ac:dyDescent="0.25">
      <c r="B865" t="s">
        <v>14</v>
      </c>
      <c r="C865" s="1">
        <v>46055.999988425923</v>
      </c>
      <c r="D865">
        <v>25.155780241920802</v>
      </c>
      <c r="E865">
        <v>78720.875672902999</v>
      </c>
      <c r="F865" s="1">
        <v>46053.605474537035</v>
      </c>
      <c r="G865">
        <v>52.873819572515004</v>
      </c>
      <c r="H865" t="s">
        <v>20</v>
      </c>
      <c r="J865" t="s">
        <v>16</v>
      </c>
      <c r="K865">
        <v>689407.18733078905</v>
      </c>
      <c r="L865" t="s">
        <v>17</v>
      </c>
      <c r="M865">
        <v>-610686.31165788602</v>
      </c>
      <c r="N865">
        <v>0.114186328659685</v>
      </c>
    </row>
    <row r="866" spans="2:14" x14ac:dyDescent="0.25">
      <c r="B866" t="s">
        <v>14</v>
      </c>
      <c r="C866" s="1">
        <v>46054.999988425923</v>
      </c>
      <c r="D866">
        <v>25.155780241920802</v>
      </c>
      <c r="E866">
        <v>78720.875672902999</v>
      </c>
      <c r="F866" s="1">
        <v>46053.605474537035</v>
      </c>
      <c r="G866">
        <v>52.873819572515004</v>
      </c>
      <c r="H866" t="s">
        <v>20</v>
      </c>
      <c r="J866" t="s">
        <v>16</v>
      </c>
      <c r="K866">
        <v>689407.18733078905</v>
      </c>
      <c r="L866" t="s">
        <v>17</v>
      </c>
      <c r="M866">
        <v>0</v>
      </c>
      <c r="N866">
        <v>0.114186328659685</v>
      </c>
    </row>
    <row r="867" spans="2:14" x14ac:dyDescent="0.25">
      <c r="B867" t="s">
        <v>14</v>
      </c>
      <c r="C867" s="1">
        <v>46053.999988425923</v>
      </c>
      <c r="D867">
        <v>25.155780241920802</v>
      </c>
      <c r="E867">
        <v>78720.875672902999</v>
      </c>
      <c r="F867" s="1">
        <v>46053.605474537035</v>
      </c>
      <c r="G867">
        <v>52.873819572515004</v>
      </c>
      <c r="H867" t="s">
        <v>20</v>
      </c>
      <c r="J867" t="s">
        <v>16</v>
      </c>
      <c r="K867">
        <v>689407.18733078905</v>
      </c>
      <c r="L867" t="s">
        <v>17</v>
      </c>
      <c r="M867">
        <v>0</v>
      </c>
      <c r="N867">
        <v>0.114186328659685</v>
      </c>
    </row>
    <row r="868" spans="2:14" x14ac:dyDescent="0.25">
      <c r="B868" t="s">
        <v>14</v>
      </c>
      <c r="C868" s="1">
        <v>46052.999988425923</v>
      </c>
      <c r="D868">
        <v>25.155780241920802</v>
      </c>
      <c r="E868">
        <v>338791.44326536602</v>
      </c>
      <c r="F868" s="1">
        <v>46050.099814814814</v>
      </c>
      <c r="G868">
        <v>52.873819572515004</v>
      </c>
      <c r="H868" t="s">
        <v>20</v>
      </c>
      <c r="J868" t="s">
        <v>16</v>
      </c>
      <c r="K868">
        <v>689407.18733078905</v>
      </c>
      <c r="L868" t="s">
        <v>17</v>
      </c>
      <c r="M868">
        <v>260070.56759246299</v>
      </c>
      <c r="N868">
        <v>0.49142429828311002</v>
      </c>
    </row>
    <row r="869" spans="2:14" x14ac:dyDescent="0.25">
      <c r="B869" t="s">
        <v>14</v>
      </c>
      <c r="C869" s="1">
        <v>46051.999988425923</v>
      </c>
      <c r="D869">
        <v>25.155780241920802</v>
      </c>
      <c r="E869">
        <v>338791.44326536602</v>
      </c>
      <c r="F869" s="1">
        <v>46050.099814814814</v>
      </c>
      <c r="G869">
        <v>52.873819572515004</v>
      </c>
      <c r="H869" t="s">
        <v>20</v>
      </c>
      <c r="J869" t="s">
        <v>16</v>
      </c>
      <c r="K869">
        <v>689407.18733078905</v>
      </c>
      <c r="L869" t="s">
        <v>17</v>
      </c>
      <c r="M869">
        <v>0</v>
      </c>
      <c r="N869">
        <v>0.49142429828311002</v>
      </c>
    </row>
    <row r="870" spans="2:14" x14ac:dyDescent="0.25">
      <c r="B870" t="s">
        <v>14</v>
      </c>
      <c r="C870" s="1">
        <v>46050.999988425923</v>
      </c>
      <c r="D870">
        <v>25.155780241920802</v>
      </c>
      <c r="E870">
        <v>338791.44326536602</v>
      </c>
      <c r="F870" s="1">
        <v>46050.099814814814</v>
      </c>
      <c r="G870">
        <v>52.873819572515004</v>
      </c>
      <c r="H870" t="s">
        <v>20</v>
      </c>
      <c r="J870" t="s">
        <v>16</v>
      </c>
      <c r="K870">
        <v>689407.18733078905</v>
      </c>
      <c r="L870" t="s">
        <v>17</v>
      </c>
      <c r="M870">
        <v>0</v>
      </c>
      <c r="N870">
        <v>0.49142429828311002</v>
      </c>
    </row>
    <row r="871" spans="2:14" x14ac:dyDescent="0.25">
      <c r="B871" t="s">
        <v>14</v>
      </c>
      <c r="C871" s="1">
        <v>46049.999988425923</v>
      </c>
      <c r="D871">
        <v>25.155780241920802</v>
      </c>
      <c r="E871">
        <v>351426.71342645801</v>
      </c>
      <c r="F871" s="1">
        <v>46047.606307870374</v>
      </c>
      <c r="G871">
        <v>52.873819572515004</v>
      </c>
      <c r="H871" t="s">
        <v>20</v>
      </c>
      <c r="J871" t="s">
        <v>16</v>
      </c>
      <c r="K871">
        <v>689407.18733078905</v>
      </c>
      <c r="L871" t="s">
        <v>17</v>
      </c>
      <c r="M871">
        <v>12635.270161091799</v>
      </c>
      <c r="N871">
        <v>0.509752030272694</v>
      </c>
    </row>
    <row r="872" spans="2:14" x14ac:dyDescent="0.25">
      <c r="B872" t="s">
        <v>14</v>
      </c>
      <c r="C872" s="1">
        <v>46048.999988425923</v>
      </c>
      <c r="D872">
        <v>25.155780241920802</v>
      </c>
      <c r="E872">
        <v>351426.71342645801</v>
      </c>
      <c r="F872" s="1">
        <v>46047.606307870374</v>
      </c>
      <c r="G872">
        <v>52.873819572515004</v>
      </c>
      <c r="H872" t="s">
        <v>20</v>
      </c>
      <c r="J872" t="s">
        <v>16</v>
      </c>
      <c r="K872">
        <v>689407.18733078905</v>
      </c>
      <c r="L872" t="s">
        <v>17</v>
      </c>
      <c r="M872">
        <v>0</v>
      </c>
      <c r="N872">
        <v>0.509752030272694</v>
      </c>
    </row>
    <row r="873" spans="2:14" x14ac:dyDescent="0.25">
      <c r="B873" t="s">
        <v>14</v>
      </c>
      <c r="C873" s="1">
        <v>46047.999988425923</v>
      </c>
      <c r="D873">
        <v>25.155780241920802</v>
      </c>
      <c r="E873">
        <v>351426.71342645801</v>
      </c>
      <c r="F873" s="1">
        <v>46047.606307870374</v>
      </c>
      <c r="G873">
        <v>52.873819572515004</v>
      </c>
      <c r="H873" t="s">
        <v>20</v>
      </c>
      <c r="J873" t="s">
        <v>16</v>
      </c>
      <c r="K873">
        <v>689407.18733078905</v>
      </c>
      <c r="L873" t="s">
        <v>17</v>
      </c>
      <c r="M873">
        <v>0</v>
      </c>
      <c r="N873">
        <v>0.509752030272694</v>
      </c>
    </row>
    <row r="874" spans="2:14" x14ac:dyDescent="0.25">
      <c r="B874" t="s">
        <v>14</v>
      </c>
      <c r="C874" s="1">
        <v>46046.999988425923</v>
      </c>
      <c r="D874">
        <v>25.155780241920802</v>
      </c>
      <c r="E874">
        <v>254805.56819031399</v>
      </c>
      <c r="F874" s="1">
        <v>46041.605486111112</v>
      </c>
      <c r="G874">
        <v>52.873819572515004</v>
      </c>
      <c r="H874" t="s">
        <v>20</v>
      </c>
      <c r="J874" t="s">
        <v>16</v>
      </c>
      <c r="K874">
        <v>689407.18733078905</v>
      </c>
      <c r="L874" t="s">
        <v>17</v>
      </c>
      <c r="M874">
        <v>-96621.145236144002</v>
      </c>
      <c r="N874">
        <v>0.36960097439200801</v>
      </c>
    </row>
    <row r="875" spans="2:14" x14ac:dyDescent="0.25">
      <c r="B875" t="s">
        <v>14</v>
      </c>
      <c r="C875" s="1">
        <v>46045.999988425923</v>
      </c>
      <c r="D875">
        <v>25.155780241920802</v>
      </c>
      <c r="E875">
        <v>254805.56819031399</v>
      </c>
      <c r="F875" s="1">
        <v>46041.605486111112</v>
      </c>
      <c r="G875">
        <v>52.873819572515004</v>
      </c>
      <c r="H875" t="s">
        <v>20</v>
      </c>
      <c r="J875" t="s">
        <v>16</v>
      </c>
      <c r="K875">
        <v>689407.18733078905</v>
      </c>
      <c r="L875" t="s">
        <v>17</v>
      </c>
      <c r="M875">
        <v>0</v>
      </c>
      <c r="N875">
        <v>0.36960097439200801</v>
      </c>
    </row>
    <row r="876" spans="2:14" x14ac:dyDescent="0.25">
      <c r="B876" t="s">
        <v>14</v>
      </c>
      <c r="C876" s="1">
        <v>46044.999988425923</v>
      </c>
      <c r="D876">
        <v>25.155780241920802</v>
      </c>
      <c r="E876">
        <v>254805.56819031399</v>
      </c>
      <c r="F876" s="1">
        <v>46041.605486111112</v>
      </c>
      <c r="G876">
        <v>52.873819572515004</v>
      </c>
      <c r="H876" t="s">
        <v>20</v>
      </c>
      <c r="J876" t="s">
        <v>16</v>
      </c>
      <c r="K876">
        <v>689407.18733078905</v>
      </c>
      <c r="L876" t="s">
        <v>17</v>
      </c>
      <c r="M876">
        <v>0</v>
      </c>
      <c r="N876">
        <v>0.36960097439200801</v>
      </c>
    </row>
    <row r="877" spans="2:14" x14ac:dyDescent="0.25">
      <c r="B877" t="s">
        <v>14</v>
      </c>
      <c r="C877" s="1">
        <v>46043.999988425923</v>
      </c>
      <c r="D877">
        <v>25.155780241920802</v>
      </c>
      <c r="E877">
        <v>254805.56819031399</v>
      </c>
      <c r="F877" s="1">
        <v>46041.605486111112</v>
      </c>
      <c r="G877">
        <v>52.873819572515004</v>
      </c>
      <c r="H877" t="s">
        <v>20</v>
      </c>
      <c r="J877" t="s">
        <v>16</v>
      </c>
      <c r="K877">
        <v>689407.18733078905</v>
      </c>
      <c r="L877" t="s">
        <v>17</v>
      </c>
      <c r="M877">
        <v>0</v>
      </c>
      <c r="N877">
        <v>0.36960097439200801</v>
      </c>
    </row>
    <row r="878" spans="2:14" x14ac:dyDescent="0.25">
      <c r="B878" t="s">
        <v>14</v>
      </c>
      <c r="C878" s="1">
        <v>46042.999988425923</v>
      </c>
      <c r="D878">
        <v>25.155780241920802</v>
      </c>
      <c r="E878">
        <v>254805.56819031399</v>
      </c>
      <c r="F878" s="1">
        <v>46041.605486111112</v>
      </c>
      <c r="G878">
        <v>52.873819572515004</v>
      </c>
      <c r="H878" t="s">
        <v>20</v>
      </c>
      <c r="J878" t="s">
        <v>16</v>
      </c>
      <c r="K878">
        <v>689407.18733078905</v>
      </c>
      <c r="L878" t="s">
        <v>17</v>
      </c>
      <c r="M878">
        <v>0</v>
      </c>
      <c r="N878">
        <v>0.36960097439200801</v>
      </c>
    </row>
    <row r="879" spans="2:14" x14ac:dyDescent="0.25">
      <c r="B879" t="s">
        <v>14</v>
      </c>
      <c r="C879" s="1">
        <v>46041.999988425923</v>
      </c>
      <c r="D879">
        <v>25.155780241920802</v>
      </c>
      <c r="E879">
        <v>254805.56819031399</v>
      </c>
      <c r="F879" s="1">
        <v>46041.605486111112</v>
      </c>
      <c r="G879">
        <v>52.873819572515004</v>
      </c>
      <c r="H879" t="s">
        <v>20</v>
      </c>
      <c r="J879" t="s">
        <v>16</v>
      </c>
      <c r="K879">
        <v>689407.18733078905</v>
      </c>
      <c r="L879" t="s">
        <v>17</v>
      </c>
      <c r="M879">
        <v>0</v>
      </c>
      <c r="N879">
        <v>0.36960097439200801</v>
      </c>
    </row>
    <row r="880" spans="2:14" x14ac:dyDescent="0.25">
      <c r="B880" t="s">
        <v>14</v>
      </c>
      <c r="C880" s="1">
        <v>46040.999988425923</v>
      </c>
      <c r="D880">
        <v>25.155780241920802</v>
      </c>
      <c r="E880">
        <v>348472.75254530099</v>
      </c>
      <c r="F880" s="1">
        <v>46038.099826388891</v>
      </c>
      <c r="G880">
        <v>52.873819572515004</v>
      </c>
      <c r="H880" t="s">
        <v>20</v>
      </c>
      <c r="J880" t="s">
        <v>16</v>
      </c>
      <c r="K880">
        <v>689407.18733078905</v>
      </c>
      <c r="L880" t="s">
        <v>17</v>
      </c>
      <c r="M880">
        <v>93667.184354987199</v>
      </c>
      <c r="N880">
        <v>0.50546724627937101</v>
      </c>
    </row>
    <row r="881" spans="2:14" x14ac:dyDescent="0.25">
      <c r="B881" t="s">
        <v>14</v>
      </c>
      <c r="C881" s="1">
        <v>46039.999988425923</v>
      </c>
      <c r="D881">
        <v>25.155780241920802</v>
      </c>
      <c r="E881">
        <v>348472.75254530099</v>
      </c>
      <c r="F881" s="1">
        <v>46038.099826388891</v>
      </c>
      <c r="G881">
        <v>52.873819572515004</v>
      </c>
      <c r="H881" t="s">
        <v>20</v>
      </c>
      <c r="J881" t="s">
        <v>16</v>
      </c>
      <c r="K881">
        <v>689407.18733078905</v>
      </c>
      <c r="L881" t="s">
        <v>17</v>
      </c>
      <c r="M881">
        <v>0</v>
      </c>
      <c r="N881">
        <v>0.50546724627937101</v>
      </c>
    </row>
    <row r="882" spans="2:14" x14ac:dyDescent="0.25">
      <c r="B882" t="s">
        <v>14</v>
      </c>
      <c r="C882" s="1">
        <v>46038.999988425923</v>
      </c>
      <c r="D882">
        <v>25.155780241920802</v>
      </c>
      <c r="E882">
        <v>348472.75254530099</v>
      </c>
      <c r="F882" s="1">
        <v>46038.099826388891</v>
      </c>
      <c r="G882">
        <v>52.873819572515004</v>
      </c>
      <c r="H882" t="s">
        <v>20</v>
      </c>
      <c r="J882" t="s">
        <v>16</v>
      </c>
      <c r="K882">
        <v>689407.18733078905</v>
      </c>
      <c r="L882" t="s">
        <v>17</v>
      </c>
      <c r="M882">
        <v>0</v>
      </c>
      <c r="N882">
        <v>0.50546724627937101</v>
      </c>
    </row>
    <row r="883" spans="2:14" x14ac:dyDescent="0.25">
      <c r="B883" t="s">
        <v>14</v>
      </c>
      <c r="C883" s="1">
        <v>46037.999988425923</v>
      </c>
      <c r="D883">
        <v>25.155780241920802</v>
      </c>
      <c r="E883">
        <v>88011.980212919298</v>
      </c>
      <c r="F883" s="1">
        <v>46035.606319444443</v>
      </c>
      <c r="G883">
        <v>52.873819572515004</v>
      </c>
      <c r="H883" t="s">
        <v>20</v>
      </c>
      <c r="J883" t="s">
        <v>16</v>
      </c>
      <c r="K883">
        <v>689407.18733078905</v>
      </c>
      <c r="L883" t="s">
        <v>17</v>
      </c>
      <c r="M883">
        <v>-260460.77233238099</v>
      </c>
      <c r="N883">
        <v>0.12766327626156501</v>
      </c>
    </row>
    <row r="884" spans="2:14" x14ac:dyDescent="0.25">
      <c r="B884" t="s">
        <v>14</v>
      </c>
      <c r="C884" s="1">
        <v>46036.999988425923</v>
      </c>
      <c r="D884">
        <v>25.155780241920802</v>
      </c>
      <c r="E884">
        <v>88011.980212919298</v>
      </c>
      <c r="F884" s="1">
        <v>46035.606319444443</v>
      </c>
      <c r="G884">
        <v>52.873819572515004</v>
      </c>
      <c r="H884" t="s">
        <v>20</v>
      </c>
      <c r="J884" t="s">
        <v>16</v>
      </c>
      <c r="K884">
        <v>689407.18733078905</v>
      </c>
      <c r="L884" t="s">
        <v>17</v>
      </c>
      <c r="M884">
        <v>0</v>
      </c>
      <c r="N884">
        <v>0.12766327626156501</v>
      </c>
    </row>
    <row r="885" spans="2:14" x14ac:dyDescent="0.25">
      <c r="B885" t="s">
        <v>14</v>
      </c>
      <c r="C885" s="1">
        <v>46035.999988425923</v>
      </c>
      <c r="D885">
        <v>25.155780241920802</v>
      </c>
      <c r="E885">
        <v>88011.980212919298</v>
      </c>
      <c r="F885" s="1">
        <v>46035.606319444443</v>
      </c>
      <c r="G885">
        <v>52.873819572515004</v>
      </c>
      <c r="H885" t="s">
        <v>20</v>
      </c>
      <c r="J885" t="s">
        <v>16</v>
      </c>
      <c r="K885">
        <v>689407.18733078905</v>
      </c>
      <c r="L885" t="s">
        <v>17</v>
      </c>
      <c r="M885">
        <v>0</v>
      </c>
      <c r="N885">
        <v>0.12766327626156501</v>
      </c>
    </row>
    <row r="886" spans="2:14" x14ac:dyDescent="0.25">
      <c r="B886" t="s">
        <v>14</v>
      </c>
      <c r="C886" s="1">
        <v>46034.999988425923</v>
      </c>
      <c r="D886">
        <v>25.155780241920802</v>
      </c>
      <c r="E886">
        <v>50622.958076595198</v>
      </c>
      <c r="F886" s="1">
        <v>46032.099108796298</v>
      </c>
      <c r="G886">
        <v>52.873819572515004</v>
      </c>
      <c r="H886" t="s">
        <v>20</v>
      </c>
      <c r="J886" t="s">
        <v>16</v>
      </c>
      <c r="K886">
        <v>689407.18733078905</v>
      </c>
      <c r="L886" t="s">
        <v>17</v>
      </c>
      <c r="M886">
        <v>-37389.022136323998</v>
      </c>
      <c r="N886">
        <v>7.3429692940386204E-2</v>
      </c>
    </row>
    <row r="887" spans="2:14" x14ac:dyDescent="0.25">
      <c r="B887" t="s">
        <v>14</v>
      </c>
      <c r="C887" s="1">
        <v>46033.999988425923</v>
      </c>
      <c r="D887">
        <v>25.155780241920802</v>
      </c>
      <c r="E887">
        <v>50622.958076595198</v>
      </c>
      <c r="F887" s="1">
        <v>46032.099108796298</v>
      </c>
      <c r="G887">
        <v>52.873819572515004</v>
      </c>
      <c r="H887" t="s">
        <v>20</v>
      </c>
      <c r="J887" t="s">
        <v>16</v>
      </c>
      <c r="K887">
        <v>689407.18733078905</v>
      </c>
      <c r="L887" t="s">
        <v>17</v>
      </c>
      <c r="M887">
        <v>0</v>
      </c>
      <c r="N887">
        <v>7.3429692940386204E-2</v>
      </c>
    </row>
    <row r="888" spans="2:14" x14ac:dyDescent="0.25">
      <c r="B888" t="s">
        <v>14</v>
      </c>
      <c r="C888" s="1">
        <v>46032.999988425923</v>
      </c>
      <c r="D888">
        <v>25.155780241920802</v>
      </c>
      <c r="E888">
        <v>50622.958076595198</v>
      </c>
      <c r="F888" s="1">
        <v>46032.099108796298</v>
      </c>
      <c r="G888">
        <v>52.873819572515004</v>
      </c>
      <c r="H888" t="s">
        <v>20</v>
      </c>
      <c r="J888" t="s">
        <v>16</v>
      </c>
      <c r="K888">
        <v>689407.18733078905</v>
      </c>
      <c r="L888" t="s">
        <v>17</v>
      </c>
      <c r="M888">
        <v>0</v>
      </c>
      <c r="N888">
        <v>7.3429692940386204E-2</v>
      </c>
    </row>
    <row r="889" spans="2:14" x14ac:dyDescent="0.25">
      <c r="B889" t="s">
        <v>14</v>
      </c>
      <c r="C889" s="1">
        <v>46031.999988425923</v>
      </c>
      <c r="D889">
        <v>25.155780241920802</v>
      </c>
      <c r="E889">
        <v>537860.36213087302</v>
      </c>
      <c r="F889" s="1">
        <v>46029.605486111112</v>
      </c>
      <c r="G889">
        <v>52.873819572515004</v>
      </c>
      <c r="H889" t="s">
        <v>20</v>
      </c>
      <c r="J889" t="s">
        <v>16</v>
      </c>
      <c r="K889">
        <v>689407.18733078905</v>
      </c>
      <c r="L889" t="s">
        <v>17</v>
      </c>
      <c r="M889">
        <v>487237.40405427798</v>
      </c>
      <c r="N889">
        <v>0.78017806024525604</v>
      </c>
    </row>
    <row r="890" spans="2:14" x14ac:dyDescent="0.25">
      <c r="B890" t="s">
        <v>14</v>
      </c>
      <c r="C890" s="1">
        <v>46030.999988425923</v>
      </c>
      <c r="D890">
        <v>25.155780241920802</v>
      </c>
      <c r="E890">
        <v>537860.36213087302</v>
      </c>
      <c r="F890" s="1">
        <v>46029.605486111112</v>
      </c>
      <c r="G890">
        <v>52.873819572515004</v>
      </c>
      <c r="H890" t="s">
        <v>20</v>
      </c>
      <c r="J890" t="s">
        <v>16</v>
      </c>
      <c r="K890">
        <v>689407.18733078905</v>
      </c>
      <c r="L890" t="s">
        <v>17</v>
      </c>
      <c r="M890">
        <v>0</v>
      </c>
      <c r="N890">
        <v>0.78017806024525604</v>
      </c>
    </row>
    <row r="891" spans="2:14" x14ac:dyDescent="0.25">
      <c r="B891" t="s">
        <v>14</v>
      </c>
      <c r="C891" s="1">
        <v>46029.999988425923</v>
      </c>
      <c r="D891">
        <v>25.155780241920802</v>
      </c>
      <c r="E891">
        <v>537860.36213087302</v>
      </c>
      <c r="F891" s="1">
        <v>46029.605486111112</v>
      </c>
      <c r="G891">
        <v>52.873819572515004</v>
      </c>
      <c r="H891" t="s">
        <v>20</v>
      </c>
      <c r="J891" t="s">
        <v>16</v>
      </c>
      <c r="K891">
        <v>689407.18733078905</v>
      </c>
      <c r="L891" t="s">
        <v>17</v>
      </c>
      <c r="M891">
        <v>0</v>
      </c>
      <c r="N891">
        <v>0.78017806024525604</v>
      </c>
    </row>
    <row r="892" spans="2:14" x14ac:dyDescent="0.25">
      <c r="B892" t="s">
        <v>14</v>
      </c>
      <c r="C892" s="1">
        <v>46028.999988425923</v>
      </c>
      <c r="D892">
        <v>25.155780241920802</v>
      </c>
      <c r="E892">
        <v>689407.18733078905</v>
      </c>
      <c r="F892" s="1">
        <v>46026.09983796296</v>
      </c>
      <c r="G892">
        <v>52.873819572515004</v>
      </c>
      <c r="H892" t="s">
        <v>20</v>
      </c>
      <c r="J892" t="s">
        <v>16</v>
      </c>
      <c r="K892">
        <v>689407.18733078905</v>
      </c>
      <c r="L892" t="s">
        <v>17</v>
      </c>
      <c r="M892">
        <v>151546.825199916</v>
      </c>
      <c r="N892">
        <v>1</v>
      </c>
    </row>
    <row r="893" spans="2:14" x14ac:dyDescent="0.25">
      <c r="B893" t="s">
        <v>14</v>
      </c>
      <c r="C893" s="1">
        <v>46027.999988425923</v>
      </c>
      <c r="D893">
        <v>25.155780241920802</v>
      </c>
      <c r="E893">
        <v>689407.18733078905</v>
      </c>
      <c r="F893" s="1">
        <v>46026.09983796296</v>
      </c>
      <c r="G893">
        <v>52.873819572515004</v>
      </c>
      <c r="H893" t="s">
        <v>20</v>
      </c>
      <c r="J893" t="s">
        <v>16</v>
      </c>
      <c r="K893">
        <v>689407.18733078905</v>
      </c>
      <c r="L893" t="s">
        <v>17</v>
      </c>
      <c r="M893">
        <v>0</v>
      </c>
      <c r="N893">
        <v>1</v>
      </c>
    </row>
    <row r="894" spans="2:14" x14ac:dyDescent="0.25">
      <c r="B894" t="s">
        <v>14</v>
      </c>
      <c r="C894" s="1">
        <v>46026.999988425923</v>
      </c>
      <c r="D894">
        <v>25.155780241920802</v>
      </c>
      <c r="E894">
        <v>689407.18733078905</v>
      </c>
      <c r="F894" s="1">
        <v>46026.09983796296</v>
      </c>
      <c r="G894">
        <v>52.873819572515004</v>
      </c>
      <c r="H894" t="s">
        <v>20</v>
      </c>
      <c r="J894" t="s">
        <v>16</v>
      </c>
      <c r="K894">
        <v>689407.18733078905</v>
      </c>
      <c r="L894" t="s">
        <v>17</v>
      </c>
      <c r="M894">
        <v>0</v>
      </c>
      <c r="N894">
        <v>1</v>
      </c>
    </row>
    <row r="895" spans="2:14" x14ac:dyDescent="0.25">
      <c r="B895" t="s">
        <v>14</v>
      </c>
      <c r="C895" s="1">
        <v>46025.999988425923</v>
      </c>
      <c r="D895">
        <v>25.155780241920802</v>
      </c>
      <c r="E895">
        <v>126349.284445068</v>
      </c>
      <c r="F895" s="1">
        <v>46023.60633101852</v>
      </c>
      <c r="G895">
        <v>52.873819572515004</v>
      </c>
      <c r="H895" t="s">
        <v>20</v>
      </c>
      <c r="J895" t="s">
        <v>16</v>
      </c>
      <c r="K895">
        <v>689407.18733078905</v>
      </c>
      <c r="L895" t="s">
        <v>17</v>
      </c>
      <c r="M895">
        <v>-563057.90288572095</v>
      </c>
      <c r="N895">
        <v>0.18327236322304799</v>
      </c>
    </row>
    <row r="896" spans="2:14" x14ac:dyDescent="0.25">
      <c r="B896" t="s">
        <v>14</v>
      </c>
      <c r="C896" s="1">
        <v>46024.999988425923</v>
      </c>
      <c r="D896">
        <v>25.155780241920802</v>
      </c>
      <c r="E896">
        <v>126349.284445068</v>
      </c>
      <c r="F896" s="1">
        <v>46023.60633101852</v>
      </c>
      <c r="G896">
        <v>52.873819572515004</v>
      </c>
      <c r="H896" t="s">
        <v>20</v>
      </c>
      <c r="J896" t="s">
        <v>16</v>
      </c>
      <c r="K896">
        <v>689407.18733078905</v>
      </c>
      <c r="L896" t="s">
        <v>17</v>
      </c>
      <c r="M896">
        <v>0</v>
      </c>
      <c r="N896">
        <v>0.18327236322304799</v>
      </c>
    </row>
    <row r="897" spans="1:14" x14ac:dyDescent="0.25">
      <c r="B897" t="s">
        <v>14</v>
      </c>
      <c r="C897" s="1">
        <v>46023.999988425923</v>
      </c>
      <c r="D897">
        <v>25.155780241920802</v>
      </c>
      <c r="E897">
        <v>126349.284445068</v>
      </c>
      <c r="F897" s="1">
        <v>46023.60633101852</v>
      </c>
      <c r="G897">
        <v>52.873819572515004</v>
      </c>
      <c r="H897" t="s">
        <v>20</v>
      </c>
      <c r="J897" t="s">
        <v>16</v>
      </c>
      <c r="K897">
        <v>689407.18733078905</v>
      </c>
      <c r="L897" t="s">
        <v>17</v>
      </c>
      <c r="M897">
        <v>0</v>
      </c>
      <c r="N897">
        <v>0.18327236322304799</v>
      </c>
    </row>
    <row r="898" spans="1:14" x14ac:dyDescent="0.25">
      <c r="A898">
        <v>43864</v>
      </c>
      <c r="B898" t="s">
        <v>14</v>
      </c>
      <c r="C898" s="1">
        <v>46246.999988425923</v>
      </c>
      <c r="D898">
        <v>25.155888680301398</v>
      </c>
      <c r="E898">
        <v>0</v>
      </c>
      <c r="F898" s="1">
        <v>43863.606249999997</v>
      </c>
      <c r="G898">
        <v>52.872942191952099</v>
      </c>
      <c r="H898" t="s">
        <v>21</v>
      </c>
      <c r="J898" t="s">
        <v>16</v>
      </c>
      <c r="K898">
        <v>0</v>
      </c>
      <c r="L898" t="s">
        <v>17</v>
      </c>
      <c r="M898">
        <v>0</v>
      </c>
      <c r="N898">
        <v>0</v>
      </c>
    </row>
    <row r="899" spans="1:14" x14ac:dyDescent="0.25">
      <c r="A899">
        <v>43864</v>
      </c>
      <c r="B899" t="s">
        <v>14</v>
      </c>
      <c r="C899" s="1">
        <v>46245.999988425923</v>
      </c>
      <c r="D899">
        <v>25.155888680301398</v>
      </c>
      <c r="E899">
        <v>0</v>
      </c>
      <c r="F899" s="1">
        <v>43863.606249999997</v>
      </c>
      <c r="G899">
        <v>52.872942191952099</v>
      </c>
      <c r="H899" t="s">
        <v>21</v>
      </c>
      <c r="J899" t="s">
        <v>16</v>
      </c>
      <c r="K899">
        <v>0</v>
      </c>
      <c r="L899" t="s">
        <v>17</v>
      </c>
      <c r="M899">
        <v>0</v>
      </c>
      <c r="N899">
        <v>0</v>
      </c>
    </row>
    <row r="900" spans="1:14" x14ac:dyDescent="0.25">
      <c r="A900">
        <v>43864</v>
      </c>
      <c r="B900" t="s">
        <v>14</v>
      </c>
      <c r="C900" s="1">
        <v>46244.999988425923</v>
      </c>
      <c r="D900">
        <v>25.155888680301398</v>
      </c>
      <c r="E900">
        <v>0</v>
      </c>
      <c r="F900" s="1">
        <v>43863.606249999997</v>
      </c>
      <c r="G900">
        <v>52.872942191952099</v>
      </c>
      <c r="H900" t="s">
        <v>21</v>
      </c>
      <c r="J900" t="s">
        <v>16</v>
      </c>
      <c r="K900">
        <v>0</v>
      </c>
      <c r="L900" t="s">
        <v>17</v>
      </c>
      <c r="M900">
        <v>0</v>
      </c>
      <c r="N900">
        <v>0</v>
      </c>
    </row>
    <row r="901" spans="1:14" x14ac:dyDescent="0.25">
      <c r="A901">
        <v>43864</v>
      </c>
      <c r="B901" t="s">
        <v>14</v>
      </c>
      <c r="C901" s="1">
        <v>46243.999988425923</v>
      </c>
      <c r="D901">
        <v>25.155888680301398</v>
      </c>
      <c r="E901">
        <v>0</v>
      </c>
      <c r="F901" s="1">
        <v>43863.606249999997</v>
      </c>
      <c r="G901">
        <v>52.872942191952099</v>
      </c>
      <c r="H901" t="s">
        <v>21</v>
      </c>
      <c r="J901" t="s">
        <v>16</v>
      </c>
      <c r="K901">
        <v>0</v>
      </c>
      <c r="L901" t="s">
        <v>17</v>
      </c>
      <c r="M901">
        <v>0</v>
      </c>
      <c r="N901">
        <v>0</v>
      </c>
    </row>
    <row r="902" spans="1:14" x14ac:dyDescent="0.25">
      <c r="A902">
        <v>43864</v>
      </c>
      <c r="B902" t="s">
        <v>14</v>
      </c>
      <c r="C902" s="1">
        <v>46242.999988425923</v>
      </c>
      <c r="D902">
        <v>25.155888680301398</v>
      </c>
      <c r="E902">
        <v>0</v>
      </c>
      <c r="F902" s="1">
        <v>43863.606249999997</v>
      </c>
      <c r="G902">
        <v>52.872942191952099</v>
      </c>
      <c r="H902" t="s">
        <v>21</v>
      </c>
      <c r="J902" t="s">
        <v>16</v>
      </c>
      <c r="K902">
        <v>0</v>
      </c>
      <c r="L902" t="s">
        <v>17</v>
      </c>
      <c r="M902">
        <v>0</v>
      </c>
      <c r="N902">
        <v>0</v>
      </c>
    </row>
    <row r="903" spans="1:14" x14ac:dyDescent="0.25">
      <c r="A903">
        <v>43864</v>
      </c>
      <c r="B903" t="s">
        <v>14</v>
      </c>
      <c r="C903" s="1">
        <v>46241.999988425923</v>
      </c>
      <c r="D903">
        <v>25.155888680301398</v>
      </c>
      <c r="E903">
        <v>0</v>
      </c>
      <c r="F903" s="1">
        <v>43863.606249999997</v>
      </c>
      <c r="G903">
        <v>52.872942191952099</v>
      </c>
      <c r="H903" t="s">
        <v>21</v>
      </c>
      <c r="J903" t="s">
        <v>16</v>
      </c>
      <c r="K903">
        <v>0</v>
      </c>
      <c r="L903" t="s">
        <v>17</v>
      </c>
      <c r="M903">
        <v>0</v>
      </c>
      <c r="N903">
        <v>0</v>
      </c>
    </row>
    <row r="904" spans="1:14" x14ac:dyDescent="0.25">
      <c r="A904">
        <v>43864</v>
      </c>
      <c r="B904" t="s">
        <v>14</v>
      </c>
      <c r="C904" s="1">
        <v>46240.999988425923</v>
      </c>
      <c r="D904">
        <v>25.155888680301398</v>
      </c>
      <c r="E904">
        <v>0</v>
      </c>
      <c r="F904" s="1">
        <v>43863.606249999997</v>
      </c>
      <c r="G904">
        <v>52.872942191952099</v>
      </c>
      <c r="H904" t="s">
        <v>21</v>
      </c>
      <c r="J904" t="s">
        <v>16</v>
      </c>
      <c r="K904">
        <v>0</v>
      </c>
      <c r="L904" t="s">
        <v>17</v>
      </c>
      <c r="M904">
        <v>0</v>
      </c>
      <c r="N904">
        <v>0</v>
      </c>
    </row>
    <row r="905" spans="1:14" x14ac:dyDescent="0.25">
      <c r="A905">
        <v>43864</v>
      </c>
      <c r="B905" t="s">
        <v>14</v>
      </c>
      <c r="C905" s="1">
        <v>46239.999988425923</v>
      </c>
      <c r="D905">
        <v>25.155888680301398</v>
      </c>
      <c r="E905">
        <v>0</v>
      </c>
      <c r="F905" s="1">
        <v>43863.606249999997</v>
      </c>
      <c r="G905">
        <v>52.872942191952099</v>
      </c>
      <c r="H905" t="s">
        <v>21</v>
      </c>
      <c r="J905" t="s">
        <v>16</v>
      </c>
      <c r="K905">
        <v>0</v>
      </c>
      <c r="L905" t="s">
        <v>17</v>
      </c>
      <c r="M905">
        <v>0</v>
      </c>
      <c r="N905">
        <v>0</v>
      </c>
    </row>
    <row r="906" spans="1:14" x14ac:dyDescent="0.25">
      <c r="A906">
        <v>43864</v>
      </c>
      <c r="B906" t="s">
        <v>14</v>
      </c>
      <c r="C906" s="1">
        <v>46238.999988425923</v>
      </c>
      <c r="D906">
        <v>25.155888680301398</v>
      </c>
      <c r="E906">
        <v>0</v>
      </c>
      <c r="F906" s="1">
        <v>43863.606249999997</v>
      </c>
      <c r="G906">
        <v>52.872942191952099</v>
      </c>
      <c r="H906" t="s">
        <v>21</v>
      </c>
      <c r="J906" t="s">
        <v>16</v>
      </c>
      <c r="K906">
        <v>0</v>
      </c>
      <c r="L906" t="s">
        <v>17</v>
      </c>
      <c r="M906">
        <v>0</v>
      </c>
      <c r="N906">
        <v>0</v>
      </c>
    </row>
    <row r="907" spans="1:14" x14ac:dyDescent="0.25">
      <c r="A907">
        <v>43864</v>
      </c>
      <c r="B907" t="s">
        <v>14</v>
      </c>
      <c r="C907" s="1">
        <v>46237.999988425923</v>
      </c>
      <c r="D907">
        <v>25.155888680301398</v>
      </c>
      <c r="E907">
        <v>0</v>
      </c>
      <c r="F907" s="1">
        <v>43863.606249999997</v>
      </c>
      <c r="G907">
        <v>52.872942191952099</v>
      </c>
      <c r="H907" t="s">
        <v>21</v>
      </c>
      <c r="J907" t="s">
        <v>16</v>
      </c>
      <c r="K907">
        <v>0</v>
      </c>
      <c r="L907" t="s">
        <v>17</v>
      </c>
      <c r="M907">
        <v>0</v>
      </c>
      <c r="N907">
        <v>0</v>
      </c>
    </row>
    <row r="908" spans="1:14" x14ac:dyDescent="0.25">
      <c r="A908">
        <v>43864</v>
      </c>
      <c r="B908" t="s">
        <v>14</v>
      </c>
      <c r="C908" s="1">
        <v>46236.999988425923</v>
      </c>
      <c r="D908">
        <v>25.155888680301398</v>
      </c>
      <c r="E908">
        <v>0</v>
      </c>
      <c r="F908" s="1">
        <v>43863.606249999997</v>
      </c>
      <c r="G908">
        <v>52.872942191952099</v>
      </c>
      <c r="H908" t="s">
        <v>21</v>
      </c>
      <c r="J908" t="s">
        <v>16</v>
      </c>
      <c r="K908">
        <v>0</v>
      </c>
      <c r="L908" t="s">
        <v>17</v>
      </c>
      <c r="M908">
        <v>0</v>
      </c>
      <c r="N908">
        <v>0</v>
      </c>
    </row>
    <row r="909" spans="1:14" x14ac:dyDescent="0.25">
      <c r="A909">
        <v>43864</v>
      </c>
      <c r="B909" t="s">
        <v>14</v>
      </c>
      <c r="C909" s="1">
        <v>46235.999988425923</v>
      </c>
      <c r="D909">
        <v>25.155888680301398</v>
      </c>
      <c r="E909">
        <v>0</v>
      </c>
      <c r="F909" s="1">
        <v>43863.606249999997</v>
      </c>
      <c r="G909">
        <v>52.872942191952099</v>
      </c>
      <c r="H909" t="s">
        <v>21</v>
      </c>
      <c r="J909" t="s">
        <v>16</v>
      </c>
      <c r="K909">
        <v>0</v>
      </c>
      <c r="L909" t="s">
        <v>17</v>
      </c>
      <c r="M909">
        <v>0</v>
      </c>
      <c r="N909">
        <v>0</v>
      </c>
    </row>
    <row r="910" spans="1:14" x14ac:dyDescent="0.25">
      <c r="A910">
        <v>43864</v>
      </c>
      <c r="B910" t="s">
        <v>14</v>
      </c>
      <c r="C910" s="1">
        <v>46234.999988425923</v>
      </c>
      <c r="D910">
        <v>25.155888680301398</v>
      </c>
      <c r="E910">
        <v>0</v>
      </c>
      <c r="F910" s="1">
        <v>43863.606249999997</v>
      </c>
      <c r="G910">
        <v>52.872942191952099</v>
      </c>
      <c r="H910" t="s">
        <v>21</v>
      </c>
      <c r="J910" t="s">
        <v>16</v>
      </c>
      <c r="K910">
        <v>0</v>
      </c>
      <c r="L910" t="s">
        <v>17</v>
      </c>
      <c r="M910">
        <v>0</v>
      </c>
      <c r="N910">
        <v>0</v>
      </c>
    </row>
    <row r="911" spans="1:14" x14ac:dyDescent="0.25">
      <c r="A911">
        <v>43864</v>
      </c>
      <c r="B911" t="s">
        <v>14</v>
      </c>
      <c r="C911" s="1">
        <v>46233.999988425923</v>
      </c>
      <c r="D911">
        <v>25.155888680301398</v>
      </c>
      <c r="E911">
        <v>0</v>
      </c>
      <c r="F911" s="1">
        <v>43863.606249999997</v>
      </c>
      <c r="G911">
        <v>52.872942191952099</v>
      </c>
      <c r="H911" t="s">
        <v>21</v>
      </c>
      <c r="J911" t="s">
        <v>16</v>
      </c>
      <c r="K911">
        <v>0</v>
      </c>
      <c r="L911" t="s">
        <v>17</v>
      </c>
      <c r="M911">
        <v>0</v>
      </c>
      <c r="N911">
        <v>0</v>
      </c>
    </row>
    <row r="912" spans="1:14" x14ac:dyDescent="0.25">
      <c r="A912">
        <v>43864</v>
      </c>
      <c r="B912" t="s">
        <v>14</v>
      </c>
      <c r="C912" s="1">
        <v>46232.999988425923</v>
      </c>
      <c r="D912">
        <v>25.155888680301398</v>
      </c>
      <c r="E912">
        <v>0</v>
      </c>
      <c r="F912" s="1">
        <v>43863.606249999997</v>
      </c>
      <c r="G912">
        <v>52.872942191952099</v>
      </c>
      <c r="H912" t="s">
        <v>21</v>
      </c>
      <c r="J912" t="s">
        <v>16</v>
      </c>
      <c r="K912">
        <v>0</v>
      </c>
      <c r="L912" t="s">
        <v>17</v>
      </c>
      <c r="M912">
        <v>0</v>
      </c>
      <c r="N912">
        <v>0</v>
      </c>
    </row>
    <row r="913" spans="1:14" x14ac:dyDescent="0.25">
      <c r="A913">
        <v>43864</v>
      </c>
      <c r="B913" t="s">
        <v>14</v>
      </c>
      <c r="C913" s="1">
        <v>46231.999988425923</v>
      </c>
      <c r="D913">
        <v>25.155888680301398</v>
      </c>
      <c r="E913">
        <v>0</v>
      </c>
      <c r="F913" s="1">
        <v>43863.606249999997</v>
      </c>
      <c r="G913">
        <v>52.872942191952099</v>
      </c>
      <c r="H913" t="s">
        <v>21</v>
      </c>
      <c r="J913" t="s">
        <v>16</v>
      </c>
      <c r="K913">
        <v>0</v>
      </c>
      <c r="L913" t="s">
        <v>17</v>
      </c>
      <c r="M913">
        <v>0</v>
      </c>
      <c r="N913">
        <v>0</v>
      </c>
    </row>
    <row r="914" spans="1:14" x14ac:dyDescent="0.25">
      <c r="A914">
        <v>43864</v>
      </c>
      <c r="B914" t="s">
        <v>14</v>
      </c>
      <c r="C914" s="1">
        <v>46230.999988425923</v>
      </c>
      <c r="D914">
        <v>25.155888680301398</v>
      </c>
      <c r="E914">
        <v>0</v>
      </c>
      <c r="F914" s="1">
        <v>43863.606249999997</v>
      </c>
      <c r="G914">
        <v>52.872942191952099</v>
      </c>
      <c r="H914" t="s">
        <v>21</v>
      </c>
      <c r="J914" t="s">
        <v>16</v>
      </c>
      <c r="K914">
        <v>0</v>
      </c>
      <c r="L914" t="s">
        <v>17</v>
      </c>
      <c r="M914">
        <v>0</v>
      </c>
      <c r="N914">
        <v>0</v>
      </c>
    </row>
    <row r="915" spans="1:14" x14ac:dyDescent="0.25">
      <c r="A915">
        <v>43864</v>
      </c>
      <c r="B915" t="s">
        <v>14</v>
      </c>
      <c r="C915" s="1">
        <v>46229.999988425923</v>
      </c>
      <c r="D915">
        <v>25.155888680301398</v>
      </c>
      <c r="E915">
        <v>0</v>
      </c>
      <c r="F915" s="1">
        <v>43863.606249999997</v>
      </c>
      <c r="G915">
        <v>52.872942191952099</v>
      </c>
      <c r="H915" t="s">
        <v>21</v>
      </c>
      <c r="J915" t="s">
        <v>16</v>
      </c>
      <c r="K915">
        <v>0</v>
      </c>
      <c r="L915" t="s">
        <v>17</v>
      </c>
      <c r="M915">
        <v>0</v>
      </c>
      <c r="N915">
        <v>0</v>
      </c>
    </row>
    <row r="916" spans="1:14" x14ac:dyDescent="0.25">
      <c r="A916">
        <v>43864</v>
      </c>
      <c r="B916" t="s">
        <v>14</v>
      </c>
      <c r="C916" s="1">
        <v>46228.999988425923</v>
      </c>
      <c r="D916">
        <v>25.155888680301398</v>
      </c>
      <c r="E916">
        <v>0</v>
      </c>
      <c r="F916" s="1">
        <v>43863.606249999997</v>
      </c>
      <c r="G916">
        <v>52.872942191952099</v>
      </c>
      <c r="H916" t="s">
        <v>21</v>
      </c>
      <c r="J916" t="s">
        <v>16</v>
      </c>
      <c r="K916">
        <v>0</v>
      </c>
      <c r="L916" t="s">
        <v>17</v>
      </c>
      <c r="M916">
        <v>0</v>
      </c>
      <c r="N916">
        <v>0</v>
      </c>
    </row>
    <row r="917" spans="1:14" x14ac:dyDescent="0.25">
      <c r="A917">
        <v>43864</v>
      </c>
      <c r="B917" t="s">
        <v>14</v>
      </c>
      <c r="C917" s="1">
        <v>46227.999988425923</v>
      </c>
      <c r="D917">
        <v>25.155888680301398</v>
      </c>
      <c r="E917">
        <v>0</v>
      </c>
      <c r="F917" s="1">
        <v>43863.606249999997</v>
      </c>
      <c r="G917">
        <v>52.872942191952099</v>
      </c>
      <c r="H917" t="s">
        <v>21</v>
      </c>
      <c r="J917" t="s">
        <v>16</v>
      </c>
      <c r="K917">
        <v>0</v>
      </c>
      <c r="L917" t="s">
        <v>17</v>
      </c>
      <c r="M917">
        <v>0</v>
      </c>
      <c r="N917">
        <v>0</v>
      </c>
    </row>
    <row r="918" spans="1:14" x14ac:dyDescent="0.25">
      <c r="A918">
        <v>43864</v>
      </c>
      <c r="B918" t="s">
        <v>14</v>
      </c>
      <c r="C918" s="1">
        <v>46226.999988425923</v>
      </c>
      <c r="D918">
        <v>25.155888680301398</v>
      </c>
      <c r="E918">
        <v>0</v>
      </c>
      <c r="F918" s="1">
        <v>43863.606249999997</v>
      </c>
      <c r="G918">
        <v>52.872942191952099</v>
      </c>
      <c r="H918" t="s">
        <v>21</v>
      </c>
      <c r="J918" t="s">
        <v>16</v>
      </c>
      <c r="K918">
        <v>0</v>
      </c>
      <c r="L918" t="s">
        <v>17</v>
      </c>
      <c r="M918">
        <v>0</v>
      </c>
      <c r="N918">
        <v>0</v>
      </c>
    </row>
    <row r="919" spans="1:14" x14ac:dyDescent="0.25">
      <c r="A919">
        <v>43864</v>
      </c>
      <c r="B919" t="s">
        <v>14</v>
      </c>
      <c r="C919" s="1">
        <v>46225.999988425923</v>
      </c>
      <c r="D919">
        <v>25.155888680301398</v>
      </c>
      <c r="E919">
        <v>0</v>
      </c>
      <c r="F919" s="1">
        <v>43863.606249999997</v>
      </c>
      <c r="G919">
        <v>52.872942191952099</v>
      </c>
      <c r="H919" t="s">
        <v>21</v>
      </c>
      <c r="J919" t="s">
        <v>16</v>
      </c>
      <c r="K919">
        <v>0</v>
      </c>
      <c r="L919" t="s">
        <v>17</v>
      </c>
      <c r="M919">
        <v>0</v>
      </c>
      <c r="N919">
        <v>0</v>
      </c>
    </row>
    <row r="920" spans="1:14" x14ac:dyDescent="0.25">
      <c r="A920">
        <v>43864</v>
      </c>
      <c r="B920" t="s">
        <v>14</v>
      </c>
      <c r="C920" s="1">
        <v>46224.999988425923</v>
      </c>
      <c r="D920">
        <v>25.155888680301398</v>
      </c>
      <c r="E920">
        <v>0</v>
      </c>
      <c r="F920" s="1">
        <v>43863.606249999997</v>
      </c>
      <c r="G920">
        <v>52.872942191952099</v>
      </c>
      <c r="H920" t="s">
        <v>21</v>
      </c>
      <c r="J920" t="s">
        <v>16</v>
      </c>
      <c r="K920">
        <v>0</v>
      </c>
      <c r="L920" t="s">
        <v>17</v>
      </c>
      <c r="M920">
        <v>0</v>
      </c>
      <c r="N920">
        <v>0</v>
      </c>
    </row>
    <row r="921" spans="1:14" x14ac:dyDescent="0.25">
      <c r="A921">
        <v>43864</v>
      </c>
      <c r="B921" t="s">
        <v>14</v>
      </c>
      <c r="C921" s="1">
        <v>46223.999988425923</v>
      </c>
      <c r="D921">
        <v>25.155888680301398</v>
      </c>
      <c r="E921">
        <v>0</v>
      </c>
      <c r="F921" s="1">
        <v>43863.606249999997</v>
      </c>
      <c r="G921">
        <v>52.872942191952099</v>
      </c>
      <c r="H921" t="s">
        <v>21</v>
      </c>
      <c r="J921" t="s">
        <v>16</v>
      </c>
      <c r="K921">
        <v>0</v>
      </c>
      <c r="L921" t="s">
        <v>17</v>
      </c>
      <c r="M921">
        <v>0</v>
      </c>
      <c r="N921">
        <v>0</v>
      </c>
    </row>
    <row r="922" spans="1:14" x14ac:dyDescent="0.25">
      <c r="A922">
        <v>43864</v>
      </c>
      <c r="B922" t="s">
        <v>14</v>
      </c>
      <c r="C922" s="1">
        <v>46222.999988425923</v>
      </c>
      <c r="D922">
        <v>25.155888680301398</v>
      </c>
      <c r="E922">
        <v>0</v>
      </c>
      <c r="F922" s="1">
        <v>43863.606249999997</v>
      </c>
      <c r="G922">
        <v>52.872942191952099</v>
      </c>
      <c r="H922" t="s">
        <v>21</v>
      </c>
      <c r="J922" t="s">
        <v>16</v>
      </c>
      <c r="K922">
        <v>0</v>
      </c>
      <c r="L922" t="s">
        <v>17</v>
      </c>
      <c r="M922">
        <v>0</v>
      </c>
      <c r="N922">
        <v>0</v>
      </c>
    </row>
    <row r="923" spans="1:14" x14ac:dyDescent="0.25">
      <c r="A923">
        <v>43864</v>
      </c>
      <c r="B923" t="s">
        <v>14</v>
      </c>
      <c r="C923" s="1">
        <v>46221.999988425923</v>
      </c>
      <c r="D923">
        <v>25.155888680301398</v>
      </c>
      <c r="E923">
        <v>0</v>
      </c>
      <c r="F923" s="1">
        <v>43863.606249999997</v>
      </c>
      <c r="G923">
        <v>52.872942191952099</v>
      </c>
      <c r="H923" t="s">
        <v>21</v>
      </c>
      <c r="J923" t="s">
        <v>16</v>
      </c>
      <c r="K923">
        <v>0</v>
      </c>
      <c r="L923" t="s">
        <v>17</v>
      </c>
      <c r="M923">
        <v>0</v>
      </c>
      <c r="N923">
        <v>0</v>
      </c>
    </row>
    <row r="924" spans="1:14" x14ac:dyDescent="0.25">
      <c r="A924">
        <v>43864</v>
      </c>
      <c r="B924" t="s">
        <v>14</v>
      </c>
      <c r="C924" s="1">
        <v>46220.999988425923</v>
      </c>
      <c r="D924">
        <v>25.155888680301398</v>
      </c>
      <c r="E924">
        <v>0</v>
      </c>
      <c r="F924" s="1">
        <v>43863.606249999997</v>
      </c>
      <c r="G924">
        <v>52.872942191952099</v>
      </c>
      <c r="H924" t="s">
        <v>21</v>
      </c>
      <c r="J924" t="s">
        <v>16</v>
      </c>
      <c r="K924">
        <v>0</v>
      </c>
      <c r="L924" t="s">
        <v>17</v>
      </c>
      <c r="M924">
        <v>0</v>
      </c>
      <c r="N924">
        <v>0</v>
      </c>
    </row>
    <row r="925" spans="1:14" x14ac:dyDescent="0.25">
      <c r="A925">
        <v>43864</v>
      </c>
      <c r="B925" t="s">
        <v>14</v>
      </c>
      <c r="C925" s="1">
        <v>46219.999988425923</v>
      </c>
      <c r="D925">
        <v>25.155888680301398</v>
      </c>
      <c r="E925">
        <v>0</v>
      </c>
      <c r="F925" s="1">
        <v>43863.606249999997</v>
      </c>
      <c r="G925">
        <v>52.872942191952099</v>
      </c>
      <c r="H925" t="s">
        <v>21</v>
      </c>
      <c r="J925" t="s">
        <v>16</v>
      </c>
      <c r="K925">
        <v>0</v>
      </c>
      <c r="L925" t="s">
        <v>17</v>
      </c>
      <c r="M925">
        <v>0</v>
      </c>
      <c r="N925">
        <v>0</v>
      </c>
    </row>
    <row r="926" spans="1:14" x14ac:dyDescent="0.25">
      <c r="A926">
        <v>43864</v>
      </c>
      <c r="B926" t="s">
        <v>14</v>
      </c>
      <c r="C926" s="1">
        <v>46218.999988425923</v>
      </c>
      <c r="D926">
        <v>25.155888680301398</v>
      </c>
      <c r="E926">
        <v>0</v>
      </c>
      <c r="F926" s="1">
        <v>43863.606249999997</v>
      </c>
      <c r="G926">
        <v>52.872942191952099</v>
      </c>
      <c r="H926" t="s">
        <v>21</v>
      </c>
      <c r="J926" t="s">
        <v>16</v>
      </c>
      <c r="K926">
        <v>0</v>
      </c>
      <c r="L926" t="s">
        <v>17</v>
      </c>
      <c r="M926">
        <v>0</v>
      </c>
      <c r="N926">
        <v>0</v>
      </c>
    </row>
    <row r="927" spans="1:14" x14ac:dyDescent="0.25">
      <c r="A927">
        <v>43864</v>
      </c>
      <c r="B927" t="s">
        <v>14</v>
      </c>
      <c r="C927" s="1">
        <v>46217.999988425923</v>
      </c>
      <c r="D927">
        <v>25.155888680301398</v>
      </c>
      <c r="E927">
        <v>0</v>
      </c>
      <c r="F927" s="1">
        <v>43863.606249999997</v>
      </c>
      <c r="G927">
        <v>52.872942191952099</v>
      </c>
      <c r="H927" t="s">
        <v>21</v>
      </c>
      <c r="J927" t="s">
        <v>16</v>
      </c>
      <c r="K927">
        <v>0</v>
      </c>
      <c r="L927" t="s">
        <v>17</v>
      </c>
      <c r="M927">
        <v>0</v>
      </c>
      <c r="N927">
        <v>0</v>
      </c>
    </row>
    <row r="928" spans="1:14" x14ac:dyDescent="0.25">
      <c r="A928">
        <v>43864</v>
      </c>
      <c r="B928" t="s">
        <v>14</v>
      </c>
      <c r="C928" s="1">
        <v>46216.999988425923</v>
      </c>
      <c r="D928">
        <v>25.155888680301398</v>
      </c>
      <c r="E928">
        <v>0</v>
      </c>
      <c r="F928" s="1">
        <v>43863.606249999997</v>
      </c>
      <c r="G928">
        <v>52.872942191952099</v>
      </c>
      <c r="H928" t="s">
        <v>21</v>
      </c>
      <c r="J928" t="s">
        <v>16</v>
      </c>
      <c r="K928">
        <v>0</v>
      </c>
      <c r="L928" t="s">
        <v>17</v>
      </c>
      <c r="M928">
        <v>0</v>
      </c>
      <c r="N928">
        <v>0</v>
      </c>
    </row>
    <row r="929" spans="1:14" x14ac:dyDescent="0.25">
      <c r="A929">
        <v>43864</v>
      </c>
      <c r="B929" t="s">
        <v>14</v>
      </c>
      <c r="C929" s="1">
        <v>46215.999988425923</v>
      </c>
      <c r="D929">
        <v>25.155888680301398</v>
      </c>
      <c r="E929">
        <v>0</v>
      </c>
      <c r="F929" s="1">
        <v>43863.606249999997</v>
      </c>
      <c r="G929">
        <v>52.872942191952099</v>
      </c>
      <c r="H929" t="s">
        <v>21</v>
      </c>
      <c r="J929" t="s">
        <v>16</v>
      </c>
      <c r="K929">
        <v>0</v>
      </c>
      <c r="L929" t="s">
        <v>17</v>
      </c>
      <c r="M929">
        <v>0</v>
      </c>
      <c r="N929">
        <v>0</v>
      </c>
    </row>
    <row r="930" spans="1:14" x14ac:dyDescent="0.25">
      <c r="A930">
        <v>43864</v>
      </c>
      <c r="B930" t="s">
        <v>14</v>
      </c>
      <c r="C930" s="1">
        <v>46214.999988425923</v>
      </c>
      <c r="D930">
        <v>25.155888680301398</v>
      </c>
      <c r="E930">
        <v>0</v>
      </c>
      <c r="F930" s="1">
        <v>43863.606249999997</v>
      </c>
      <c r="G930">
        <v>52.872942191952099</v>
      </c>
      <c r="H930" t="s">
        <v>21</v>
      </c>
      <c r="J930" t="s">
        <v>16</v>
      </c>
      <c r="K930">
        <v>0</v>
      </c>
      <c r="L930" t="s">
        <v>17</v>
      </c>
      <c r="M930">
        <v>0</v>
      </c>
      <c r="N930">
        <v>0</v>
      </c>
    </row>
    <row r="931" spans="1:14" x14ac:dyDescent="0.25">
      <c r="A931">
        <v>43864</v>
      </c>
      <c r="B931" t="s">
        <v>14</v>
      </c>
      <c r="C931" s="1">
        <v>46213.999988425923</v>
      </c>
      <c r="D931">
        <v>25.155888680301398</v>
      </c>
      <c r="E931">
        <v>0</v>
      </c>
      <c r="F931" s="1">
        <v>43863.606249999997</v>
      </c>
      <c r="G931">
        <v>52.872942191952099</v>
      </c>
      <c r="H931" t="s">
        <v>21</v>
      </c>
      <c r="J931" t="s">
        <v>16</v>
      </c>
      <c r="K931">
        <v>0</v>
      </c>
      <c r="L931" t="s">
        <v>17</v>
      </c>
      <c r="M931">
        <v>0</v>
      </c>
      <c r="N931">
        <v>0</v>
      </c>
    </row>
    <row r="932" spans="1:14" x14ac:dyDescent="0.25">
      <c r="A932">
        <v>43864</v>
      </c>
      <c r="B932" t="s">
        <v>14</v>
      </c>
      <c r="C932" s="1">
        <v>46212.999988425923</v>
      </c>
      <c r="D932">
        <v>25.155888680301398</v>
      </c>
      <c r="E932">
        <v>0</v>
      </c>
      <c r="F932" s="1">
        <v>43863.606249999997</v>
      </c>
      <c r="G932">
        <v>52.872942191952099</v>
      </c>
      <c r="H932" t="s">
        <v>21</v>
      </c>
      <c r="J932" t="s">
        <v>16</v>
      </c>
      <c r="K932">
        <v>0</v>
      </c>
      <c r="L932" t="s">
        <v>17</v>
      </c>
      <c r="M932">
        <v>0</v>
      </c>
      <c r="N932">
        <v>0</v>
      </c>
    </row>
    <row r="933" spans="1:14" x14ac:dyDescent="0.25">
      <c r="A933">
        <v>43864</v>
      </c>
      <c r="B933" t="s">
        <v>14</v>
      </c>
      <c r="C933" s="1">
        <v>46211.999988425923</v>
      </c>
      <c r="D933">
        <v>25.155888680301398</v>
      </c>
      <c r="E933">
        <v>0</v>
      </c>
      <c r="F933" s="1">
        <v>43863.606249999997</v>
      </c>
      <c r="G933">
        <v>52.872942191952099</v>
      </c>
      <c r="H933" t="s">
        <v>21</v>
      </c>
      <c r="J933" t="s">
        <v>16</v>
      </c>
      <c r="K933">
        <v>0</v>
      </c>
      <c r="L933" t="s">
        <v>17</v>
      </c>
      <c r="M933">
        <v>0</v>
      </c>
      <c r="N933">
        <v>0</v>
      </c>
    </row>
    <row r="934" spans="1:14" x14ac:dyDescent="0.25">
      <c r="A934">
        <v>43864</v>
      </c>
      <c r="B934" t="s">
        <v>14</v>
      </c>
      <c r="C934" s="1">
        <v>46210.999988425923</v>
      </c>
      <c r="D934">
        <v>25.155888680301398</v>
      </c>
      <c r="E934">
        <v>0</v>
      </c>
      <c r="F934" s="1">
        <v>43863.606249999997</v>
      </c>
      <c r="G934">
        <v>52.872942191952099</v>
      </c>
      <c r="H934" t="s">
        <v>21</v>
      </c>
      <c r="J934" t="s">
        <v>16</v>
      </c>
      <c r="K934">
        <v>0</v>
      </c>
      <c r="L934" t="s">
        <v>17</v>
      </c>
      <c r="M934">
        <v>0</v>
      </c>
      <c r="N934">
        <v>0</v>
      </c>
    </row>
    <row r="935" spans="1:14" x14ac:dyDescent="0.25">
      <c r="A935">
        <v>43864</v>
      </c>
      <c r="B935" t="s">
        <v>14</v>
      </c>
      <c r="C935" s="1">
        <v>46209.999988425923</v>
      </c>
      <c r="D935">
        <v>25.155888680301398</v>
      </c>
      <c r="E935">
        <v>0</v>
      </c>
      <c r="F935" s="1">
        <v>43863.606249999997</v>
      </c>
      <c r="G935">
        <v>52.872942191952099</v>
      </c>
      <c r="H935" t="s">
        <v>21</v>
      </c>
      <c r="J935" t="s">
        <v>16</v>
      </c>
      <c r="K935">
        <v>0</v>
      </c>
      <c r="L935" t="s">
        <v>17</v>
      </c>
      <c r="M935">
        <v>0</v>
      </c>
      <c r="N935">
        <v>0</v>
      </c>
    </row>
    <row r="936" spans="1:14" x14ac:dyDescent="0.25">
      <c r="A936">
        <v>43864</v>
      </c>
      <c r="B936" t="s">
        <v>14</v>
      </c>
      <c r="C936" s="1">
        <v>46208.999988425923</v>
      </c>
      <c r="D936">
        <v>25.155888680301398</v>
      </c>
      <c r="E936">
        <v>0</v>
      </c>
      <c r="F936" s="1">
        <v>43863.606249999997</v>
      </c>
      <c r="G936">
        <v>52.872942191952099</v>
      </c>
      <c r="H936" t="s">
        <v>21</v>
      </c>
      <c r="J936" t="s">
        <v>16</v>
      </c>
      <c r="K936">
        <v>0</v>
      </c>
      <c r="L936" t="s">
        <v>17</v>
      </c>
      <c r="M936">
        <v>0</v>
      </c>
      <c r="N936">
        <v>0</v>
      </c>
    </row>
    <row r="937" spans="1:14" x14ac:dyDescent="0.25">
      <c r="A937">
        <v>43864</v>
      </c>
      <c r="B937" t="s">
        <v>14</v>
      </c>
      <c r="C937" s="1">
        <v>46207.999988425923</v>
      </c>
      <c r="D937">
        <v>25.155888680301398</v>
      </c>
      <c r="E937">
        <v>0</v>
      </c>
      <c r="F937" s="1">
        <v>43863.606249999997</v>
      </c>
      <c r="G937">
        <v>52.872942191952099</v>
      </c>
      <c r="H937" t="s">
        <v>21</v>
      </c>
      <c r="J937" t="s">
        <v>16</v>
      </c>
      <c r="K937">
        <v>0</v>
      </c>
      <c r="L937" t="s">
        <v>17</v>
      </c>
      <c r="M937">
        <v>0</v>
      </c>
      <c r="N937">
        <v>0</v>
      </c>
    </row>
    <row r="938" spans="1:14" x14ac:dyDescent="0.25">
      <c r="A938">
        <v>43864</v>
      </c>
      <c r="B938" t="s">
        <v>14</v>
      </c>
      <c r="C938" s="1">
        <v>46206.999988425923</v>
      </c>
      <c r="D938">
        <v>25.155888680301398</v>
      </c>
      <c r="E938">
        <v>0</v>
      </c>
      <c r="F938" s="1">
        <v>43863.606249999997</v>
      </c>
      <c r="G938">
        <v>52.872942191952099</v>
      </c>
      <c r="H938" t="s">
        <v>21</v>
      </c>
      <c r="J938" t="s">
        <v>16</v>
      </c>
      <c r="K938">
        <v>0</v>
      </c>
      <c r="L938" t="s">
        <v>17</v>
      </c>
      <c r="M938">
        <v>0</v>
      </c>
      <c r="N938">
        <v>0</v>
      </c>
    </row>
    <row r="939" spans="1:14" x14ac:dyDescent="0.25">
      <c r="A939">
        <v>43864</v>
      </c>
      <c r="B939" t="s">
        <v>14</v>
      </c>
      <c r="C939" s="1">
        <v>46205.999988425923</v>
      </c>
      <c r="D939">
        <v>25.155888680301398</v>
      </c>
      <c r="E939">
        <v>0</v>
      </c>
      <c r="F939" s="1">
        <v>43863.606249999997</v>
      </c>
      <c r="G939">
        <v>52.872942191952099</v>
      </c>
      <c r="H939" t="s">
        <v>21</v>
      </c>
      <c r="J939" t="s">
        <v>16</v>
      </c>
      <c r="K939">
        <v>0</v>
      </c>
      <c r="L939" t="s">
        <v>17</v>
      </c>
      <c r="M939">
        <v>0</v>
      </c>
      <c r="N939">
        <v>0</v>
      </c>
    </row>
    <row r="940" spans="1:14" x14ac:dyDescent="0.25">
      <c r="A940">
        <v>43864</v>
      </c>
      <c r="B940" t="s">
        <v>14</v>
      </c>
      <c r="C940" s="1">
        <v>46204.999988425923</v>
      </c>
      <c r="D940">
        <v>25.155888680301398</v>
      </c>
      <c r="E940">
        <v>0</v>
      </c>
      <c r="F940" s="1">
        <v>43863.606249999997</v>
      </c>
      <c r="G940">
        <v>52.872942191952099</v>
      </c>
      <c r="H940" t="s">
        <v>21</v>
      </c>
      <c r="J940" t="s">
        <v>16</v>
      </c>
      <c r="K940">
        <v>0</v>
      </c>
      <c r="L940" t="s">
        <v>17</v>
      </c>
      <c r="M940">
        <v>0</v>
      </c>
      <c r="N940">
        <v>0</v>
      </c>
    </row>
    <row r="941" spans="1:14" x14ac:dyDescent="0.25">
      <c r="A941">
        <v>43864</v>
      </c>
      <c r="B941" t="s">
        <v>14</v>
      </c>
      <c r="C941" s="1">
        <v>46203.999988425923</v>
      </c>
      <c r="D941">
        <v>25.155888680301398</v>
      </c>
      <c r="E941">
        <v>0</v>
      </c>
      <c r="F941" s="1">
        <v>43863.606249999997</v>
      </c>
      <c r="G941">
        <v>52.872942191952099</v>
      </c>
      <c r="H941" t="s">
        <v>21</v>
      </c>
      <c r="J941" t="s">
        <v>16</v>
      </c>
      <c r="K941">
        <v>0</v>
      </c>
      <c r="L941" t="s">
        <v>17</v>
      </c>
      <c r="M941">
        <v>0</v>
      </c>
      <c r="N941">
        <v>0</v>
      </c>
    </row>
    <row r="942" spans="1:14" x14ac:dyDescent="0.25">
      <c r="A942">
        <v>43864</v>
      </c>
      <c r="B942" t="s">
        <v>14</v>
      </c>
      <c r="C942" s="1">
        <v>46202.999988425923</v>
      </c>
      <c r="D942">
        <v>25.155888680301398</v>
      </c>
      <c r="E942">
        <v>0</v>
      </c>
      <c r="F942" s="1">
        <v>43863.606249999997</v>
      </c>
      <c r="G942">
        <v>52.872942191952099</v>
      </c>
      <c r="H942" t="s">
        <v>21</v>
      </c>
      <c r="J942" t="s">
        <v>16</v>
      </c>
      <c r="K942">
        <v>0</v>
      </c>
      <c r="L942" t="s">
        <v>17</v>
      </c>
      <c r="M942">
        <v>0</v>
      </c>
      <c r="N942">
        <v>0</v>
      </c>
    </row>
    <row r="943" spans="1:14" x14ac:dyDescent="0.25">
      <c r="A943">
        <v>43864</v>
      </c>
      <c r="B943" t="s">
        <v>14</v>
      </c>
      <c r="C943" s="1">
        <v>46201.999988425923</v>
      </c>
      <c r="D943">
        <v>25.155888680301398</v>
      </c>
      <c r="E943">
        <v>0</v>
      </c>
      <c r="F943" s="1">
        <v>43863.606249999997</v>
      </c>
      <c r="G943">
        <v>52.872942191952099</v>
      </c>
      <c r="H943" t="s">
        <v>21</v>
      </c>
      <c r="J943" t="s">
        <v>16</v>
      </c>
      <c r="K943">
        <v>0</v>
      </c>
      <c r="L943" t="s">
        <v>17</v>
      </c>
      <c r="M943">
        <v>0</v>
      </c>
      <c r="N943">
        <v>0</v>
      </c>
    </row>
    <row r="944" spans="1:14" x14ac:dyDescent="0.25">
      <c r="A944">
        <v>43864</v>
      </c>
      <c r="B944" t="s">
        <v>14</v>
      </c>
      <c r="C944" s="1">
        <v>46200.999988425923</v>
      </c>
      <c r="D944">
        <v>25.155888680301398</v>
      </c>
      <c r="E944">
        <v>0</v>
      </c>
      <c r="F944" s="1">
        <v>43863.606249999997</v>
      </c>
      <c r="G944">
        <v>52.872942191952099</v>
      </c>
      <c r="H944" t="s">
        <v>21</v>
      </c>
      <c r="J944" t="s">
        <v>16</v>
      </c>
      <c r="K944">
        <v>0</v>
      </c>
      <c r="L944" t="s">
        <v>17</v>
      </c>
      <c r="M944">
        <v>0</v>
      </c>
      <c r="N944">
        <v>0</v>
      </c>
    </row>
    <row r="945" spans="1:14" x14ac:dyDescent="0.25">
      <c r="A945">
        <v>43864</v>
      </c>
      <c r="B945" t="s">
        <v>14</v>
      </c>
      <c r="C945" s="1">
        <v>46199.999988425923</v>
      </c>
      <c r="D945">
        <v>25.155888680301398</v>
      </c>
      <c r="E945">
        <v>0</v>
      </c>
      <c r="F945" s="1">
        <v>43863.606249999997</v>
      </c>
      <c r="G945">
        <v>52.872942191952099</v>
      </c>
      <c r="H945" t="s">
        <v>21</v>
      </c>
      <c r="J945" t="s">
        <v>16</v>
      </c>
      <c r="K945">
        <v>0</v>
      </c>
      <c r="L945" t="s">
        <v>17</v>
      </c>
      <c r="M945">
        <v>0</v>
      </c>
      <c r="N945">
        <v>0</v>
      </c>
    </row>
    <row r="946" spans="1:14" x14ac:dyDescent="0.25">
      <c r="A946">
        <v>43864</v>
      </c>
      <c r="B946" t="s">
        <v>14</v>
      </c>
      <c r="C946" s="1">
        <v>46198.999988425923</v>
      </c>
      <c r="D946">
        <v>25.155888680301398</v>
      </c>
      <c r="E946">
        <v>0</v>
      </c>
      <c r="F946" s="1">
        <v>43863.606249999997</v>
      </c>
      <c r="G946">
        <v>52.872942191952099</v>
      </c>
      <c r="H946" t="s">
        <v>21</v>
      </c>
      <c r="J946" t="s">
        <v>16</v>
      </c>
      <c r="K946">
        <v>0</v>
      </c>
      <c r="L946" t="s">
        <v>17</v>
      </c>
      <c r="M946">
        <v>0</v>
      </c>
      <c r="N946">
        <v>0</v>
      </c>
    </row>
    <row r="947" spans="1:14" x14ac:dyDescent="0.25">
      <c r="A947">
        <v>43864</v>
      </c>
      <c r="B947" t="s">
        <v>14</v>
      </c>
      <c r="C947" s="1">
        <v>46197.999988425923</v>
      </c>
      <c r="D947">
        <v>25.155888680301398</v>
      </c>
      <c r="E947">
        <v>0</v>
      </c>
      <c r="F947" s="1">
        <v>43863.606249999997</v>
      </c>
      <c r="G947">
        <v>52.872942191952099</v>
      </c>
      <c r="H947" t="s">
        <v>21</v>
      </c>
      <c r="J947" t="s">
        <v>16</v>
      </c>
      <c r="K947">
        <v>0</v>
      </c>
      <c r="L947" t="s">
        <v>17</v>
      </c>
      <c r="M947">
        <v>0</v>
      </c>
      <c r="N947">
        <v>0</v>
      </c>
    </row>
    <row r="948" spans="1:14" x14ac:dyDescent="0.25">
      <c r="A948">
        <v>43864</v>
      </c>
      <c r="B948" t="s">
        <v>14</v>
      </c>
      <c r="C948" s="1">
        <v>46196.999988425923</v>
      </c>
      <c r="D948">
        <v>25.155888680301398</v>
      </c>
      <c r="E948">
        <v>0</v>
      </c>
      <c r="F948" s="1">
        <v>43863.606249999997</v>
      </c>
      <c r="G948">
        <v>52.872942191952099</v>
      </c>
      <c r="H948" t="s">
        <v>21</v>
      </c>
      <c r="J948" t="s">
        <v>16</v>
      </c>
      <c r="K948">
        <v>0</v>
      </c>
      <c r="L948" t="s">
        <v>17</v>
      </c>
      <c r="M948">
        <v>0</v>
      </c>
      <c r="N948">
        <v>0</v>
      </c>
    </row>
    <row r="949" spans="1:14" x14ac:dyDescent="0.25">
      <c r="A949">
        <v>43864</v>
      </c>
      <c r="B949" t="s">
        <v>14</v>
      </c>
      <c r="C949" s="1">
        <v>46195.999988425923</v>
      </c>
      <c r="D949">
        <v>25.155888680301398</v>
      </c>
      <c r="E949">
        <v>0</v>
      </c>
      <c r="F949" s="1">
        <v>43863.606249999997</v>
      </c>
      <c r="G949">
        <v>52.872942191952099</v>
      </c>
      <c r="H949" t="s">
        <v>21</v>
      </c>
      <c r="J949" t="s">
        <v>16</v>
      </c>
      <c r="K949">
        <v>0</v>
      </c>
      <c r="L949" t="s">
        <v>17</v>
      </c>
      <c r="M949">
        <v>0</v>
      </c>
      <c r="N949">
        <v>0</v>
      </c>
    </row>
    <row r="950" spans="1:14" x14ac:dyDescent="0.25">
      <c r="A950">
        <v>43864</v>
      </c>
      <c r="B950" t="s">
        <v>14</v>
      </c>
      <c r="C950" s="1">
        <v>46194.999988425923</v>
      </c>
      <c r="D950">
        <v>25.155888680301398</v>
      </c>
      <c r="E950">
        <v>0</v>
      </c>
      <c r="F950" s="1">
        <v>43863.606249999997</v>
      </c>
      <c r="G950">
        <v>52.872942191952099</v>
      </c>
      <c r="H950" t="s">
        <v>21</v>
      </c>
      <c r="J950" t="s">
        <v>16</v>
      </c>
      <c r="K950">
        <v>0</v>
      </c>
      <c r="L950" t="s">
        <v>17</v>
      </c>
      <c r="M950">
        <v>0</v>
      </c>
      <c r="N950">
        <v>0</v>
      </c>
    </row>
    <row r="951" spans="1:14" x14ac:dyDescent="0.25">
      <c r="A951">
        <v>43864</v>
      </c>
      <c r="B951" t="s">
        <v>14</v>
      </c>
      <c r="C951" s="1">
        <v>46193.999988425923</v>
      </c>
      <c r="D951">
        <v>25.155888680301398</v>
      </c>
      <c r="E951">
        <v>0</v>
      </c>
      <c r="F951" s="1">
        <v>43863.606249999997</v>
      </c>
      <c r="G951">
        <v>52.872942191952099</v>
      </c>
      <c r="H951" t="s">
        <v>21</v>
      </c>
      <c r="J951" t="s">
        <v>16</v>
      </c>
      <c r="K951">
        <v>0</v>
      </c>
      <c r="L951" t="s">
        <v>17</v>
      </c>
      <c r="M951">
        <v>0</v>
      </c>
      <c r="N951">
        <v>0</v>
      </c>
    </row>
    <row r="952" spans="1:14" x14ac:dyDescent="0.25">
      <c r="A952">
        <v>43864</v>
      </c>
      <c r="B952" t="s">
        <v>14</v>
      </c>
      <c r="C952" s="1">
        <v>46192.999988425923</v>
      </c>
      <c r="D952">
        <v>25.155888680301398</v>
      </c>
      <c r="E952">
        <v>0</v>
      </c>
      <c r="F952" s="1">
        <v>43863.606249999997</v>
      </c>
      <c r="G952">
        <v>52.872942191952099</v>
      </c>
      <c r="H952" t="s">
        <v>21</v>
      </c>
      <c r="J952" t="s">
        <v>16</v>
      </c>
      <c r="K952">
        <v>0</v>
      </c>
      <c r="L952" t="s">
        <v>17</v>
      </c>
      <c r="M952">
        <v>0</v>
      </c>
      <c r="N952">
        <v>0</v>
      </c>
    </row>
    <row r="953" spans="1:14" x14ac:dyDescent="0.25">
      <c r="A953">
        <v>43864</v>
      </c>
      <c r="B953" t="s">
        <v>14</v>
      </c>
      <c r="C953" s="1">
        <v>46191.999988425923</v>
      </c>
      <c r="D953">
        <v>25.155888680301398</v>
      </c>
      <c r="E953">
        <v>0</v>
      </c>
      <c r="F953" s="1">
        <v>43863.606249999997</v>
      </c>
      <c r="G953">
        <v>52.872942191952099</v>
      </c>
      <c r="H953" t="s">
        <v>21</v>
      </c>
      <c r="J953" t="s">
        <v>16</v>
      </c>
      <c r="K953">
        <v>0</v>
      </c>
      <c r="L953" t="s">
        <v>17</v>
      </c>
      <c r="M953">
        <v>0</v>
      </c>
      <c r="N953">
        <v>0</v>
      </c>
    </row>
    <row r="954" spans="1:14" x14ac:dyDescent="0.25">
      <c r="A954">
        <v>43864</v>
      </c>
      <c r="B954" t="s">
        <v>14</v>
      </c>
      <c r="C954" s="1">
        <v>46190.999988425923</v>
      </c>
      <c r="D954">
        <v>25.155888680301398</v>
      </c>
      <c r="E954">
        <v>0</v>
      </c>
      <c r="F954" s="1">
        <v>43863.606249999997</v>
      </c>
      <c r="G954">
        <v>52.872942191952099</v>
      </c>
      <c r="H954" t="s">
        <v>21</v>
      </c>
      <c r="J954" t="s">
        <v>16</v>
      </c>
      <c r="K954">
        <v>0</v>
      </c>
      <c r="L954" t="s">
        <v>17</v>
      </c>
      <c r="M954">
        <v>0</v>
      </c>
      <c r="N954">
        <v>0</v>
      </c>
    </row>
    <row r="955" spans="1:14" x14ac:dyDescent="0.25">
      <c r="A955">
        <v>43864</v>
      </c>
      <c r="B955" t="s">
        <v>14</v>
      </c>
      <c r="C955" s="1">
        <v>46189.999988425923</v>
      </c>
      <c r="D955">
        <v>25.155888680301398</v>
      </c>
      <c r="E955">
        <v>0</v>
      </c>
      <c r="F955" s="1">
        <v>43863.606249999997</v>
      </c>
      <c r="G955">
        <v>52.872942191952099</v>
      </c>
      <c r="H955" t="s">
        <v>21</v>
      </c>
      <c r="J955" t="s">
        <v>16</v>
      </c>
      <c r="K955">
        <v>0</v>
      </c>
      <c r="L955" t="s">
        <v>17</v>
      </c>
      <c r="M955">
        <v>0</v>
      </c>
      <c r="N955">
        <v>0</v>
      </c>
    </row>
    <row r="956" spans="1:14" x14ac:dyDescent="0.25">
      <c r="A956">
        <v>43864</v>
      </c>
      <c r="B956" t="s">
        <v>14</v>
      </c>
      <c r="C956" s="1">
        <v>46188.999988425923</v>
      </c>
      <c r="D956">
        <v>25.155888680301398</v>
      </c>
      <c r="E956">
        <v>0</v>
      </c>
      <c r="F956" s="1">
        <v>43863.606249999997</v>
      </c>
      <c r="G956">
        <v>52.872942191952099</v>
      </c>
      <c r="H956" t="s">
        <v>21</v>
      </c>
      <c r="J956" t="s">
        <v>16</v>
      </c>
      <c r="K956">
        <v>0</v>
      </c>
      <c r="L956" t="s">
        <v>17</v>
      </c>
      <c r="M956">
        <v>0</v>
      </c>
      <c r="N956">
        <v>0</v>
      </c>
    </row>
    <row r="957" spans="1:14" x14ac:dyDescent="0.25">
      <c r="A957">
        <v>43864</v>
      </c>
      <c r="B957" t="s">
        <v>14</v>
      </c>
      <c r="C957" s="1">
        <v>46187.999988425923</v>
      </c>
      <c r="D957">
        <v>25.155888680301398</v>
      </c>
      <c r="E957">
        <v>0</v>
      </c>
      <c r="F957" s="1">
        <v>43863.606249999997</v>
      </c>
      <c r="G957">
        <v>52.872942191952099</v>
      </c>
      <c r="H957" t="s">
        <v>21</v>
      </c>
      <c r="J957" t="s">
        <v>16</v>
      </c>
      <c r="K957">
        <v>0</v>
      </c>
      <c r="L957" t="s">
        <v>17</v>
      </c>
      <c r="M957">
        <v>0</v>
      </c>
      <c r="N957">
        <v>0</v>
      </c>
    </row>
    <row r="958" spans="1:14" x14ac:dyDescent="0.25">
      <c r="A958">
        <v>43864</v>
      </c>
      <c r="B958" t="s">
        <v>14</v>
      </c>
      <c r="C958" s="1">
        <v>46186.999988425923</v>
      </c>
      <c r="D958">
        <v>25.155888680301398</v>
      </c>
      <c r="E958">
        <v>0</v>
      </c>
      <c r="F958" s="1">
        <v>43863.606249999997</v>
      </c>
      <c r="G958">
        <v>52.872942191952099</v>
      </c>
      <c r="H958" t="s">
        <v>21</v>
      </c>
      <c r="J958" t="s">
        <v>16</v>
      </c>
      <c r="K958">
        <v>0</v>
      </c>
      <c r="L958" t="s">
        <v>17</v>
      </c>
      <c r="M958">
        <v>0</v>
      </c>
      <c r="N958">
        <v>0</v>
      </c>
    </row>
    <row r="959" spans="1:14" x14ac:dyDescent="0.25">
      <c r="A959">
        <v>43864</v>
      </c>
      <c r="B959" t="s">
        <v>14</v>
      </c>
      <c r="C959" s="1">
        <v>46185.999988425923</v>
      </c>
      <c r="D959">
        <v>25.155888680301398</v>
      </c>
      <c r="E959">
        <v>0</v>
      </c>
      <c r="F959" s="1">
        <v>43863.606249999997</v>
      </c>
      <c r="G959">
        <v>52.872942191952099</v>
      </c>
      <c r="H959" t="s">
        <v>21</v>
      </c>
      <c r="J959" t="s">
        <v>16</v>
      </c>
      <c r="K959">
        <v>0</v>
      </c>
      <c r="L959" t="s">
        <v>17</v>
      </c>
      <c r="M959">
        <v>0</v>
      </c>
      <c r="N959">
        <v>0</v>
      </c>
    </row>
    <row r="960" spans="1:14" x14ac:dyDescent="0.25">
      <c r="A960">
        <v>43864</v>
      </c>
      <c r="B960" t="s">
        <v>14</v>
      </c>
      <c r="C960" s="1">
        <v>46184.999988425923</v>
      </c>
      <c r="D960">
        <v>25.155888680301398</v>
      </c>
      <c r="E960">
        <v>0</v>
      </c>
      <c r="F960" s="1">
        <v>43863.606249999997</v>
      </c>
      <c r="G960">
        <v>52.872942191952099</v>
      </c>
      <c r="H960" t="s">
        <v>21</v>
      </c>
      <c r="J960" t="s">
        <v>16</v>
      </c>
      <c r="K960">
        <v>0</v>
      </c>
      <c r="L960" t="s">
        <v>17</v>
      </c>
      <c r="M960">
        <v>0</v>
      </c>
      <c r="N960">
        <v>0</v>
      </c>
    </row>
    <row r="961" spans="1:14" x14ac:dyDescent="0.25">
      <c r="A961">
        <v>43864</v>
      </c>
      <c r="B961" t="s">
        <v>14</v>
      </c>
      <c r="C961" s="1">
        <v>46183.999988425923</v>
      </c>
      <c r="D961">
        <v>25.155888680301398</v>
      </c>
      <c r="E961">
        <v>0</v>
      </c>
      <c r="F961" s="1">
        <v>43863.606249999997</v>
      </c>
      <c r="G961">
        <v>52.872942191952099</v>
      </c>
      <c r="H961" t="s">
        <v>21</v>
      </c>
      <c r="J961" t="s">
        <v>16</v>
      </c>
      <c r="K961">
        <v>0</v>
      </c>
      <c r="L961" t="s">
        <v>17</v>
      </c>
      <c r="M961">
        <v>0</v>
      </c>
      <c r="N961">
        <v>0</v>
      </c>
    </row>
    <row r="962" spans="1:14" x14ac:dyDescent="0.25">
      <c r="A962">
        <v>43864</v>
      </c>
      <c r="B962" t="s">
        <v>14</v>
      </c>
      <c r="C962" s="1">
        <v>46182.999988425923</v>
      </c>
      <c r="D962">
        <v>25.155888680301398</v>
      </c>
      <c r="E962">
        <v>0</v>
      </c>
      <c r="F962" s="1">
        <v>43863.606249999997</v>
      </c>
      <c r="G962">
        <v>52.872942191952099</v>
      </c>
      <c r="H962" t="s">
        <v>21</v>
      </c>
      <c r="J962" t="s">
        <v>16</v>
      </c>
      <c r="K962">
        <v>0</v>
      </c>
      <c r="L962" t="s">
        <v>17</v>
      </c>
      <c r="M962">
        <v>0</v>
      </c>
      <c r="N962">
        <v>0</v>
      </c>
    </row>
    <row r="963" spans="1:14" x14ac:dyDescent="0.25">
      <c r="A963">
        <v>43864</v>
      </c>
      <c r="B963" t="s">
        <v>14</v>
      </c>
      <c r="C963" s="1">
        <v>46181.999988425923</v>
      </c>
      <c r="D963">
        <v>25.155888680301398</v>
      </c>
      <c r="E963">
        <v>0</v>
      </c>
      <c r="F963" s="1">
        <v>43863.606249999997</v>
      </c>
      <c r="G963">
        <v>52.872942191952099</v>
      </c>
      <c r="H963" t="s">
        <v>21</v>
      </c>
      <c r="J963" t="s">
        <v>16</v>
      </c>
      <c r="K963">
        <v>0</v>
      </c>
      <c r="L963" t="s">
        <v>17</v>
      </c>
      <c r="M963">
        <v>0</v>
      </c>
      <c r="N963">
        <v>0</v>
      </c>
    </row>
    <row r="964" spans="1:14" x14ac:dyDescent="0.25">
      <c r="A964">
        <v>43864</v>
      </c>
      <c r="B964" t="s">
        <v>14</v>
      </c>
      <c r="C964" s="1">
        <v>46180.999988425923</v>
      </c>
      <c r="D964">
        <v>25.155888680301398</v>
      </c>
      <c r="E964">
        <v>0</v>
      </c>
      <c r="F964" s="1">
        <v>43863.606249999997</v>
      </c>
      <c r="G964">
        <v>52.872942191952099</v>
      </c>
      <c r="H964" t="s">
        <v>21</v>
      </c>
      <c r="J964" t="s">
        <v>16</v>
      </c>
      <c r="K964">
        <v>0</v>
      </c>
      <c r="L964" t="s">
        <v>17</v>
      </c>
      <c r="M964">
        <v>0</v>
      </c>
      <c r="N964">
        <v>0</v>
      </c>
    </row>
    <row r="965" spans="1:14" x14ac:dyDescent="0.25">
      <c r="A965">
        <v>43864</v>
      </c>
      <c r="B965" t="s">
        <v>14</v>
      </c>
      <c r="C965" s="1">
        <v>46179.999988425923</v>
      </c>
      <c r="D965">
        <v>25.155888680301398</v>
      </c>
      <c r="E965">
        <v>0</v>
      </c>
      <c r="F965" s="1">
        <v>43863.606249999997</v>
      </c>
      <c r="G965">
        <v>52.872942191952099</v>
      </c>
      <c r="H965" t="s">
        <v>21</v>
      </c>
      <c r="J965" t="s">
        <v>16</v>
      </c>
      <c r="K965">
        <v>0</v>
      </c>
      <c r="L965" t="s">
        <v>17</v>
      </c>
      <c r="M965">
        <v>0</v>
      </c>
      <c r="N965">
        <v>0</v>
      </c>
    </row>
    <row r="966" spans="1:14" x14ac:dyDescent="0.25">
      <c r="A966">
        <v>43864</v>
      </c>
      <c r="B966" t="s">
        <v>14</v>
      </c>
      <c r="C966" s="1">
        <v>46178.999988425923</v>
      </c>
      <c r="D966">
        <v>25.155888680301398</v>
      </c>
      <c r="E966">
        <v>0</v>
      </c>
      <c r="F966" s="1">
        <v>43863.606249999997</v>
      </c>
      <c r="G966">
        <v>52.872942191952099</v>
      </c>
      <c r="H966" t="s">
        <v>21</v>
      </c>
      <c r="J966" t="s">
        <v>16</v>
      </c>
      <c r="K966">
        <v>0</v>
      </c>
      <c r="L966" t="s">
        <v>17</v>
      </c>
      <c r="M966">
        <v>0</v>
      </c>
      <c r="N966">
        <v>0</v>
      </c>
    </row>
    <row r="967" spans="1:14" x14ac:dyDescent="0.25">
      <c r="A967">
        <v>43864</v>
      </c>
      <c r="B967" t="s">
        <v>14</v>
      </c>
      <c r="C967" s="1">
        <v>46177.999988425923</v>
      </c>
      <c r="D967">
        <v>25.155888680301398</v>
      </c>
      <c r="E967">
        <v>0</v>
      </c>
      <c r="F967" s="1">
        <v>43863.606249999997</v>
      </c>
      <c r="G967">
        <v>52.872942191952099</v>
      </c>
      <c r="H967" t="s">
        <v>21</v>
      </c>
      <c r="J967" t="s">
        <v>16</v>
      </c>
      <c r="K967">
        <v>0</v>
      </c>
      <c r="L967" t="s">
        <v>17</v>
      </c>
      <c r="M967">
        <v>0</v>
      </c>
      <c r="N967">
        <v>0</v>
      </c>
    </row>
    <row r="968" spans="1:14" x14ac:dyDescent="0.25">
      <c r="A968">
        <v>43864</v>
      </c>
      <c r="B968" t="s">
        <v>14</v>
      </c>
      <c r="C968" s="1">
        <v>46176.999988425923</v>
      </c>
      <c r="D968">
        <v>25.155888680301398</v>
      </c>
      <c r="E968">
        <v>0</v>
      </c>
      <c r="F968" s="1">
        <v>43863.606249999997</v>
      </c>
      <c r="G968">
        <v>52.872942191952099</v>
      </c>
      <c r="H968" t="s">
        <v>21</v>
      </c>
      <c r="J968" t="s">
        <v>16</v>
      </c>
      <c r="K968">
        <v>0</v>
      </c>
      <c r="L968" t="s">
        <v>17</v>
      </c>
      <c r="M968">
        <v>0</v>
      </c>
      <c r="N968">
        <v>0</v>
      </c>
    </row>
    <row r="969" spans="1:14" x14ac:dyDescent="0.25">
      <c r="A969">
        <v>43864</v>
      </c>
      <c r="B969" t="s">
        <v>14</v>
      </c>
      <c r="C969" s="1">
        <v>46175.999988425923</v>
      </c>
      <c r="D969">
        <v>25.155888680301398</v>
      </c>
      <c r="E969">
        <v>0</v>
      </c>
      <c r="F969" s="1">
        <v>43863.606249999997</v>
      </c>
      <c r="G969">
        <v>52.872942191952099</v>
      </c>
      <c r="H969" t="s">
        <v>21</v>
      </c>
      <c r="J969" t="s">
        <v>16</v>
      </c>
      <c r="K969">
        <v>0</v>
      </c>
      <c r="L969" t="s">
        <v>17</v>
      </c>
      <c r="M969">
        <v>0</v>
      </c>
      <c r="N969">
        <v>0</v>
      </c>
    </row>
    <row r="970" spans="1:14" x14ac:dyDescent="0.25">
      <c r="A970">
        <v>43864</v>
      </c>
      <c r="B970" t="s">
        <v>14</v>
      </c>
      <c r="C970" s="1">
        <v>46174.999988425923</v>
      </c>
      <c r="D970">
        <v>25.155888680301398</v>
      </c>
      <c r="E970">
        <v>0</v>
      </c>
      <c r="F970" s="1">
        <v>43863.606249999997</v>
      </c>
      <c r="G970">
        <v>52.872942191952099</v>
      </c>
      <c r="H970" t="s">
        <v>21</v>
      </c>
      <c r="J970" t="s">
        <v>16</v>
      </c>
      <c r="K970">
        <v>0</v>
      </c>
      <c r="L970" t="s">
        <v>17</v>
      </c>
      <c r="M970">
        <v>0</v>
      </c>
      <c r="N970">
        <v>0</v>
      </c>
    </row>
    <row r="971" spans="1:14" x14ac:dyDescent="0.25">
      <c r="A971">
        <v>43864</v>
      </c>
      <c r="B971" t="s">
        <v>14</v>
      </c>
      <c r="C971" s="1">
        <v>46173.999988425923</v>
      </c>
      <c r="D971">
        <v>25.155888680301398</v>
      </c>
      <c r="E971">
        <v>0</v>
      </c>
      <c r="F971" s="1">
        <v>43863.606249999997</v>
      </c>
      <c r="G971">
        <v>52.872942191952099</v>
      </c>
      <c r="H971" t="s">
        <v>21</v>
      </c>
      <c r="J971" t="s">
        <v>16</v>
      </c>
      <c r="K971">
        <v>0</v>
      </c>
      <c r="L971" t="s">
        <v>17</v>
      </c>
      <c r="M971">
        <v>0</v>
      </c>
      <c r="N971">
        <v>0</v>
      </c>
    </row>
    <row r="972" spans="1:14" x14ac:dyDescent="0.25">
      <c r="A972">
        <v>43864</v>
      </c>
      <c r="B972" t="s">
        <v>14</v>
      </c>
      <c r="C972" s="1">
        <v>46172.999988425923</v>
      </c>
      <c r="D972">
        <v>25.155888680301398</v>
      </c>
      <c r="E972">
        <v>0</v>
      </c>
      <c r="F972" s="1">
        <v>43863.606249999997</v>
      </c>
      <c r="G972">
        <v>52.872942191952099</v>
      </c>
      <c r="H972" t="s">
        <v>21</v>
      </c>
      <c r="J972" t="s">
        <v>16</v>
      </c>
      <c r="K972">
        <v>0</v>
      </c>
      <c r="L972" t="s">
        <v>17</v>
      </c>
      <c r="M972">
        <v>0</v>
      </c>
      <c r="N972">
        <v>0</v>
      </c>
    </row>
    <row r="973" spans="1:14" x14ac:dyDescent="0.25">
      <c r="A973">
        <v>43864</v>
      </c>
      <c r="B973" t="s">
        <v>14</v>
      </c>
      <c r="C973" s="1">
        <v>46171.999988425923</v>
      </c>
      <c r="D973">
        <v>25.155888680301398</v>
      </c>
      <c r="E973">
        <v>0</v>
      </c>
      <c r="F973" s="1">
        <v>43863.606249999997</v>
      </c>
      <c r="G973">
        <v>52.872942191952099</v>
      </c>
      <c r="H973" t="s">
        <v>21</v>
      </c>
      <c r="J973" t="s">
        <v>16</v>
      </c>
      <c r="K973">
        <v>0</v>
      </c>
      <c r="L973" t="s">
        <v>17</v>
      </c>
      <c r="M973">
        <v>0</v>
      </c>
      <c r="N973">
        <v>0</v>
      </c>
    </row>
    <row r="974" spans="1:14" x14ac:dyDescent="0.25">
      <c r="A974">
        <v>43864</v>
      </c>
      <c r="B974" t="s">
        <v>14</v>
      </c>
      <c r="C974" s="1">
        <v>46170.999988425923</v>
      </c>
      <c r="D974">
        <v>25.155888680301398</v>
      </c>
      <c r="E974">
        <v>0</v>
      </c>
      <c r="F974" s="1">
        <v>43863.606249999997</v>
      </c>
      <c r="G974">
        <v>52.872942191952099</v>
      </c>
      <c r="H974" t="s">
        <v>21</v>
      </c>
      <c r="J974" t="s">
        <v>16</v>
      </c>
      <c r="K974">
        <v>0</v>
      </c>
      <c r="L974" t="s">
        <v>17</v>
      </c>
      <c r="M974">
        <v>0</v>
      </c>
      <c r="N974">
        <v>0</v>
      </c>
    </row>
    <row r="975" spans="1:14" x14ac:dyDescent="0.25">
      <c r="A975">
        <v>43864</v>
      </c>
      <c r="B975" t="s">
        <v>14</v>
      </c>
      <c r="C975" s="1">
        <v>46169.999988425923</v>
      </c>
      <c r="D975">
        <v>25.155888680301398</v>
      </c>
      <c r="E975">
        <v>0</v>
      </c>
      <c r="F975" s="1">
        <v>43863.606249999997</v>
      </c>
      <c r="G975">
        <v>52.872942191952099</v>
      </c>
      <c r="H975" t="s">
        <v>21</v>
      </c>
      <c r="J975" t="s">
        <v>16</v>
      </c>
      <c r="K975">
        <v>0</v>
      </c>
      <c r="L975" t="s">
        <v>17</v>
      </c>
      <c r="M975">
        <v>0</v>
      </c>
      <c r="N975">
        <v>0</v>
      </c>
    </row>
    <row r="976" spans="1:14" x14ac:dyDescent="0.25">
      <c r="A976">
        <v>43864</v>
      </c>
      <c r="B976" t="s">
        <v>14</v>
      </c>
      <c r="C976" s="1">
        <v>46168.999988425923</v>
      </c>
      <c r="D976">
        <v>25.155888680301398</v>
      </c>
      <c r="E976">
        <v>0</v>
      </c>
      <c r="F976" s="1">
        <v>43863.606249999997</v>
      </c>
      <c r="G976">
        <v>52.872942191952099</v>
      </c>
      <c r="H976" t="s">
        <v>21</v>
      </c>
      <c r="J976" t="s">
        <v>16</v>
      </c>
      <c r="K976">
        <v>0</v>
      </c>
      <c r="L976" t="s">
        <v>17</v>
      </c>
      <c r="M976">
        <v>0</v>
      </c>
      <c r="N976">
        <v>0</v>
      </c>
    </row>
    <row r="977" spans="1:14" x14ac:dyDescent="0.25">
      <c r="A977">
        <v>43864</v>
      </c>
      <c r="B977" t="s">
        <v>14</v>
      </c>
      <c r="C977" s="1">
        <v>46167.999988425923</v>
      </c>
      <c r="D977">
        <v>25.155888680301398</v>
      </c>
      <c r="E977">
        <v>0</v>
      </c>
      <c r="F977" s="1">
        <v>43863.606249999997</v>
      </c>
      <c r="G977">
        <v>52.872942191952099</v>
      </c>
      <c r="H977" t="s">
        <v>21</v>
      </c>
      <c r="J977" t="s">
        <v>16</v>
      </c>
      <c r="K977">
        <v>0</v>
      </c>
      <c r="L977" t="s">
        <v>17</v>
      </c>
      <c r="M977">
        <v>0</v>
      </c>
      <c r="N977">
        <v>0</v>
      </c>
    </row>
    <row r="978" spans="1:14" x14ac:dyDescent="0.25">
      <c r="A978">
        <v>43864</v>
      </c>
      <c r="B978" t="s">
        <v>14</v>
      </c>
      <c r="C978" s="1">
        <v>46166.999988425923</v>
      </c>
      <c r="D978">
        <v>25.155888680301398</v>
      </c>
      <c r="E978">
        <v>0</v>
      </c>
      <c r="F978" s="1">
        <v>43863.606249999997</v>
      </c>
      <c r="G978">
        <v>52.872942191952099</v>
      </c>
      <c r="H978" t="s">
        <v>21</v>
      </c>
      <c r="J978" t="s">
        <v>16</v>
      </c>
      <c r="K978">
        <v>0</v>
      </c>
      <c r="L978" t="s">
        <v>17</v>
      </c>
      <c r="M978">
        <v>0</v>
      </c>
      <c r="N978">
        <v>0</v>
      </c>
    </row>
    <row r="979" spans="1:14" x14ac:dyDescent="0.25">
      <c r="A979">
        <v>43864</v>
      </c>
      <c r="B979" t="s">
        <v>14</v>
      </c>
      <c r="C979" s="1">
        <v>46165.999988425923</v>
      </c>
      <c r="D979">
        <v>25.155888680301398</v>
      </c>
      <c r="E979">
        <v>0</v>
      </c>
      <c r="F979" s="1">
        <v>43863.606249999997</v>
      </c>
      <c r="G979">
        <v>52.872942191952099</v>
      </c>
      <c r="H979" t="s">
        <v>21</v>
      </c>
      <c r="J979" t="s">
        <v>16</v>
      </c>
      <c r="K979">
        <v>0</v>
      </c>
      <c r="L979" t="s">
        <v>17</v>
      </c>
      <c r="M979">
        <v>0</v>
      </c>
      <c r="N979">
        <v>0</v>
      </c>
    </row>
    <row r="980" spans="1:14" x14ac:dyDescent="0.25">
      <c r="A980">
        <v>43864</v>
      </c>
      <c r="B980" t="s">
        <v>14</v>
      </c>
      <c r="C980" s="1">
        <v>46164.999988425923</v>
      </c>
      <c r="D980">
        <v>25.155888680301398</v>
      </c>
      <c r="E980">
        <v>0</v>
      </c>
      <c r="F980" s="1">
        <v>43863.606249999997</v>
      </c>
      <c r="G980">
        <v>52.872942191952099</v>
      </c>
      <c r="H980" t="s">
        <v>21</v>
      </c>
      <c r="J980" t="s">
        <v>16</v>
      </c>
      <c r="K980">
        <v>0</v>
      </c>
      <c r="L980" t="s">
        <v>17</v>
      </c>
      <c r="M980">
        <v>0</v>
      </c>
      <c r="N980">
        <v>0</v>
      </c>
    </row>
    <row r="981" spans="1:14" x14ac:dyDescent="0.25">
      <c r="A981">
        <v>43864</v>
      </c>
      <c r="B981" t="s">
        <v>14</v>
      </c>
      <c r="C981" s="1">
        <v>46163.999988425923</v>
      </c>
      <c r="D981">
        <v>25.155888680301398</v>
      </c>
      <c r="E981">
        <v>0</v>
      </c>
      <c r="F981" s="1">
        <v>43863.606249999997</v>
      </c>
      <c r="G981">
        <v>52.872942191952099</v>
      </c>
      <c r="H981" t="s">
        <v>21</v>
      </c>
      <c r="J981" t="s">
        <v>16</v>
      </c>
      <c r="K981">
        <v>0</v>
      </c>
      <c r="L981" t="s">
        <v>17</v>
      </c>
      <c r="M981">
        <v>0</v>
      </c>
      <c r="N981">
        <v>0</v>
      </c>
    </row>
    <row r="982" spans="1:14" x14ac:dyDescent="0.25">
      <c r="A982">
        <v>43864</v>
      </c>
      <c r="B982" t="s">
        <v>14</v>
      </c>
      <c r="C982" s="1">
        <v>46162.999988425923</v>
      </c>
      <c r="D982">
        <v>25.155888680301398</v>
      </c>
      <c r="E982">
        <v>0</v>
      </c>
      <c r="F982" s="1">
        <v>43863.606249999997</v>
      </c>
      <c r="G982">
        <v>52.872942191952099</v>
      </c>
      <c r="H982" t="s">
        <v>21</v>
      </c>
      <c r="J982" t="s">
        <v>16</v>
      </c>
      <c r="K982">
        <v>0</v>
      </c>
      <c r="L982" t="s">
        <v>17</v>
      </c>
      <c r="M982">
        <v>0</v>
      </c>
      <c r="N982">
        <v>0</v>
      </c>
    </row>
    <row r="983" spans="1:14" x14ac:dyDescent="0.25">
      <c r="A983">
        <v>43864</v>
      </c>
      <c r="B983" t="s">
        <v>14</v>
      </c>
      <c r="C983" s="1">
        <v>46161.999988425923</v>
      </c>
      <c r="D983">
        <v>25.155888680301398</v>
      </c>
      <c r="E983">
        <v>0</v>
      </c>
      <c r="F983" s="1">
        <v>43863.606249999997</v>
      </c>
      <c r="G983">
        <v>52.872942191952099</v>
      </c>
      <c r="H983" t="s">
        <v>21</v>
      </c>
      <c r="J983" t="s">
        <v>16</v>
      </c>
      <c r="K983">
        <v>0</v>
      </c>
      <c r="L983" t="s">
        <v>17</v>
      </c>
      <c r="M983">
        <v>0</v>
      </c>
      <c r="N983">
        <v>0</v>
      </c>
    </row>
    <row r="984" spans="1:14" x14ac:dyDescent="0.25">
      <c r="A984">
        <v>43864</v>
      </c>
      <c r="B984" t="s">
        <v>14</v>
      </c>
      <c r="C984" s="1">
        <v>46160.999988425923</v>
      </c>
      <c r="D984">
        <v>25.155888680301398</v>
      </c>
      <c r="E984">
        <v>0</v>
      </c>
      <c r="F984" s="1">
        <v>43863.606249999997</v>
      </c>
      <c r="G984">
        <v>52.872942191952099</v>
      </c>
      <c r="H984" t="s">
        <v>21</v>
      </c>
      <c r="J984" t="s">
        <v>16</v>
      </c>
      <c r="K984">
        <v>0</v>
      </c>
      <c r="L984" t="s">
        <v>17</v>
      </c>
      <c r="M984">
        <v>0</v>
      </c>
      <c r="N984">
        <v>0</v>
      </c>
    </row>
    <row r="985" spans="1:14" x14ac:dyDescent="0.25">
      <c r="A985">
        <v>43864</v>
      </c>
      <c r="B985" t="s">
        <v>14</v>
      </c>
      <c r="C985" s="1">
        <v>46159.999988425923</v>
      </c>
      <c r="D985">
        <v>25.155888680301398</v>
      </c>
      <c r="E985">
        <v>0</v>
      </c>
      <c r="F985" s="1">
        <v>43863.606249999997</v>
      </c>
      <c r="G985">
        <v>52.872942191952099</v>
      </c>
      <c r="H985" t="s">
        <v>21</v>
      </c>
      <c r="J985" t="s">
        <v>16</v>
      </c>
      <c r="K985">
        <v>0</v>
      </c>
      <c r="L985" t="s">
        <v>17</v>
      </c>
      <c r="M985">
        <v>0</v>
      </c>
      <c r="N985">
        <v>0</v>
      </c>
    </row>
    <row r="986" spans="1:14" x14ac:dyDescent="0.25">
      <c r="A986">
        <v>43864</v>
      </c>
      <c r="B986" t="s">
        <v>14</v>
      </c>
      <c r="C986" s="1">
        <v>46158.999988425923</v>
      </c>
      <c r="D986">
        <v>25.155888680301398</v>
      </c>
      <c r="E986">
        <v>0</v>
      </c>
      <c r="F986" s="1">
        <v>43863.606249999997</v>
      </c>
      <c r="G986">
        <v>52.872942191952099</v>
      </c>
      <c r="H986" t="s">
        <v>21</v>
      </c>
      <c r="J986" t="s">
        <v>16</v>
      </c>
      <c r="K986">
        <v>0</v>
      </c>
      <c r="L986" t="s">
        <v>17</v>
      </c>
      <c r="M986">
        <v>0</v>
      </c>
      <c r="N986">
        <v>0</v>
      </c>
    </row>
    <row r="987" spans="1:14" x14ac:dyDescent="0.25">
      <c r="A987">
        <v>43864</v>
      </c>
      <c r="B987" t="s">
        <v>14</v>
      </c>
      <c r="C987" s="1">
        <v>46157.999988425923</v>
      </c>
      <c r="D987">
        <v>25.155888680301398</v>
      </c>
      <c r="E987">
        <v>0</v>
      </c>
      <c r="F987" s="1">
        <v>43863.606249999997</v>
      </c>
      <c r="G987">
        <v>52.872942191952099</v>
      </c>
      <c r="H987" t="s">
        <v>21</v>
      </c>
      <c r="J987" t="s">
        <v>16</v>
      </c>
      <c r="K987">
        <v>0</v>
      </c>
      <c r="L987" t="s">
        <v>17</v>
      </c>
      <c r="M987">
        <v>0</v>
      </c>
      <c r="N987">
        <v>0</v>
      </c>
    </row>
    <row r="988" spans="1:14" x14ac:dyDescent="0.25">
      <c r="A988">
        <v>43864</v>
      </c>
      <c r="B988" t="s">
        <v>14</v>
      </c>
      <c r="C988" s="1">
        <v>46156.999988425923</v>
      </c>
      <c r="D988">
        <v>25.155888680301398</v>
      </c>
      <c r="E988">
        <v>0</v>
      </c>
      <c r="F988" s="1">
        <v>43863.606249999997</v>
      </c>
      <c r="G988">
        <v>52.872942191952099</v>
      </c>
      <c r="H988" t="s">
        <v>21</v>
      </c>
      <c r="J988" t="s">
        <v>16</v>
      </c>
      <c r="K988">
        <v>0</v>
      </c>
      <c r="L988" t="s">
        <v>17</v>
      </c>
      <c r="M988">
        <v>0</v>
      </c>
      <c r="N988">
        <v>0</v>
      </c>
    </row>
    <row r="989" spans="1:14" x14ac:dyDescent="0.25">
      <c r="A989">
        <v>43864</v>
      </c>
      <c r="B989" t="s">
        <v>14</v>
      </c>
      <c r="C989" s="1">
        <v>46155.999988425923</v>
      </c>
      <c r="D989">
        <v>25.155888680301398</v>
      </c>
      <c r="E989">
        <v>0</v>
      </c>
      <c r="F989" s="1">
        <v>43863.606249999997</v>
      </c>
      <c r="G989">
        <v>52.872942191952099</v>
      </c>
      <c r="H989" t="s">
        <v>21</v>
      </c>
      <c r="J989" t="s">
        <v>16</v>
      </c>
      <c r="K989">
        <v>0</v>
      </c>
      <c r="L989" t="s">
        <v>17</v>
      </c>
      <c r="M989">
        <v>0</v>
      </c>
      <c r="N989">
        <v>0</v>
      </c>
    </row>
    <row r="990" spans="1:14" x14ac:dyDescent="0.25">
      <c r="A990">
        <v>43864</v>
      </c>
      <c r="B990" t="s">
        <v>14</v>
      </c>
      <c r="C990" s="1">
        <v>46154.999988425923</v>
      </c>
      <c r="D990">
        <v>25.155888680301398</v>
      </c>
      <c r="E990">
        <v>0</v>
      </c>
      <c r="F990" s="1">
        <v>43863.606249999997</v>
      </c>
      <c r="G990">
        <v>52.872942191952099</v>
      </c>
      <c r="H990" t="s">
        <v>21</v>
      </c>
      <c r="J990" t="s">
        <v>16</v>
      </c>
      <c r="K990">
        <v>0</v>
      </c>
      <c r="L990" t="s">
        <v>17</v>
      </c>
      <c r="M990">
        <v>0</v>
      </c>
      <c r="N990">
        <v>0</v>
      </c>
    </row>
    <row r="991" spans="1:14" x14ac:dyDescent="0.25">
      <c r="A991">
        <v>43864</v>
      </c>
      <c r="B991" t="s">
        <v>14</v>
      </c>
      <c r="C991" s="1">
        <v>46153.999988425923</v>
      </c>
      <c r="D991">
        <v>25.155888680301398</v>
      </c>
      <c r="E991">
        <v>0</v>
      </c>
      <c r="F991" s="1">
        <v>43863.606249999997</v>
      </c>
      <c r="G991">
        <v>52.872942191952099</v>
      </c>
      <c r="H991" t="s">
        <v>21</v>
      </c>
      <c r="J991" t="s">
        <v>16</v>
      </c>
      <c r="K991">
        <v>0</v>
      </c>
      <c r="L991" t="s">
        <v>17</v>
      </c>
      <c r="M991">
        <v>0</v>
      </c>
      <c r="N991">
        <v>0</v>
      </c>
    </row>
    <row r="992" spans="1:14" x14ac:dyDescent="0.25">
      <c r="A992">
        <v>43864</v>
      </c>
      <c r="B992" t="s">
        <v>14</v>
      </c>
      <c r="C992" s="1">
        <v>46152.999988425923</v>
      </c>
      <c r="D992">
        <v>25.155888680301398</v>
      </c>
      <c r="E992">
        <v>0</v>
      </c>
      <c r="F992" s="1">
        <v>43863.606249999997</v>
      </c>
      <c r="G992">
        <v>52.872942191952099</v>
      </c>
      <c r="H992" t="s">
        <v>21</v>
      </c>
      <c r="J992" t="s">
        <v>16</v>
      </c>
      <c r="K992">
        <v>0</v>
      </c>
      <c r="L992" t="s">
        <v>17</v>
      </c>
      <c r="M992">
        <v>0</v>
      </c>
      <c r="N992">
        <v>0</v>
      </c>
    </row>
    <row r="993" spans="1:14" x14ac:dyDescent="0.25">
      <c r="A993">
        <v>43864</v>
      </c>
      <c r="B993" t="s">
        <v>14</v>
      </c>
      <c r="C993" s="1">
        <v>46151.999988425923</v>
      </c>
      <c r="D993">
        <v>25.155888680301398</v>
      </c>
      <c r="E993">
        <v>0</v>
      </c>
      <c r="F993" s="1">
        <v>43863.606249999997</v>
      </c>
      <c r="G993">
        <v>52.872942191952099</v>
      </c>
      <c r="H993" t="s">
        <v>21</v>
      </c>
      <c r="J993" t="s">
        <v>16</v>
      </c>
      <c r="K993">
        <v>0</v>
      </c>
      <c r="L993" t="s">
        <v>17</v>
      </c>
      <c r="M993">
        <v>0</v>
      </c>
      <c r="N993">
        <v>0</v>
      </c>
    </row>
    <row r="994" spans="1:14" x14ac:dyDescent="0.25">
      <c r="A994">
        <v>43864</v>
      </c>
      <c r="B994" t="s">
        <v>14</v>
      </c>
      <c r="C994" s="1">
        <v>46150.999988425923</v>
      </c>
      <c r="D994">
        <v>25.155888680301398</v>
      </c>
      <c r="E994">
        <v>0</v>
      </c>
      <c r="F994" s="1">
        <v>43863.606249999997</v>
      </c>
      <c r="G994">
        <v>52.872942191952099</v>
      </c>
      <c r="H994" t="s">
        <v>21</v>
      </c>
      <c r="J994" t="s">
        <v>16</v>
      </c>
      <c r="K994">
        <v>0</v>
      </c>
      <c r="L994" t="s">
        <v>17</v>
      </c>
      <c r="M994">
        <v>0</v>
      </c>
      <c r="N994">
        <v>0</v>
      </c>
    </row>
    <row r="995" spans="1:14" x14ac:dyDescent="0.25">
      <c r="A995">
        <v>43864</v>
      </c>
      <c r="B995" t="s">
        <v>14</v>
      </c>
      <c r="C995" s="1">
        <v>46149.999988425923</v>
      </c>
      <c r="D995">
        <v>25.155888680301398</v>
      </c>
      <c r="E995">
        <v>0</v>
      </c>
      <c r="F995" s="1">
        <v>43863.606249999997</v>
      </c>
      <c r="G995">
        <v>52.872942191952099</v>
      </c>
      <c r="H995" t="s">
        <v>21</v>
      </c>
      <c r="J995" t="s">
        <v>16</v>
      </c>
      <c r="K995">
        <v>0</v>
      </c>
      <c r="L995" t="s">
        <v>17</v>
      </c>
      <c r="M995">
        <v>0</v>
      </c>
      <c r="N995">
        <v>0</v>
      </c>
    </row>
    <row r="996" spans="1:14" x14ac:dyDescent="0.25">
      <c r="A996">
        <v>43864</v>
      </c>
      <c r="B996" t="s">
        <v>14</v>
      </c>
      <c r="C996" s="1">
        <v>46148.999988425923</v>
      </c>
      <c r="D996">
        <v>25.155888680301398</v>
      </c>
      <c r="E996">
        <v>0</v>
      </c>
      <c r="F996" s="1">
        <v>43863.606249999997</v>
      </c>
      <c r="G996">
        <v>52.872942191952099</v>
      </c>
      <c r="H996" t="s">
        <v>21</v>
      </c>
      <c r="J996" t="s">
        <v>16</v>
      </c>
      <c r="K996">
        <v>0</v>
      </c>
      <c r="L996" t="s">
        <v>17</v>
      </c>
      <c r="M996">
        <v>0</v>
      </c>
      <c r="N996">
        <v>0</v>
      </c>
    </row>
    <row r="997" spans="1:14" x14ac:dyDescent="0.25">
      <c r="A997">
        <v>43864</v>
      </c>
      <c r="B997" t="s">
        <v>14</v>
      </c>
      <c r="C997" s="1">
        <v>46147.999988425923</v>
      </c>
      <c r="D997">
        <v>25.155888680301398</v>
      </c>
      <c r="E997">
        <v>0</v>
      </c>
      <c r="F997" s="1">
        <v>43863.606249999997</v>
      </c>
      <c r="G997">
        <v>52.872942191952099</v>
      </c>
      <c r="H997" t="s">
        <v>21</v>
      </c>
      <c r="J997" t="s">
        <v>16</v>
      </c>
      <c r="K997">
        <v>0</v>
      </c>
      <c r="L997" t="s">
        <v>17</v>
      </c>
      <c r="M997">
        <v>0</v>
      </c>
      <c r="N997">
        <v>0</v>
      </c>
    </row>
    <row r="998" spans="1:14" x14ac:dyDescent="0.25">
      <c r="A998">
        <v>43864</v>
      </c>
      <c r="B998" t="s">
        <v>14</v>
      </c>
      <c r="C998" s="1">
        <v>46146.999988425923</v>
      </c>
      <c r="D998">
        <v>25.155888680301398</v>
      </c>
      <c r="E998">
        <v>0</v>
      </c>
      <c r="F998" s="1">
        <v>43863.606249999997</v>
      </c>
      <c r="G998">
        <v>52.872942191952099</v>
      </c>
      <c r="H998" t="s">
        <v>21</v>
      </c>
      <c r="J998" t="s">
        <v>16</v>
      </c>
      <c r="K998">
        <v>0</v>
      </c>
      <c r="L998" t="s">
        <v>17</v>
      </c>
      <c r="M998">
        <v>0</v>
      </c>
      <c r="N998">
        <v>0</v>
      </c>
    </row>
    <row r="999" spans="1:14" x14ac:dyDescent="0.25">
      <c r="A999">
        <v>43864</v>
      </c>
      <c r="B999" t="s">
        <v>14</v>
      </c>
      <c r="C999" s="1">
        <v>46145.999988425923</v>
      </c>
      <c r="D999">
        <v>25.155888680301398</v>
      </c>
      <c r="E999">
        <v>0</v>
      </c>
      <c r="F999" s="1">
        <v>43863.606249999997</v>
      </c>
      <c r="G999">
        <v>52.872942191952099</v>
      </c>
      <c r="H999" t="s">
        <v>21</v>
      </c>
      <c r="J999" t="s">
        <v>16</v>
      </c>
      <c r="K999">
        <v>0</v>
      </c>
      <c r="L999" t="s">
        <v>17</v>
      </c>
      <c r="M999">
        <v>0</v>
      </c>
      <c r="N999">
        <v>0</v>
      </c>
    </row>
    <row r="1000" spans="1:14" x14ac:dyDescent="0.25">
      <c r="A1000">
        <v>43864</v>
      </c>
      <c r="B1000" t="s">
        <v>14</v>
      </c>
      <c r="C1000" s="1">
        <v>46144.999988425923</v>
      </c>
      <c r="D1000">
        <v>25.155888680301398</v>
      </c>
      <c r="E1000">
        <v>0</v>
      </c>
      <c r="F1000" s="1">
        <v>43863.606249999997</v>
      </c>
      <c r="G1000">
        <v>52.872942191952099</v>
      </c>
      <c r="H1000" t="s">
        <v>21</v>
      </c>
      <c r="J1000" t="s">
        <v>16</v>
      </c>
      <c r="K1000">
        <v>0</v>
      </c>
      <c r="L1000" t="s">
        <v>17</v>
      </c>
      <c r="M1000">
        <v>0</v>
      </c>
      <c r="N1000">
        <v>0</v>
      </c>
    </row>
    <row r="1001" spans="1:14" x14ac:dyDescent="0.25">
      <c r="A1001">
        <v>43864</v>
      </c>
      <c r="B1001" t="s">
        <v>14</v>
      </c>
      <c r="C1001" s="1">
        <v>46143.999988425923</v>
      </c>
      <c r="D1001">
        <v>25.155888680301398</v>
      </c>
      <c r="E1001">
        <v>0</v>
      </c>
      <c r="F1001" s="1">
        <v>43863.606249999997</v>
      </c>
      <c r="G1001">
        <v>52.872942191952099</v>
      </c>
      <c r="H1001" t="s">
        <v>21</v>
      </c>
      <c r="J1001" t="s">
        <v>16</v>
      </c>
      <c r="K1001">
        <v>0</v>
      </c>
      <c r="L1001" t="s">
        <v>17</v>
      </c>
      <c r="M1001">
        <v>0</v>
      </c>
      <c r="N1001">
        <v>0</v>
      </c>
    </row>
    <row r="1002" spans="1:14" x14ac:dyDescent="0.25">
      <c r="A1002">
        <v>43864</v>
      </c>
      <c r="B1002" t="s">
        <v>14</v>
      </c>
      <c r="C1002" s="1">
        <v>46142.999988425923</v>
      </c>
      <c r="D1002">
        <v>25.155888680301398</v>
      </c>
      <c r="E1002">
        <v>0</v>
      </c>
      <c r="F1002" s="1">
        <v>43863.606249999997</v>
      </c>
      <c r="G1002">
        <v>52.872942191952099</v>
      </c>
      <c r="H1002" t="s">
        <v>21</v>
      </c>
      <c r="J1002" t="s">
        <v>16</v>
      </c>
      <c r="K1002">
        <v>0</v>
      </c>
      <c r="L1002" t="s">
        <v>17</v>
      </c>
      <c r="M1002">
        <v>0</v>
      </c>
      <c r="N1002">
        <v>0</v>
      </c>
    </row>
    <row r="1003" spans="1:14" x14ac:dyDescent="0.25">
      <c r="A1003">
        <v>43864</v>
      </c>
      <c r="B1003" t="s">
        <v>14</v>
      </c>
      <c r="C1003" s="1">
        <v>46141.999988425923</v>
      </c>
      <c r="D1003">
        <v>25.155888680301398</v>
      </c>
      <c r="E1003">
        <v>0</v>
      </c>
      <c r="F1003" s="1">
        <v>43863.606249999997</v>
      </c>
      <c r="G1003">
        <v>52.872942191952099</v>
      </c>
      <c r="H1003" t="s">
        <v>21</v>
      </c>
      <c r="J1003" t="s">
        <v>16</v>
      </c>
      <c r="K1003">
        <v>0</v>
      </c>
      <c r="L1003" t="s">
        <v>17</v>
      </c>
      <c r="M1003">
        <v>0</v>
      </c>
      <c r="N1003">
        <v>0</v>
      </c>
    </row>
    <row r="1004" spans="1:14" x14ac:dyDescent="0.25">
      <c r="A1004">
        <v>43864</v>
      </c>
      <c r="B1004" t="s">
        <v>14</v>
      </c>
      <c r="C1004" s="1">
        <v>46140.999988425923</v>
      </c>
      <c r="D1004">
        <v>25.155888680301398</v>
      </c>
      <c r="E1004">
        <v>0</v>
      </c>
      <c r="F1004" s="1">
        <v>43863.606249999997</v>
      </c>
      <c r="G1004">
        <v>52.872942191952099</v>
      </c>
      <c r="H1004" t="s">
        <v>21</v>
      </c>
      <c r="J1004" t="s">
        <v>16</v>
      </c>
      <c r="K1004">
        <v>0</v>
      </c>
      <c r="L1004" t="s">
        <v>17</v>
      </c>
      <c r="M1004">
        <v>0</v>
      </c>
      <c r="N1004">
        <v>0</v>
      </c>
    </row>
    <row r="1005" spans="1:14" x14ac:dyDescent="0.25">
      <c r="A1005">
        <v>43864</v>
      </c>
      <c r="B1005" t="s">
        <v>14</v>
      </c>
      <c r="C1005" s="1">
        <v>46139.999988425923</v>
      </c>
      <c r="D1005">
        <v>25.155888680301398</v>
      </c>
      <c r="E1005">
        <v>0</v>
      </c>
      <c r="F1005" s="1">
        <v>43863.606249999997</v>
      </c>
      <c r="G1005">
        <v>52.872942191952099</v>
      </c>
      <c r="H1005" t="s">
        <v>21</v>
      </c>
      <c r="J1005" t="s">
        <v>16</v>
      </c>
      <c r="K1005">
        <v>0</v>
      </c>
      <c r="L1005" t="s">
        <v>17</v>
      </c>
      <c r="M1005">
        <v>0</v>
      </c>
      <c r="N1005">
        <v>0</v>
      </c>
    </row>
    <row r="1006" spans="1:14" x14ac:dyDescent="0.25">
      <c r="A1006">
        <v>43864</v>
      </c>
      <c r="B1006" t="s">
        <v>14</v>
      </c>
      <c r="C1006" s="1">
        <v>46138.999988425923</v>
      </c>
      <c r="D1006">
        <v>25.155888680301398</v>
      </c>
      <c r="E1006">
        <v>0</v>
      </c>
      <c r="F1006" s="1">
        <v>43863.606249999997</v>
      </c>
      <c r="G1006">
        <v>52.872942191952099</v>
      </c>
      <c r="H1006" t="s">
        <v>21</v>
      </c>
      <c r="J1006" t="s">
        <v>16</v>
      </c>
      <c r="K1006">
        <v>0</v>
      </c>
      <c r="L1006" t="s">
        <v>17</v>
      </c>
      <c r="M1006">
        <v>0</v>
      </c>
      <c r="N1006">
        <v>0</v>
      </c>
    </row>
    <row r="1007" spans="1:14" x14ac:dyDescent="0.25">
      <c r="A1007">
        <v>43864</v>
      </c>
      <c r="B1007" t="s">
        <v>14</v>
      </c>
      <c r="C1007" s="1">
        <v>46137.999988425923</v>
      </c>
      <c r="D1007">
        <v>25.155888680301398</v>
      </c>
      <c r="E1007">
        <v>0</v>
      </c>
      <c r="F1007" s="1">
        <v>43863.606249999997</v>
      </c>
      <c r="G1007">
        <v>52.872942191952099</v>
      </c>
      <c r="H1007" t="s">
        <v>21</v>
      </c>
      <c r="J1007" t="s">
        <v>16</v>
      </c>
      <c r="K1007">
        <v>0</v>
      </c>
      <c r="L1007" t="s">
        <v>17</v>
      </c>
      <c r="M1007">
        <v>0</v>
      </c>
      <c r="N1007">
        <v>0</v>
      </c>
    </row>
    <row r="1008" spans="1:14" x14ac:dyDescent="0.25">
      <c r="A1008">
        <v>43864</v>
      </c>
      <c r="B1008" t="s">
        <v>14</v>
      </c>
      <c r="C1008" s="1">
        <v>46136.999988425923</v>
      </c>
      <c r="D1008">
        <v>25.155888680301398</v>
      </c>
      <c r="E1008">
        <v>0</v>
      </c>
      <c r="F1008" s="1">
        <v>43863.606249999997</v>
      </c>
      <c r="G1008">
        <v>52.872942191952099</v>
      </c>
      <c r="H1008" t="s">
        <v>21</v>
      </c>
      <c r="J1008" t="s">
        <v>16</v>
      </c>
      <c r="K1008">
        <v>0</v>
      </c>
      <c r="L1008" t="s">
        <v>17</v>
      </c>
      <c r="M1008">
        <v>0</v>
      </c>
      <c r="N1008">
        <v>0</v>
      </c>
    </row>
    <row r="1009" spans="1:14" x14ac:dyDescent="0.25">
      <c r="A1009">
        <v>43864</v>
      </c>
      <c r="B1009" t="s">
        <v>14</v>
      </c>
      <c r="C1009" s="1">
        <v>46135.999988425923</v>
      </c>
      <c r="D1009">
        <v>25.155888680301398</v>
      </c>
      <c r="E1009">
        <v>0</v>
      </c>
      <c r="F1009" s="1">
        <v>43863.606249999997</v>
      </c>
      <c r="G1009">
        <v>52.872942191952099</v>
      </c>
      <c r="H1009" t="s">
        <v>21</v>
      </c>
      <c r="J1009" t="s">
        <v>16</v>
      </c>
      <c r="K1009">
        <v>0</v>
      </c>
      <c r="L1009" t="s">
        <v>17</v>
      </c>
      <c r="M1009">
        <v>0</v>
      </c>
      <c r="N1009">
        <v>0</v>
      </c>
    </row>
    <row r="1010" spans="1:14" x14ac:dyDescent="0.25">
      <c r="A1010">
        <v>43864</v>
      </c>
      <c r="B1010" t="s">
        <v>14</v>
      </c>
      <c r="C1010" s="1">
        <v>46134.999988425923</v>
      </c>
      <c r="D1010">
        <v>25.155888680301398</v>
      </c>
      <c r="E1010">
        <v>0</v>
      </c>
      <c r="F1010" s="1">
        <v>43863.606249999997</v>
      </c>
      <c r="G1010">
        <v>52.872942191952099</v>
      </c>
      <c r="H1010" t="s">
        <v>21</v>
      </c>
      <c r="J1010" t="s">
        <v>16</v>
      </c>
      <c r="K1010">
        <v>0</v>
      </c>
      <c r="L1010" t="s">
        <v>17</v>
      </c>
      <c r="M1010">
        <v>0</v>
      </c>
      <c r="N1010">
        <v>0</v>
      </c>
    </row>
    <row r="1011" spans="1:14" x14ac:dyDescent="0.25">
      <c r="A1011">
        <v>43864</v>
      </c>
      <c r="B1011" t="s">
        <v>14</v>
      </c>
      <c r="C1011" s="1">
        <v>46133.999988425923</v>
      </c>
      <c r="D1011">
        <v>25.155888680301398</v>
      </c>
      <c r="E1011">
        <v>0</v>
      </c>
      <c r="F1011" s="1">
        <v>43863.606249999997</v>
      </c>
      <c r="G1011">
        <v>52.872942191952099</v>
      </c>
      <c r="H1011" t="s">
        <v>21</v>
      </c>
      <c r="J1011" t="s">
        <v>16</v>
      </c>
      <c r="K1011">
        <v>0</v>
      </c>
      <c r="L1011" t="s">
        <v>17</v>
      </c>
      <c r="M1011">
        <v>0</v>
      </c>
      <c r="N1011">
        <v>0</v>
      </c>
    </row>
    <row r="1012" spans="1:14" x14ac:dyDescent="0.25">
      <c r="A1012">
        <v>43864</v>
      </c>
      <c r="B1012" t="s">
        <v>14</v>
      </c>
      <c r="C1012" s="1">
        <v>46132.999988425923</v>
      </c>
      <c r="D1012">
        <v>25.155888680301398</v>
      </c>
      <c r="E1012">
        <v>0</v>
      </c>
      <c r="F1012" s="1">
        <v>43863.606249999997</v>
      </c>
      <c r="G1012">
        <v>52.872942191952099</v>
      </c>
      <c r="H1012" t="s">
        <v>21</v>
      </c>
      <c r="J1012" t="s">
        <v>16</v>
      </c>
      <c r="K1012">
        <v>0</v>
      </c>
      <c r="L1012" t="s">
        <v>17</v>
      </c>
      <c r="M1012">
        <v>0</v>
      </c>
      <c r="N1012">
        <v>0</v>
      </c>
    </row>
    <row r="1013" spans="1:14" x14ac:dyDescent="0.25">
      <c r="A1013">
        <v>43864</v>
      </c>
      <c r="B1013" t="s">
        <v>14</v>
      </c>
      <c r="C1013" s="1">
        <v>46131.999988425923</v>
      </c>
      <c r="D1013">
        <v>25.155888680301398</v>
      </c>
      <c r="E1013">
        <v>0</v>
      </c>
      <c r="F1013" s="1">
        <v>43863.606249999997</v>
      </c>
      <c r="G1013">
        <v>52.872942191952099</v>
      </c>
      <c r="H1013" t="s">
        <v>21</v>
      </c>
      <c r="J1013" t="s">
        <v>16</v>
      </c>
      <c r="K1013">
        <v>0</v>
      </c>
      <c r="L1013" t="s">
        <v>17</v>
      </c>
      <c r="M1013">
        <v>0</v>
      </c>
      <c r="N1013">
        <v>0</v>
      </c>
    </row>
    <row r="1014" spans="1:14" x14ac:dyDescent="0.25">
      <c r="A1014">
        <v>43864</v>
      </c>
      <c r="B1014" t="s">
        <v>14</v>
      </c>
      <c r="C1014" s="1">
        <v>46130.999988425923</v>
      </c>
      <c r="D1014">
        <v>25.155888680301398</v>
      </c>
      <c r="E1014">
        <v>0</v>
      </c>
      <c r="F1014" s="1">
        <v>43863.606249999997</v>
      </c>
      <c r="G1014">
        <v>52.872942191952099</v>
      </c>
      <c r="H1014" t="s">
        <v>21</v>
      </c>
      <c r="J1014" t="s">
        <v>16</v>
      </c>
      <c r="K1014">
        <v>0</v>
      </c>
      <c r="L1014" t="s">
        <v>17</v>
      </c>
      <c r="M1014">
        <v>0</v>
      </c>
      <c r="N1014">
        <v>0</v>
      </c>
    </row>
    <row r="1015" spans="1:14" x14ac:dyDescent="0.25">
      <c r="A1015">
        <v>43864</v>
      </c>
      <c r="B1015" t="s">
        <v>14</v>
      </c>
      <c r="C1015" s="1">
        <v>46129.999988425923</v>
      </c>
      <c r="D1015">
        <v>25.155888680301398</v>
      </c>
      <c r="E1015">
        <v>0</v>
      </c>
      <c r="F1015" s="1">
        <v>43863.606249999997</v>
      </c>
      <c r="G1015">
        <v>52.872942191952099</v>
      </c>
      <c r="H1015" t="s">
        <v>21</v>
      </c>
      <c r="J1015" t="s">
        <v>16</v>
      </c>
      <c r="K1015">
        <v>0</v>
      </c>
      <c r="L1015" t="s">
        <v>17</v>
      </c>
      <c r="M1015">
        <v>0</v>
      </c>
      <c r="N1015">
        <v>0</v>
      </c>
    </row>
    <row r="1016" spans="1:14" x14ac:dyDescent="0.25">
      <c r="A1016">
        <v>43864</v>
      </c>
      <c r="B1016" t="s">
        <v>14</v>
      </c>
      <c r="C1016" s="1">
        <v>46128.999988425923</v>
      </c>
      <c r="D1016">
        <v>25.155888680301398</v>
      </c>
      <c r="E1016">
        <v>0</v>
      </c>
      <c r="F1016" s="1">
        <v>43863.606249999997</v>
      </c>
      <c r="G1016">
        <v>52.872942191952099</v>
      </c>
      <c r="H1016" t="s">
        <v>21</v>
      </c>
      <c r="J1016" t="s">
        <v>16</v>
      </c>
      <c r="K1016">
        <v>0</v>
      </c>
      <c r="L1016" t="s">
        <v>17</v>
      </c>
      <c r="M1016">
        <v>0</v>
      </c>
      <c r="N1016">
        <v>0</v>
      </c>
    </row>
    <row r="1017" spans="1:14" x14ac:dyDescent="0.25">
      <c r="A1017">
        <v>43864</v>
      </c>
      <c r="B1017" t="s">
        <v>14</v>
      </c>
      <c r="C1017" s="1">
        <v>46127.999988425923</v>
      </c>
      <c r="D1017">
        <v>25.155888680301398</v>
      </c>
      <c r="E1017">
        <v>0</v>
      </c>
      <c r="F1017" s="1">
        <v>43863.606249999997</v>
      </c>
      <c r="G1017">
        <v>52.872942191952099</v>
      </c>
      <c r="H1017" t="s">
        <v>21</v>
      </c>
      <c r="J1017" t="s">
        <v>16</v>
      </c>
      <c r="K1017">
        <v>0</v>
      </c>
      <c r="L1017" t="s">
        <v>17</v>
      </c>
      <c r="M1017">
        <v>0</v>
      </c>
      <c r="N1017">
        <v>0</v>
      </c>
    </row>
    <row r="1018" spans="1:14" x14ac:dyDescent="0.25">
      <c r="A1018">
        <v>43864</v>
      </c>
      <c r="B1018" t="s">
        <v>14</v>
      </c>
      <c r="C1018" s="1">
        <v>46126.999988425923</v>
      </c>
      <c r="D1018">
        <v>25.155888680301398</v>
      </c>
      <c r="E1018">
        <v>0</v>
      </c>
      <c r="F1018" s="1">
        <v>43863.606249999997</v>
      </c>
      <c r="G1018">
        <v>52.872942191952099</v>
      </c>
      <c r="H1018" t="s">
        <v>21</v>
      </c>
      <c r="J1018" t="s">
        <v>16</v>
      </c>
      <c r="K1018">
        <v>0</v>
      </c>
      <c r="L1018" t="s">
        <v>17</v>
      </c>
      <c r="M1018">
        <v>0</v>
      </c>
      <c r="N1018">
        <v>0</v>
      </c>
    </row>
    <row r="1019" spans="1:14" x14ac:dyDescent="0.25">
      <c r="A1019">
        <v>43864</v>
      </c>
      <c r="B1019" t="s">
        <v>14</v>
      </c>
      <c r="C1019" s="1">
        <v>46125.999988425923</v>
      </c>
      <c r="D1019">
        <v>25.155888680301398</v>
      </c>
      <c r="E1019">
        <v>0</v>
      </c>
      <c r="F1019" s="1">
        <v>43863.606249999997</v>
      </c>
      <c r="G1019">
        <v>52.872942191952099</v>
      </c>
      <c r="H1019" t="s">
        <v>21</v>
      </c>
      <c r="J1019" t="s">
        <v>16</v>
      </c>
      <c r="K1019">
        <v>0</v>
      </c>
      <c r="L1019" t="s">
        <v>17</v>
      </c>
      <c r="M1019">
        <v>0</v>
      </c>
      <c r="N1019">
        <v>0</v>
      </c>
    </row>
    <row r="1020" spans="1:14" x14ac:dyDescent="0.25">
      <c r="A1020">
        <v>43864</v>
      </c>
      <c r="B1020" t="s">
        <v>14</v>
      </c>
      <c r="C1020" s="1">
        <v>46124.999988425923</v>
      </c>
      <c r="D1020">
        <v>25.155888680301398</v>
      </c>
      <c r="E1020">
        <v>0</v>
      </c>
      <c r="F1020" s="1">
        <v>43863.606249999997</v>
      </c>
      <c r="G1020">
        <v>52.872942191952099</v>
      </c>
      <c r="H1020" t="s">
        <v>21</v>
      </c>
      <c r="J1020" t="s">
        <v>16</v>
      </c>
      <c r="K1020">
        <v>0</v>
      </c>
      <c r="L1020" t="s">
        <v>17</v>
      </c>
      <c r="M1020">
        <v>0</v>
      </c>
      <c r="N1020">
        <v>0</v>
      </c>
    </row>
    <row r="1021" spans="1:14" x14ac:dyDescent="0.25">
      <c r="A1021">
        <v>43864</v>
      </c>
      <c r="B1021" t="s">
        <v>14</v>
      </c>
      <c r="C1021" s="1">
        <v>46123.999988425923</v>
      </c>
      <c r="D1021">
        <v>25.155888680301398</v>
      </c>
      <c r="E1021">
        <v>0</v>
      </c>
      <c r="F1021" s="1">
        <v>43863.606249999997</v>
      </c>
      <c r="G1021">
        <v>52.872942191952099</v>
      </c>
      <c r="H1021" t="s">
        <v>21</v>
      </c>
      <c r="J1021" t="s">
        <v>16</v>
      </c>
      <c r="K1021">
        <v>0</v>
      </c>
      <c r="L1021" t="s">
        <v>17</v>
      </c>
      <c r="M1021">
        <v>0</v>
      </c>
      <c r="N1021">
        <v>0</v>
      </c>
    </row>
    <row r="1022" spans="1:14" x14ac:dyDescent="0.25">
      <c r="A1022">
        <v>43864</v>
      </c>
      <c r="B1022" t="s">
        <v>14</v>
      </c>
      <c r="C1022" s="1">
        <v>46122.999988425923</v>
      </c>
      <c r="D1022">
        <v>25.155888680301398</v>
      </c>
      <c r="E1022">
        <v>0</v>
      </c>
      <c r="F1022" s="1">
        <v>43863.606249999997</v>
      </c>
      <c r="G1022">
        <v>52.872942191952099</v>
      </c>
      <c r="H1022" t="s">
        <v>21</v>
      </c>
      <c r="J1022" t="s">
        <v>16</v>
      </c>
      <c r="K1022">
        <v>0</v>
      </c>
      <c r="L1022" t="s">
        <v>17</v>
      </c>
      <c r="M1022">
        <v>0</v>
      </c>
      <c r="N1022">
        <v>0</v>
      </c>
    </row>
    <row r="1023" spans="1:14" x14ac:dyDescent="0.25">
      <c r="A1023">
        <v>43864</v>
      </c>
      <c r="B1023" t="s">
        <v>14</v>
      </c>
      <c r="C1023" s="1">
        <v>46121.999988425923</v>
      </c>
      <c r="D1023">
        <v>25.155888680301398</v>
      </c>
      <c r="E1023">
        <v>0</v>
      </c>
      <c r="F1023" s="1">
        <v>43863.606249999997</v>
      </c>
      <c r="G1023">
        <v>52.872942191952099</v>
      </c>
      <c r="H1023" t="s">
        <v>21</v>
      </c>
      <c r="J1023" t="s">
        <v>16</v>
      </c>
      <c r="K1023">
        <v>0</v>
      </c>
      <c r="L1023" t="s">
        <v>17</v>
      </c>
      <c r="M1023">
        <v>0</v>
      </c>
      <c r="N1023">
        <v>0</v>
      </c>
    </row>
    <row r="1024" spans="1:14" x14ac:dyDescent="0.25">
      <c r="A1024">
        <v>43864</v>
      </c>
      <c r="B1024" t="s">
        <v>14</v>
      </c>
      <c r="C1024" s="1">
        <v>46120.999988425923</v>
      </c>
      <c r="D1024">
        <v>25.155888680301398</v>
      </c>
      <c r="E1024">
        <v>0</v>
      </c>
      <c r="F1024" s="1">
        <v>43863.606249999997</v>
      </c>
      <c r="G1024">
        <v>52.872942191952099</v>
      </c>
      <c r="H1024" t="s">
        <v>21</v>
      </c>
      <c r="J1024" t="s">
        <v>16</v>
      </c>
      <c r="K1024">
        <v>0</v>
      </c>
      <c r="L1024" t="s">
        <v>17</v>
      </c>
      <c r="M1024">
        <v>0</v>
      </c>
      <c r="N1024">
        <v>0</v>
      </c>
    </row>
    <row r="1025" spans="1:14" x14ac:dyDescent="0.25">
      <c r="A1025">
        <v>43864</v>
      </c>
      <c r="B1025" t="s">
        <v>14</v>
      </c>
      <c r="C1025" s="1">
        <v>46119.999988425923</v>
      </c>
      <c r="D1025">
        <v>25.155888680301398</v>
      </c>
      <c r="E1025">
        <v>0</v>
      </c>
      <c r="F1025" s="1">
        <v>43863.606249999997</v>
      </c>
      <c r="G1025">
        <v>52.872942191952099</v>
      </c>
      <c r="H1025" t="s">
        <v>21</v>
      </c>
      <c r="J1025" t="s">
        <v>16</v>
      </c>
      <c r="K1025">
        <v>0</v>
      </c>
      <c r="L1025" t="s">
        <v>17</v>
      </c>
      <c r="M1025">
        <v>0</v>
      </c>
      <c r="N1025">
        <v>0</v>
      </c>
    </row>
    <row r="1026" spans="1:14" x14ac:dyDescent="0.25">
      <c r="A1026">
        <v>43864</v>
      </c>
      <c r="B1026" t="s">
        <v>14</v>
      </c>
      <c r="C1026" s="1">
        <v>46118.999988425923</v>
      </c>
      <c r="D1026">
        <v>25.155888680301398</v>
      </c>
      <c r="E1026">
        <v>0</v>
      </c>
      <c r="F1026" s="1">
        <v>43863.606249999997</v>
      </c>
      <c r="G1026">
        <v>52.872942191952099</v>
      </c>
      <c r="H1026" t="s">
        <v>21</v>
      </c>
      <c r="J1026" t="s">
        <v>16</v>
      </c>
      <c r="K1026">
        <v>0</v>
      </c>
      <c r="L1026" t="s">
        <v>17</v>
      </c>
      <c r="M1026">
        <v>0</v>
      </c>
      <c r="N1026">
        <v>0</v>
      </c>
    </row>
    <row r="1027" spans="1:14" x14ac:dyDescent="0.25">
      <c r="A1027">
        <v>43864</v>
      </c>
      <c r="B1027" t="s">
        <v>14</v>
      </c>
      <c r="C1027" s="1">
        <v>46117.999988425923</v>
      </c>
      <c r="D1027">
        <v>25.155888680301398</v>
      </c>
      <c r="E1027">
        <v>0</v>
      </c>
      <c r="F1027" s="1">
        <v>43863.606249999997</v>
      </c>
      <c r="G1027">
        <v>52.872942191952099</v>
      </c>
      <c r="H1027" t="s">
        <v>21</v>
      </c>
      <c r="J1027" t="s">
        <v>16</v>
      </c>
      <c r="K1027">
        <v>0</v>
      </c>
      <c r="L1027" t="s">
        <v>17</v>
      </c>
      <c r="M1027">
        <v>0</v>
      </c>
      <c r="N1027">
        <v>0</v>
      </c>
    </row>
    <row r="1028" spans="1:14" x14ac:dyDescent="0.25">
      <c r="A1028">
        <v>43864</v>
      </c>
      <c r="B1028" t="s">
        <v>14</v>
      </c>
      <c r="C1028" s="1">
        <v>46116.999988425923</v>
      </c>
      <c r="D1028">
        <v>25.155888680301398</v>
      </c>
      <c r="E1028">
        <v>0</v>
      </c>
      <c r="F1028" s="1">
        <v>43863.606249999997</v>
      </c>
      <c r="G1028">
        <v>52.872942191952099</v>
      </c>
      <c r="H1028" t="s">
        <v>21</v>
      </c>
      <c r="J1028" t="s">
        <v>16</v>
      </c>
      <c r="K1028">
        <v>0</v>
      </c>
      <c r="L1028" t="s">
        <v>17</v>
      </c>
      <c r="M1028">
        <v>0</v>
      </c>
      <c r="N1028">
        <v>0</v>
      </c>
    </row>
    <row r="1029" spans="1:14" x14ac:dyDescent="0.25">
      <c r="A1029">
        <v>43864</v>
      </c>
      <c r="B1029" t="s">
        <v>14</v>
      </c>
      <c r="C1029" s="1">
        <v>46115.999988425923</v>
      </c>
      <c r="D1029">
        <v>25.155888680301398</v>
      </c>
      <c r="E1029">
        <v>0</v>
      </c>
      <c r="F1029" s="1">
        <v>43863.606249999997</v>
      </c>
      <c r="G1029">
        <v>52.872942191952099</v>
      </c>
      <c r="H1029" t="s">
        <v>21</v>
      </c>
      <c r="J1029" t="s">
        <v>16</v>
      </c>
      <c r="K1029">
        <v>0</v>
      </c>
      <c r="L1029" t="s">
        <v>17</v>
      </c>
      <c r="M1029">
        <v>0</v>
      </c>
      <c r="N1029">
        <v>0</v>
      </c>
    </row>
    <row r="1030" spans="1:14" x14ac:dyDescent="0.25">
      <c r="A1030">
        <v>43864</v>
      </c>
      <c r="B1030" t="s">
        <v>14</v>
      </c>
      <c r="C1030" s="1">
        <v>46114.999988425923</v>
      </c>
      <c r="D1030">
        <v>25.155888680301398</v>
      </c>
      <c r="E1030">
        <v>0</v>
      </c>
      <c r="F1030" s="1">
        <v>43863.606249999997</v>
      </c>
      <c r="G1030">
        <v>52.872942191952099</v>
      </c>
      <c r="H1030" t="s">
        <v>21</v>
      </c>
      <c r="J1030" t="s">
        <v>16</v>
      </c>
      <c r="K1030">
        <v>0</v>
      </c>
      <c r="L1030" t="s">
        <v>17</v>
      </c>
      <c r="M1030">
        <v>0</v>
      </c>
      <c r="N1030">
        <v>0</v>
      </c>
    </row>
    <row r="1031" spans="1:14" x14ac:dyDescent="0.25">
      <c r="A1031">
        <v>43864</v>
      </c>
      <c r="B1031" t="s">
        <v>14</v>
      </c>
      <c r="C1031" s="1">
        <v>46113.999988425923</v>
      </c>
      <c r="D1031">
        <v>25.155888680301398</v>
      </c>
      <c r="E1031">
        <v>0</v>
      </c>
      <c r="F1031" s="1">
        <v>43863.606249999997</v>
      </c>
      <c r="G1031">
        <v>52.872942191952099</v>
      </c>
      <c r="H1031" t="s">
        <v>21</v>
      </c>
      <c r="J1031" t="s">
        <v>16</v>
      </c>
      <c r="K1031">
        <v>0</v>
      </c>
      <c r="L1031" t="s">
        <v>17</v>
      </c>
      <c r="M1031">
        <v>0</v>
      </c>
      <c r="N1031">
        <v>0</v>
      </c>
    </row>
    <row r="1032" spans="1:14" x14ac:dyDescent="0.25">
      <c r="A1032">
        <v>43864</v>
      </c>
      <c r="B1032" t="s">
        <v>14</v>
      </c>
      <c r="C1032" s="1">
        <v>46112.999988425923</v>
      </c>
      <c r="D1032">
        <v>25.155888680301398</v>
      </c>
      <c r="E1032">
        <v>0</v>
      </c>
      <c r="F1032" s="1">
        <v>43863.606249999997</v>
      </c>
      <c r="G1032">
        <v>52.872942191952099</v>
      </c>
      <c r="H1032" t="s">
        <v>21</v>
      </c>
      <c r="J1032" t="s">
        <v>16</v>
      </c>
      <c r="K1032">
        <v>0</v>
      </c>
      <c r="L1032" t="s">
        <v>17</v>
      </c>
      <c r="M1032">
        <v>0</v>
      </c>
      <c r="N1032">
        <v>0</v>
      </c>
    </row>
    <row r="1033" spans="1:14" x14ac:dyDescent="0.25">
      <c r="A1033">
        <v>43864</v>
      </c>
      <c r="B1033" t="s">
        <v>14</v>
      </c>
      <c r="C1033" s="1">
        <v>46111.999988425923</v>
      </c>
      <c r="D1033">
        <v>25.155888680301398</v>
      </c>
      <c r="E1033">
        <v>0</v>
      </c>
      <c r="F1033" s="1">
        <v>43863.606249999997</v>
      </c>
      <c r="G1033">
        <v>52.872942191952099</v>
      </c>
      <c r="H1033" t="s">
        <v>21</v>
      </c>
      <c r="J1033" t="s">
        <v>16</v>
      </c>
      <c r="K1033">
        <v>0</v>
      </c>
      <c r="L1033" t="s">
        <v>17</v>
      </c>
      <c r="M1033">
        <v>0</v>
      </c>
      <c r="N1033">
        <v>0</v>
      </c>
    </row>
    <row r="1034" spans="1:14" x14ac:dyDescent="0.25">
      <c r="A1034">
        <v>43864</v>
      </c>
      <c r="B1034" t="s">
        <v>14</v>
      </c>
      <c r="C1034" s="1">
        <v>46110.999988425923</v>
      </c>
      <c r="D1034">
        <v>25.155888680301398</v>
      </c>
      <c r="E1034">
        <v>0</v>
      </c>
      <c r="F1034" s="1">
        <v>43863.606249999997</v>
      </c>
      <c r="G1034">
        <v>52.872942191952099</v>
      </c>
      <c r="H1034" t="s">
        <v>21</v>
      </c>
      <c r="J1034" t="s">
        <v>16</v>
      </c>
      <c r="K1034">
        <v>0</v>
      </c>
      <c r="L1034" t="s">
        <v>17</v>
      </c>
      <c r="M1034">
        <v>0</v>
      </c>
      <c r="N1034">
        <v>0</v>
      </c>
    </row>
    <row r="1035" spans="1:14" x14ac:dyDescent="0.25">
      <c r="A1035">
        <v>43864</v>
      </c>
      <c r="B1035" t="s">
        <v>14</v>
      </c>
      <c r="C1035" s="1">
        <v>46109.999988425923</v>
      </c>
      <c r="D1035">
        <v>25.155888680301398</v>
      </c>
      <c r="E1035">
        <v>0</v>
      </c>
      <c r="F1035" s="1">
        <v>43863.606249999997</v>
      </c>
      <c r="G1035">
        <v>52.872942191952099</v>
      </c>
      <c r="H1035" t="s">
        <v>21</v>
      </c>
      <c r="J1035" t="s">
        <v>16</v>
      </c>
      <c r="K1035">
        <v>0</v>
      </c>
      <c r="L1035" t="s">
        <v>17</v>
      </c>
      <c r="M1035">
        <v>0</v>
      </c>
      <c r="N1035">
        <v>0</v>
      </c>
    </row>
    <row r="1036" spans="1:14" x14ac:dyDescent="0.25">
      <c r="A1036">
        <v>43864</v>
      </c>
      <c r="B1036" t="s">
        <v>14</v>
      </c>
      <c r="C1036" s="1">
        <v>46108.999988425923</v>
      </c>
      <c r="D1036">
        <v>25.155888680301398</v>
      </c>
      <c r="E1036">
        <v>0</v>
      </c>
      <c r="F1036" s="1">
        <v>43863.606249999997</v>
      </c>
      <c r="G1036">
        <v>52.872942191952099</v>
      </c>
      <c r="H1036" t="s">
        <v>21</v>
      </c>
      <c r="J1036" t="s">
        <v>16</v>
      </c>
      <c r="K1036">
        <v>0</v>
      </c>
      <c r="L1036" t="s">
        <v>17</v>
      </c>
      <c r="M1036">
        <v>0</v>
      </c>
      <c r="N1036">
        <v>0</v>
      </c>
    </row>
    <row r="1037" spans="1:14" x14ac:dyDescent="0.25">
      <c r="A1037">
        <v>43864</v>
      </c>
      <c r="B1037" t="s">
        <v>14</v>
      </c>
      <c r="C1037" s="1">
        <v>46107.999988425923</v>
      </c>
      <c r="D1037">
        <v>25.155888680301398</v>
      </c>
      <c r="E1037">
        <v>0</v>
      </c>
      <c r="F1037" s="1">
        <v>43863.606249999997</v>
      </c>
      <c r="G1037">
        <v>52.872942191952099</v>
      </c>
      <c r="H1037" t="s">
        <v>21</v>
      </c>
      <c r="J1037" t="s">
        <v>16</v>
      </c>
      <c r="K1037">
        <v>0</v>
      </c>
      <c r="L1037" t="s">
        <v>17</v>
      </c>
      <c r="M1037">
        <v>0</v>
      </c>
      <c r="N1037">
        <v>0</v>
      </c>
    </row>
    <row r="1038" spans="1:14" x14ac:dyDescent="0.25">
      <c r="A1038">
        <v>43864</v>
      </c>
      <c r="B1038" t="s">
        <v>14</v>
      </c>
      <c r="C1038" s="1">
        <v>46106.999988425923</v>
      </c>
      <c r="D1038">
        <v>25.155888680301398</v>
      </c>
      <c r="E1038">
        <v>0</v>
      </c>
      <c r="F1038" s="1">
        <v>43863.606249999997</v>
      </c>
      <c r="G1038">
        <v>52.872942191952099</v>
      </c>
      <c r="H1038" t="s">
        <v>21</v>
      </c>
      <c r="J1038" t="s">
        <v>16</v>
      </c>
      <c r="K1038">
        <v>0</v>
      </c>
      <c r="L1038" t="s">
        <v>17</v>
      </c>
      <c r="M1038">
        <v>0</v>
      </c>
      <c r="N1038">
        <v>0</v>
      </c>
    </row>
    <row r="1039" spans="1:14" x14ac:dyDescent="0.25">
      <c r="A1039">
        <v>43864</v>
      </c>
      <c r="B1039" t="s">
        <v>14</v>
      </c>
      <c r="C1039" s="1">
        <v>46105.999988425923</v>
      </c>
      <c r="D1039">
        <v>25.155888680301398</v>
      </c>
      <c r="E1039">
        <v>0</v>
      </c>
      <c r="F1039" s="1">
        <v>43863.606249999997</v>
      </c>
      <c r="G1039">
        <v>52.872942191952099</v>
      </c>
      <c r="H1039" t="s">
        <v>21</v>
      </c>
      <c r="J1039" t="s">
        <v>16</v>
      </c>
      <c r="K1039">
        <v>0</v>
      </c>
      <c r="L1039" t="s">
        <v>17</v>
      </c>
      <c r="M1039">
        <v>0</v>
      </c>
      <c r="N1039">
        <v>0</v>
      </c>
    </row>
    <row r="1040" spans="1:14" x14ac:dyDescent="0.25">
      <c r="A1040">
        <v>43864</v>
      </c>
      <c r="B1040" t="s">
        <v>14</v>
      </c>
      <c r="C1040" s="1">
        <v>46104.999988425923</v>
      </c>
      <c r="D1040">
        <v>25.155888680301398</v>
      </c>
      <c r="E1040">
        <v>0</v>
      </c>
      <c r="F1040" s="1">
        <v>43863.606249999997</v>
      </c>
      <c r="G1040">
        <v>52.872942191952099</v>
      </c>
      <c r="H1040" t="s">
        <v>21</v>
      </c>
      <c r="J1040" t="s">
        <v>16</v>
      </c>
      <c r="K1040">
        <v>0</v>
      </c>
      <c r="L1040" t="s">
        <v>17</v>
      </c>
      <c r="M1040">
        <v>0</v>
      </c>
      <c r="N1040">
        <v>0</v>
      </c>
    </row>
    <row r="1041" spans="1:14" x14ac:dyDescent="0.25">
      <c r="A1041">
        <v>43864</v>
      </c>
      <c r="B1041" t="s">
        <v>14</v>
      </c>
      <c r="C1041" s="1">
        <v>46103.999988425923</v>
      </c>
      <c r="D1041">
        <v>25.155888680301398</v>
      </c>
      <c r="E1041">
        <v>0</v>
      </c>
      <c r="F1041" s="1">
        <v>43863.606249999997</v>
      </c>
      <c r="G1041">
        <v>52.872942191952099</v>
      </c>
      <c r="H1041" t="s">
        <v>21</v>
      </c>
      <c r="J1041" t="s">
        <v>16</v>
      </c>
      <c r="K1041">
        <v>0</v>
      </c>
      <c r="L1041" t="s">
        <v>17</v>
      </c>
      <c r="M1041">
        <v>0</v>
      </c>
      <c r="N1041">
        <v>0</v>
      </c>
    </row>
    <row r="1042" spans="1:14" x14ac:dyDescent="0.25">
      <c r="A1042">
        <v>43864</v>
      </c>
      <c r="B1042" t="s">
        <v>14</v>
      </c>
      <c r="C1042" s="1">
        <v>46102.999988425923</v>
      </c>
      <c r="D1042">
        <v>25.155888680301398</v>
      </c>
      <c r="E1042">
        <v>0</v>
      </c>
      <c r="F1042" s="1">
        <v>43863.606249999997</v>
      </c>
      <c r="G1042">
        <v>52.872942191952099</v>
      </c>
      <c r="H1042" t="s">
        <v>21</v>
      </c>
      <c r="J1042" t="s">
        <v>16</v>
      </c>
      <c r="K1042">
        <v>0</v>
      </c>
      <c r="L1042" t="s">
        <v>17</v>
      </c>
      <c r="M1042">
        <v>0</v>
      </c>
      <c r="N1042">
        <v>0</v>
      </c>
    </row>
    <row r="1043" spans="1:14" x14ac:dyDescent="0.25">
      <c r="A1043">
        <v>43864</v>
      </c>
      <c r="B1043" t="s">
        <v>14</v>
      </c>
      <c r="C1043" s="1">
        <v>46101.999988425923</v>
      </c>
      <c r="D1043">
        <v>25.155888680301398</v>
      </c>
      <c r="E1043">
        <v>0</v>
      </c>
      <c r="F1043" s="1">
        <v>43863.606249999997</v>
      </c>
      <c r="G1043">
        <v>52.872942191952099</v>
      </c>
      <c r="H1043" t="s">
        <v>21</v>
      </c>
      <c r="J1043" t="s">
        <v>16</v>
      </c>
      <c r="K1043">
        <v>0</v>
      </c>
      <c r="L1043" t="s">
        <v>17</v>
      </c>
      <c r="M1043">
        <v>0</v>
      </c>
      <c r="N1043">
        <v>0</v>
      </c>
    </row>
    <row r="1044" spans="1:14" x14ac:dyDescent="0.25">
      <c r="A1044">
        <v>43864</v>
      </c>
      <c r="B1044" t="s">
        <v>14</v>
      </c>
      <c r="C1044" s="1">
        <v>46100.999988425923</v>
      </c>
      <c r="D1044">
        <v>25.155888680301398</v>
      </c>
      <c r="E1044">
        <v>0</v>
      </c>
      <c r="F1044" s="1">
        <v>43863.606249999997</v>
      </c>
      <c r="G1044">
        <v>52.872942191952099</v>
      </c>
      <c r="H1044" t="s">
        <v>21</v>
      </c>
      <c r="J1044" t="s">
        <v>16</v>
      </c>
      <c r="K1044">
        <v>0</v>
      </c>
      <c r="L1044" t="s">
        <v>17</v>
      </c>
      <c r="M1044">
        <v>0</v>
      </c>
      <c r="N1044">
        <v>0</v>
      </c>
    </row>
    <row r="1045" spans="1:14" x14ac:dyDescent="0.25">
      <c r="A1045">
        <v>43864</v>
      </c>
      <c r="B1045" t="s">
        <v>14</v>
      </c>
      <c r="C1045" s="1">
        <v>46099.999988425923</v>
      </c>
      <c r="D1045">
        <v>25.155888680301398</v>
      </c>
      <c r="E1045">
        <v>0</v>
      </c>
      <c r="F1045" s="1">
        <v>43863.606249999997</v>
      </c>
      <c r="G1045">
        <v>52.872942191952099</v>
      </c>
      <c r="H1045" t="s">
        <v>21</v>
      </c>
      <c r="J1045" t="s">
        <v>16</v>
      </c>
      <c r="K1045">
        <v>0</v>
      </c>
      <c r="L1045" t="s">
        <v>17</v>
      </c>
      <c r="M1045">
        <v>0</v>
      </c>
      <c r="N1045">
        <v>0</v>
      </c>
    </row>
    <row r="1046" spans="1:14" x14ac:dyDescent="0.25">
      <c r="A1046">
        <v>43864</v>
      </c>
      <c r="B1046" t="s">
        <v>14</v>
      </c>
      <c r="C1046" s="1">
        <v>46098.999988425923</v>
      </c>
      <c r="D1046">
        <v>25.155888680301398</v>
      </c>
      <c r="E1046">
        <v>0</v>
      </c>
      <c r="F1046" s="1">
        <v>43863.606249999997</v>
      </c>
      <c r="G1046">
        <v>52.872942191952099</v>
      </c>
      <c r="H1046" t="s">
        <v>21</v>
      </c>
      <c r="J1046" t="s">
        <v>16</v>
      </c>
      <c r="K1046">
        <v>0</v>
      </c>
      <c r="L1046" t="s">
        <v>17</v>
      </c>
      <c r="M1046">
        <v>0</v>
      </c>
      <c r="N1046">
        <v>0</v>
      </c>
    </row>
    <row r="1047" spans="1:14" x14ac:dyDescent="0.25">
      <c r="A1047">
        <v>43864</v>
      </c>
      <c r="B1047" t="s">
        <v>14</v>
      </c>
      <c r="C1047" s="1">
        <v>46097.999988425923</v>
      </c>
      <c r="D1047">
        <v>25.155888680301398</v>
      </c>
      <c r="E1047">
        <v>0</v>
      </c>
      <c r="F1047" s="1">
        <v>43863.606249999997</v>
      </c>
      <c r="G1047">
        <v>52.872942191952099</v>
      </c>
      <c r="H1047" t="s">
        <v>21</v>
      </c>
      <c r="J1047" t="s">
        <v>16</v>
      </c>
      <c r="K1047">
        <v>0</v>
      </c>
      <c r="L1047" t="s">
        <v>17</v>
      </c>
      <c r="M1047">
        <v>0</v>
      </c>
      <c r="N1047">
        <v>0</v>
      </c>
    </row>
    <row r="1048" spans="1:14" x14ac:dyDescent="0.25">
      <c r="A1048">
        <v>43864</v>
      </c>
      <c r="B1048" t="s">
        <v>14</v>
      </c>
      <c r="C1048" s="1">
        <v>46096.999988425923</v>
      </c>
      <c r="D1048">
        <v>25.155888680301398</v>
      </c>
      <c r="E1048">
        <v>0</v>
      </c>
      <c r="F1048" s="1">
        <v>43863.606249999997</v>
      </c>
      <c r="G1048">
        <v>52.872942191952099</v>
      </c>
      <c r="H1048" t="s">
        <v>21</v>
      </c>
      <c r="J1048" t="s">
        <v>16</v>
      </c>
      <c r="K1048">
        <v>0</v>
      </c>
      <c r="L1048" t="s">
        <v>17</v>
      </c>
      <c r="M1048">
        <v>0</v>
      </c>
      <c r="N1048">
        <v>0</v>
      </c>
    </row>
    <row r="1049" spans="1:14" x14ac:dyDescent="0.25">
      <c r="A1049">
        <v>43864</v>
      </c>
      <c r="B1049" t="s">
        <v>14</v>
      </c>
      <c r="C1049" s="1">
        <v>46095.999988425923</v>
      </c>
      <c r="D1049">
        <v>25.155888680301398</v>
      </c>
      <c r="E1049">
        <v>0</v>
      </c>
      <c r="F1049" s="1">
        <v>43863.606249999997</v>
      </c>
      <c r="G1049">
        <v>52.872942191952099</v>
      </c>
      <c r="H1049" t="s">
        <v>21</v>
      </c>
      <c r="J1049" t="s">
        <v>16</v>
      </c>
      <c r="K1049">
        <v>0</v>
      </c>
      <c r="L1049" t="s">
        <v>17</v>
      </c>
      <c r="M1049">
        <v>0</v>
      </c>
      <c r="N1049">
        <v>0</v>
      </c>
    </row>
    <row r="1050" spans="1:14" x14ac:dyDescent="0.25">
      <c r="A1050">
        <v>43864</v>
      </c>
      <c r="B1050" t="s">
        <v>14</v>
      </c>
      <c r="C1050" s="1">
        <v>46094.999988425923</v>
      </c>
      <c r="D1050">
        <v>25.155888680301398</v>
      </c>
      <c r="E1050">
        <v>0</v>
      </c>
      <c r="F1050" s="1">
        <v>43863.606249999997</v>
      </c>
      <c r="G1050">
        <v>52.872942191952099</v>
      </c>
      <c r="H1050" t="s">
        <v>21</v>
      </c>
      <c r="J1050" t="s">
        <v>16</v>
      </c>
      <c r="K1050">
        <v>0</v>
      </c>
      <c r="L1050" t="s">
        <v>17</v>
      </c>
      <c r="M1050">
        <v>0</v>
      </c>
      <c r="N1050">
        <v>0</v>
      </c>
    </row>
    <row r="1051" spans="1:14" x14ac:dyDescent="0.25">
      <c r="A1051">
        <v>43864</v>
      </c>
      <c r="B1051" t="s">
        <v>14</v>
      </c>
      <c r="C1051" s="1">
        <v>46093.999988425923</v>
      </c>
      <c r="D1051">
        <v>25.155888680301398</v>
      </c>
      <c r="E1051">
        <v>0</v>
      </c>
      <c r="F1051" s="1">
        <v>43863.606249999997</v>
      </c>
      <c r="G1051">
        <v>52.872942191952099</v>
      </c>
      <c r="H1051" t="s">
        <v>21</v>
      </c>
      <c r="J1051" t="s">
        <v>16</v>
      </c>
      <c r="K1051">
        <v>0</v>
      </c>
      <c r="L1051" t="s">
        <v>17</v>
      </c>
      <c r="M1051">
        <v>0</v>
      </c>
      <c r="N1051">
        <v>0</v>
      </c>
    </row>
    <row r="1052" spans="1:14" x14ac:dyDescent="0.25">
      <c r="A1052">
        <v>43864</v>
      </c>
      <c r="B1052" t="s">
        <v>14</v>
      </c>
      <c r="C1052" s="1">
        <v>46092.999988425923</v>
      </c>
      <c r="D1052">
        <v>25.155888680301398</v>
      </c>
      <c r="E1052">
        <v>0</v>
      </c>
      <c r="F1052" s="1">
        <v>43863.606249999997</v>
      </c>
      <c r="G1052">
        <v>52.872942191952099</v>
      </c>
      <c r="H1052" t="s">
        <v>21</v>
      </c>
      <c r="J1052" t="s">
        <v>16</v>
      </c>
      <c r="K1052">
        <v>0</v>
      </c>
      <c r="L1052" t="s">
        <v>17</v>
      </c>
      <c r="M1052">
        <v>0</v>
      </c>
      <c r="N1052">
        <v>0</v>
      </c>
    </row>
    <row r="1053" spans="1:14" x14ac:dyDescent="0.25">
      <c r="A1053">
        <v>43864</v>
      </c>
      <c r="B1053" t="s">
        <v>14</v>
      </c>
      <c r="C1053" s="1">
        <v>46091.999988425923</v>
      </c>
      <c r="D1053">
        <v>25.155888680301398</v>
      </c>
      <c r="E1053">
        <v>0</v>
      </c>
      <c r="F1053" s="1">
        <v>43863.606249999997</v>
      </c>
      <c r="G1053">
        <v>52.872942191952099</v>
      </c>
      <c r="H1053" t="s">
        <v>21</v>
      </c>
      <c r="J1053" t="s">
        <v>16</v>
      </c>
      <c r="K1053">
        <v>0</v>
      </c>
      <c r="L1053" t="s">
        <v>17</v>
      </c>
      <c r="M1053">
        <v>0</v>
      </c>
      <c r="N1053">
        <v>0</v>
      </c>
    </row>
    <row r="1054" spans="1:14" x14ac:dyDescent="0.25">
      <c r="A1054">
        <v>43864</v>
      </c>
      <c r="B1054" t="s">
        <v>14</v>
      </c>
      <c r="C1054" s="1">
        <v>46090.999988425923</v>
      </c>
      <c r="D1054">
        <v>25.155888680301398</v>
      </c>
      <c r="E1054">
        <v>0</v>
      </c>
      <c r="F1054" s="1">
        <v>43863.606249999997</v>
      </c>
      <c r="G1054">
        <v>52.872942191952099</v>
      </c>
      <c r="H1054" t="s">
        <v>21</v>
      </c>
      <c r="J1054" t="s">
        <v>16</v>
      </c>
      <c r="K1054">
        <v>0</v>
      </c>
      <c r="L1054" t="s">
        <v>17</v>
      </c>
      <c r="M1054">
        <v>0</v>
      </c>
      <c r="N1054">
        <v>0</v>
      </c>
    </row>
    <row r="1055" spans="1:14" x14ac:dyDescent="0.25">
      <c r="A1055">
        <v>43864</v>
      </c>
      <c r="B1055" t="s">
        <v>14</v>
      </c>
      <c r="C1055" s="1">
        <v>46089.999988425923</v>
      </c>
      <c r="D1055">
        <v>25.155888680301398</v>
      </c>
      <c r="E1055">
        <v>0</v>
      </c>
      <c r="F1055" s="1">
        <v>43863.606249999997</v>
      </c>
      <c r="G1055">
        <v>52.872942191952099</v>
      </c>
      <c r="H1055" t="s">
        <v>21</v>
      </c>
      <c r="J1055" t="s">
        <v>16</v>
      </c>
      <c r="K1055">
        <v>0</v>
      </c>
      <c r="L1055" t="s">
        <v>17</v>
      </c>
      <c r="M1055">
        <v>0</v>
      </c>
      <c r="N1055">
        <v>0</v>
      </c>
    </row>
    <row r="1056" spans="1:14" x14ac:dyDescent="0.25">
      <c r="A1056">
        <v>43864</v>
      </c>
      <c r="B1056" t="s">
        <v>14</v>
      </c>
      <c r="C1056" s="1">
        <v>46088.999988425923</v>
      </c>
      <c r="D1056">
        <v>25.155888680301398</v>
      </c>
      <c r="E1056">
        <v>0</v>
      </c>
      <c r="F1056" s="1">
        <v>43863.606249999997</v>
      </c>
      <c r="G1056">
        <v>52.872942191952099</v>
      </c>
      <c r="H1056" t="s">
        <v>21</v>
      </c>
      <c r="J1056" t="s">
        <v>16</v>
      </c>
      <c r="K1056">
        <v>0</v>
      </c>
      <c r="L1056" t="s">
        <v>17</v>
      </c>
      <c r="M1056">
        <v>0</v>
      </c>
      <c r="N1056">
        <v>0</v>
      </c>
    </row>
    <row r="1057" spans="1:14" x14ac:dyDescent="0.25">
      <c r="A1057">
        <v>43864</v>
      </c>
      <c r="B1057" t="s">
        <v>14</v>
      </c>
      <c r="C1057" s="1">
        <v>46087.999988425923</v>
      </c>
      <c r="D1057">
        <v>25.155888680301398</v>
      </c>
      <c r="E1057">
        <v>0</v>
      </c>
      <c r="F1057" s="1">
        <v>43863.606249999997</v>
      </c>
      <c r="G1057">
        <v>52.872942191952099</v>
      </c>
      <c r="H1057" t="s">
        <v>21</v>
      </c>
      <c r="J1057" t="s">
        <v>16</v>
      </c>
      <c r="K1057">
        <v>0</v>
      </c>
      <c r="L1057" t="s">
        <v>17</v>
      </c>
      <c r="M1057">
        <v>0</v>
      </c>
      <c r="N1057">
        <v>0</v>
      </c>
    </row>
    <row r="1058" spans="1:14" x14ac:dyDescent="0.25">
      <c r="A1058">
        <v>43864</v>
      </c>
      <c r="B1058" t="s">
        <v>14</v>
      </c>
      <c r="C1058" s="1">
        <v>46086.999988425923</v>
      </c>
      <c r="D1058">
        <v>25.155888680301398</v>
      </c>
      <c r="E1058">
        <v>0</v>
      </c>
      <c r="F1058" s="1">
        <v>43863.606249999997</v>
      </c>
      <c r="G1058">
        <v>52.872942191952099</v>
      </c>
      <c r="H1058" t="s">
        <v>21</v>
      </c>
      <c r="J1058" t="s">
        <v>16</v>
      </c>
      <c r="K1058">
        <v>0</v>
      </c>
      <c r="L1058" t="s">
        <v>17</v>
      </c>
      <c r="M1058">
        <v>0</v>
      </c>
      <c r="N1058">
        <v>0</v>
      </c>
    </row>
    <row r="1059" spans="1:14" x14ac:dyDescent="0.25">
      <c r="A1059">
        <v>43864</v>
      </c>
      <c r="B1059" t="s">
        <v>14</v>
      </c>
      <c r="C1059" s="1">
        <v>46085.999988425923</v>
      </c>
      <c r="D1059">
        <v>25.155888680301398</v>
      </c>
      <c r="E1059">
        <v>0</v>
      </c>
      <c r="F1059" s="1">
        <v>43863.606249999997</v>
      </c>
      <c r="G1059">
        <v>52.872942191952099</v>
      </c>
      <c r="H1059" t="s">
        <v>21</v>
      </c>
      <c r="J1059" t="s">
        <v>16</v>
      </c>
      <c r="K1059">
        <v>0</v>
      </c>
      <c r="L1059" t="s">
        <v>17</v>
      </c>
      <c r="M1059">
        <v>0</v>
      </c>
      <c r="N1059">
        <v>0</v>
      </c>
    </row>
    <row r="1060" spans="1:14" x14ac:dyDescent="0.25">
      <c r="A1060">
        <v>43864</v>
      </c>
      <c r="B1060" t="s">
        <v>14</v>
      </c>
      <c r="C1060" s="1">
        <v>46084.999988425923</v>
      </c>
      <c r="D1060">
        <v>25.155888680301398</v>
      </c>
      <c r="E1060">
        <v>0</v>
      </c>
      <c r="F1060" s="1">
        <v>43863.606249999997</v>
      </c>
      <c r="G1060">
        <v>52.872942191952099</v>
      </c>
      <c r="H1060" t="s">
        <v>21</v>
      </c>
      <c r="J1060" t="s">
        <v>16</v>
      </c>
      <c r="K1060">
        <v>0</v>
      </c>
      <c r="L1060" t="s">
        <v>17</v>
      </c>
      <c r="M1060">
        <v>0</v>
      </c>
      <c r="N1060">
        <v>0</v>
      </c>
    </row>
    <row r="1061" spans="1:14" x14ac:dyDescent="0.25">
      <c r="A1061">
        <v>43864</v>
      </c>
      <c r="B1061" t="s">
        <v>14</v>
      </c>
      <c r="C1061" s="1">
        <v>46083.999988425923</v>
      </c>
      <c r="D1061">
        <v>25.155888680301398</v>
      </c>
      <c r="E1061">
        <v>0</v>
      </c>
      <c r="F1061" s="1">
        <v>43863.606249999997</v>
      </c>
      <c r="G1061">
        <v>52.872942191952099</v>
      </c>
      <c r="H1061" t="s">
        <v>21</v>
      </c>
      <c r="J1061" t="s">
        <v>16</v>
      </c>
      <c r="K1061">
        <v>0</v>
      </c>
      <c r="L1061" t="s">
        <v>17</v>
      </c>
      <c r="M1061">
        <v>0</v>
      </c>
      <c r="N1061">
        <v>0</v>
      </c>
    </row>
    <row r="1062" spans="1:14" x14ac:dyDescent="0.25">
      <c r="A1062">
        <v>43864</v>
      </c>
      <c r="B1062" t="s">
        <v>14</v>
      </c>
      <c r="C1062" s="1">
        <v>46082.999988425923</v>
      </c>
      <c r="D1062">
        <v>25.155888680301398</v>
      </c>
      <c r="E1062">
        <v>0</v>
      </c>
      <c r="F1062" s="1">
        <v>43863.606249999997</v>
      </c>
      <c r="G1062">
        <v>52.872942191952099</v>
      </c>
      <c r="H1062" t="s">
        <v>21</v>
      </c>
      <c r="J1062" t="s">
        <v>16</v>
      </c>
      <c r="K1062">
        <v>0</v>
      </c>
      <c r="L1062" t="s">
        <v>17</v>
      </c>
      <c r="M1062">
        <v>0</v>
      </c>
      <c r="N1062">
        <v>0</v>
      </c>
    </row>
    <row r="1063" spans="1:14" x14ac:dyDescent="0.25">
      <c r="A1063">
        <v>43864</v>
      </c>
      <c r="B1063" t="s">
        <v>14</v>
      </c>
      <c r="C1063" s="1">
        <v>46081.999988425923</v>
      </c>
      <c r="D1063">
        <v>25.155888680301398</v>
      </c>
      <c r="E1063">
        <v>0</v>
      </c>
      <c r="F1063" s="1">
        <v>43863.606249999997</v>
      </c>
      <c r="G1063">
        <v>52.872942191952099</v>
      </c>
      <c r="H1063" t="s">
        <v>21</v>
      </c>
      <c r="J1063" t="s">
        <v>16</v>
      </c>
      <c r="K1063">
        <v>0</v>
      </c>
      <c r="L1063" t="s">
        <v>17</v>
      </c>
      <c r="M1063">
        <v>0</v>
      </c>
      <c r="N1063">
        <v>0</v>
      </c>
    </row>
    <row r="1064" spans="1:14" x14ac:dyDescent="0.25">
      <c r="A1064">
        <v>43864</v>
      </c>
      <c r="B1064" t="s">
        <v>14</v>
      </c>
      <c r="C1064" s="1">
        <v>46080.999988425923</v>
      </c>
      <c r="D1064">
        <v>25.155888680301398</v>
      </c>
      <c r="E1064">
        <v>0</v>
      </c>
      <c r="F1064" s="1">
        <v>43863.606249999997</v>
      </c>
      <c r="G1064">
        <v>52.872942191952099</v>
      </c>
      <c r="H1064" t="s">
        <v>21</v>
      </c>
      <c r="J1064" t="s">
        <v>16</v>
      </c>
      <c r="K1064">
        <v>0</v>
      </c>
      <c r="L1064" t="s">
        <v>17</v>
      </c>
      <c r="M1064">
        <v>0</v>
      </c>
      <c r="N1064">
        <v>0</v>
      </c>
    </row>
    <row r="1065" spans="1:14" x14ac:dyDescent="0.25">
      <c r="A1065">
        <v>43864</v>
      </c>
      <c r="B1065" t="s">
        <v>14</v>
      </c>
      <c r="C1065" s="1">
        <v>46079.999988425923</v>
      </c>
      <c r="D1065">
        <v>25.155888680301398</v>
      </c>
      <c r="E1065">
        <v>0</v>
      </c>
      <c r="F1065" s="1">
        <v>43863.606249999997</v>
      </c>
      <c r="G1065">
        <v>52.872942191952099</v>
      </c>
      <c r="H1065" t="s">
        <v>21</v>
      </c>
      <c r="J1065" t="s">
        <v>16</v>
      </c>
      <c r="K1065">
        <v>0</v>
      </c>
      <c r="L1065" t="s">
        <v>17</v>
      </c>
      <c r="M1065">
        <v>0</v>
      </c>
      <c r="N1065">
        <v>0</v>
      </c>
    </row>
    <row r="1066" spans="1:14" x14ac:dyDescent="0.25">
      <c r="A1066">
        <v>43864</v>
      </c>
      <c r="B1066" t="s">
        <v>14</v>
      </c>
      <c r="C1066" s="1">
        <v>46078.999988425923</v>
      </c>
      <c r="D1066">
        <v>25.155888680301398</v>
      </c>
      <c r="E1066">
        <v>0</v>
      </c>
      <c r="F1066" s="1">
        <v>43863.606249999997</v>
      </c>
      <c r="G1066">
        <v>52.872942191952099</v>
      </c>
      <c r="H1066" t="s">
        <v>21</v>
      </c>
      <c r="J1066" t="s">
        <v>16</v>
      </c>
      <c r="K1066">
        <v>0</v>
      </c>
      <c r="L1066" t="s">
        <v>17</v>
      </c>
      <c r="M1066">
        <v>0</v>
      </c>
      <c r="N1066">
        <v>0</v>
      </c>
    </row>
    <row r="1067" spans="1:14" x14ac:dyDescent="0.25">
      <c r="A1067">
        <v>43864</v>
      </c>
      <c r="B1067" t="s">
        <v>14</v>
      </c>
      <c r="C1067" s="1">
        <v>46077.999988425923</v>
      </c>
      <c r="D1067">
        <v>25.155888680301398</v>
      </c>
      <c r="E1067">
        <v>0</v>
      </c>
      <c r="F1067" s="1">
        <v>43863.606249999997</v>
      </c>
      <c r="G1067">
        <v>52.872942191952099</v>
      </c>
      <c r="H1067" t="s">
        <v>21</v>
      </c>
      <c r="J1067" t="s">
        <v>16</v>
      </c>
      <c r="K1067">
        <v>0</v>
      </c>
      <c r="L1067" t="s">
        <v>17</v>
      </c>
      <c r="M1067">
        <v>0</v>
      </c>
      <c r="N1067">
        <v>0</v>
      </c>
    </row>
    <row r="1068" spans="1:14" x14ac:dyDescent="0.25">
      <c r="A1068">
        <v>43864</v>
      </c>
      <c r="B1068" t="s">
        <v>14</v>
      </c>
      <c r="C1068" s="1">
        <v>46076.999988425923</v>
      </c>
      <c r="D1068">
        <v>25.155888680301398</v>
      </c>
      <c r="E1068">
        <v>0</v>
      </c>
      <c r="F1068" s="1">
        <v>43863.606249999997</v>
      </c>
      <c r="G1068">
        <v>52.872942191952099</v>
      </c>
      <c r="H1068" t="s">
        <v>21</v>
      </c>
      <c r="J1068" t="s">
        <v>16</v>
      </c>
      <c r="K1068">
        <v>0</v>
      </c>
      <c r="L1068" t="s">
        <v>17</v>
      </c>
      <c r="M1068">
        <v>0</v>
      </c>
      <c r="N1068">
        <v>0</v>
      </c>
    </row>
    <row r="1069" spans="1:14" x14ac:dyDescent="0.25">
      <c r="A1069">
        <v>43864</v>
      </c>
      <c r="B1069" t="s">
        <v>14</v>
      </c>
      <c r="C1069" s="1">
        <v>46075.999988425923</v>
      </c>
      <c r="D1069">
        <v>25.155888680301398</v>
      </c>
      <c r="E1069">
        <v>0</v>
      </c>
      <c r="F1069" s="1">
        <v>43863.606249999997</v>
      </c>
      <c r="G1069">
        <v>52.872942191952099</v>
      </c>
      <c r="H1069" t="s">
        <v>21</v>
      </c>
      <c r="J1069" t="s">
        <v>16</v>
      </c>
      <c r="K1069">
        <v>0</v>
      </c>
      <c r="L1069" t="s">
        <v>17</v>
      </c>
      <c r="M1069">
        <v>0</v>
      </c>
      <c r="N1069">
        <v>0</v>
      </c>
    </row>
    <row r="1070" spans="1:14" x14ac:dyDescent="0.25">
      <c r="A1070">
        <v>43864</v>
      </c>
      <c r="B1070" t="s">
        <v>14</v>
      </c>
      <c r="C1070" s="1">
        <v>46074.999988425923</v>
      </c>
      <c r="D1070">
        <v>25.155888680301398</v>
      </c>
      <c r="E1070">
        <v>0</v>
      </c>
      <c r="F1070" s="1">
        <v>43863.606249999997</v>
      </c>
      <c r="G1070">
        <v>52.872942191952099</v>
      </c>
      <c r="H1070" t="s">
        <v>21</v>
      </c>
      <c r="J1070" t="s">
        <v>16</v>
      </c>
      <c r="K1070">
        <v>0</v>
      </c>
      <c r="L1070" t="s">
        <v>17</v>
      </c>
      <c r="M1070">
        <v>0</v>
      </c>
      <c r="N1070">
        <v>0</v>
      </c>
    </row>
    <row r="1071" spans="1:14" x14ac:dyDescent="0.25">
      <c r="A1071">
        <v>43864</v>
      </c>
      <c r="B1071" t="s">
        <v>14</v>
      </c>
      <c r="C1071" s="1">
        <v>46073.999988425923</v>
      </c>
      <c r="D1071">
        <v>25.155888680301398</v>
      </c>
      <c r="E1071">
        <v>0</v>
      </c>
      <c r="F1071" s="1">
        <v>43863.606249999997</v>
      </c>
      <c r="G1071">
        <v>52.872942191952099</v>
      </c>
      <c r="H1071" t="s">
        <v>21</v>
      </c>
      <c r="J1071" t="s">
        <v>16</v>
      </c>
      <c r="K1071">
        <v>0</v>
      </c>
      <c r="L1071" t="s">
        <v>17</v>
      </c>
      <c r="M1071">
        <v>0</v>
      </c>
      <c r="N1071">
        <v>0</v>
      </c>
    </row>
    <row r="1072" spans="1:14" x14ac:dyDescent="0.25">
      <c r="A1072">
        <v>43864</v>
      </c>
      <c r="B1072" t="s">
        <v>14</v>
      </c>
      <c r="C1072" s="1">
        <v>46072.999988425923</v>
      </c>
      <c r="D1072">
        <v>25.155888680301398</v>
      </c>
      <c r="E1072">
        <v>0</v>
      </c>
      <c r="F1072" s="1">
        <v>43863.606249999997</v>
      </c>
      <c r="G1072">
        <v>52.872942191952099</v>
      </c>
      <c r="H1072" t="s">
        <v>21</v>
      </c>
      <c r="J1072" t="s">
        <v>16</v>
      </c>
      <c r="K1072">
        <v>0</v>
      </c>
      <c r="L1072" t="s">
        <v>17</v>
      </c>
      <c r="M1072">
        <v>0</v>
      </c>
      <c r="N1072">
        <v>0</v>
      </c>
    </row>
    <row r="1073" spans="1:14" x14ac:dyDescent="0.25">
      <c r="A1073">
        <v>43864</v>
      </c>
      <c r="B1073" t="s">
        <v>14</v>
      </c>
      <c r="C1073" s="1">
        <v>46071.999988425923</v>
      </c>
      <c r="D1073">
        <v>25.155888680301398</v>
      </c>
      <c r="E1073">
        <v>0</v>
      </c>
      <c r="F1073" s="1">
        <v>43863.606249999997</v>
      </c>
      <c r="G1073">
        <v>52.872942191952099</v>
      </c>
      <c r="H1073" t="s">
        <v>21</v>
      </c>
      <c r="J1073" t="s">
        <v>16</v>
      </c>
      <c r="K1073">
        <v>0</v>
      </c>
      <c r="L1073" t="s">
        <v>17</v>
      </c>
      <c r="M1073">
        <v>0</v>
      </c>
      <c r="N1073">
        <v>0</v>
      </c>
    </row>
    <row r="1074" spans="1:14" x14ac:dyDescent="0.25">
      <c r="A1074">
        <v>43864</v>
      </c>
      <c r="B1074" t="s">
        <v>14</v>
      </c>
      <c r="C1074" s="1">
        <v>46070.999988425923</v>
      </c>
      <c r="D1074">
        <v>25.155888680301398</v>
      </c>
      <c r="E1074">
        <v>0</v>
      </c>
      <c r="F1074" s="1">
        <v>43863.606249999997</v>
      </c>
      <c r="G1074">
        <v>52.872942191952099</v>
      </c>
      <c r="H1074" t="s">
        <v>21</v>
      </c>
      <c r="J1074" t="s">
        <v>16</v>
      </c>
      <c r="K1074">
        <v>0</v>
      </c>
      <c r="L1074" t="s">
        <v>17</v>
      </c>
      <c r="M1074">
        <v>0</v>
      </c>
      <c r="N1074">
        <v>0</v>
      </c>
    </row>
    <row r="1075" spans="1:14" x14ac:dyDescent="0.25">
      <c r="A1075">
        <v>43864</v>
      </c>
      <c r="B1075" t="s">
        <v>14</v>
      </c>
      <c r="C1075" s="1">
        <v>46069.999988425923</v>
      </c>
      <c r="D1075">
        <v>25.155888680301398</v>
      </c>
      <c r="E1075">
        <v>0</v>
      </c>
      <c r="F1075" s="1">
        <v>43863.606249999997</v>
      </c>
      <c r="G1075">
        <v>52.872942191952099</v>
      </c>
      <c r="H1075" t="s">
        <v>21</v>
      </c>
      <c r="J1075" t="s">
        <v>16</v>
      </c>
      <c r="K1075">
        <v>0</v>
      </c>
      <c r="L1075" t="s">
        <v>17</v>
      </c>
      <c r="M1075">
        <v>0</v>
      </c>
      <c r="N1075">
        <v>0</v>
      </c>
    </row>
    <row r="1076" spans="1:14" x14ac:dyDescent="0.25">
      <c r="A1076">
        <v>43864</v>
      </c>
      <c r="B1076" t="s">
        <v>14</v>
      </c>
      <c r="C1076" s="1">
        <v>46068.999988425923</v>
      </c>
      <c r="D1076">
        <v>25.155888680301398</v>
      </c>
      <c r="E1076">
        <v>0</v>
      </c>
      <c r="F1076" s="1">
        <v>43863.606249999997</v>
      </c>
      <c r="G1076">
        <v>52.872942191952099</v>
      </c>
      <c r="H1076" t="s">
        <v>21</v>
      </c>
      <c r="J1076" t="s">
        <v>16</v>
      </c>
      <c r="K1076">
        <v>0</v>
      </c>
      <c r="L1076" t="s">
        <v>17</v>
      </c>
      <c r="M1076">
        <v>0</v>
      </c>
      <c r="N1076">
        <v>0</v>
      </c>
    </row>
    <row r="1077" spans="1:14" x14ac:dyDescent="0.25">
      <c r="A1077">
        <v>43864</v>
      </c>
      <c r="B1077" t="s">
        <v>14</v>
      </c>
      <c r="C1077" s="1">
        <v>46067.999988425923</v>
      </c>
      <c r="D1077">
        <v>25.155888680301398</v>
      </c>
      <c r="E1077">
        <v>0</v>
      </c>
      <c r="F1077" s="1">
        <v>43863.606249999997</v>
      </c>
      <c r="G1077">
        <v>52.872942191952099</v>
      </c>
      <c r="H1077" t="s">
        <v>21</v>
      </c>
      <c r="J1077" t="s">
        <v>16</v>
      </c>
      <c r="K1077">
        <v>0</v>
      </c>
      <c r="L1077" t="s">
        <v>17</v>
      </c>
      <c r="M1077">
        <v>0</v>
      </c>
      <c r="N1077">
        <v>0</v>
      </c>
    </row>
    <row r="1078" spans="1:14" x14ac:dyDescent="0.25">
      <c r="A1078">
        <v>43864</v>
      </c>
      <c r="B1078" t="s">
        <v>14</v>
      </c>
      <c r="C1078" s="1">
        <v>46066.999988425923</v>
      </c>
      <c r="D1078">
        <v>25.155888680301398</v>
      </c>
      <c r="E1078">
        <v>0</v>
      </c>
      <c r="F1078" s="1">
        <v>43863.606249999997</v>
      </c>
      <c r="G1078">
        <v>52.872942191952099</v>
      </c>
      <c r="H1078" t="s">
        <v>21</v>
      </c>
      <c r="J1078" t="s">
        <v>16</v>
      </c>
      <c r="K1078">
        <v>0</v>
      </c>
      <c r="L1078" t="s">
        <v>17</v>
      </c>
      <c r="M1078">
        <v>0</v>
      </c>
      <c r="N1078">
        <v>0</v>
      </c>
    </row>
    <row r="1079" spans="1:14" x14ac:dyDescent="0.25">
      <c r="A1079">
        <v>43864</v>
      </c>
      <c r="B1079" t="s">
        <v>14</v>
      </c>
      <c r="C1079" s="1">
        <v>46065.999988425923</v>
      </c>
      <c r="D1079">
        <v>25.155888680301398</v>
      </c>
      <c r="E1079">
        <v>0</v>
      </c>
      <c r="F1079" s="1">
        <v>43863.606249999997</v>
      </c>
      <c r="G1079">
        <v>52.872942191952099</v>
      </c>
      <c r="H1079" t="s">
        <v>21</v>
      </c>
      <c r="J1079" t="s">
        <v>16</v>
      </c>
      <c r="K1079">
        <v>0</v>
      </c>
      <c r="L1079" t="s">
        <v>17</v>
      </c>
      <c r="M1079">
        <v>0</v>
      </c>
      <c r="N1079">
        <v>0</v>
      </c>
    </row>
    <row r="1080" spans="1:14" x14ac:dyDescent="0.25">
      <c r="A1080">
        <v>43864</v>
      </c>
      <c r="B1080" t="s">
        <v>14</v>
      </c>
      <c r="C1080" s="1">
        <v>46064.999988425923</v>
      </c>
      <c r="D1080">
        <v>25.155888680301398</v>
      </c>
      <c r="E1080">
        <v>0</v>
      </c>
      <c r="F1080" s="1">
        <v>43863.606249999997</v>
      </c>
      <c r="G1080">
        <v>52.872942191952099</v>
      </c>
      <c r="H1080" t="s">
        <v>21</v>
      </c>
      <c r="J1080" t="s">
        <v>16</v>
      </c>
      <c r="K1080">
        <v>0</v>
      </c>
      <c r="L1080" t="s">
        <v>17</v>
      </c>
      <c r="M1080">
        <v>0</v>
      </c>
      <c r="N1080">
        <v>0</v>
      </c>
    </row>
    <row r="1081" spans="1:14" x14ac:dyDescent="0.25">
      <c r="A1081">
        <v>43864</v>
      </c>
      <c r="B1081" t="s">
        <v>14</v>
      </c>
      <c r="C1081" s="1">
        <v>46063.999988425923</v>
      </c>
      <c r="D1081">
        <v>25.155888680301398</v>
      </c>
      <c r="E1081">
        <v>0</v>
      </c>
      <c r="F1081" s="1">
        <v>43863.606249999997</v>
      </c>
      <c r="G1081">
        <v>52.872942191952099</v>
      </c>
      <c r="H1081" t="s">
        <v>21</v>
      </c>
      <c r="J1081" t="s">
        <v>16</v>
      </c>
      <c r="K1081">
        <v>0</v>
      </c>
      <c r="L1081" t="s">
        <v>17</v>
      </c>
      <c r="M1081">
        <v>0</v>
      </c>
      <c r="N1081">
        <v>0</v>
      </c>
    </row>
    <row r="1082" spans="1:14" x14ac:dyDescent="0.25">
      <c r="A1082">
        <v>43864</v>
      </c>
      <c r="B1082" t="s">
        <v>14</v>
      </c>
      <c r="C1082" s="1">
        <v>46062.999988425923</v>
      </c>
      <c r="D1082">
        <v>25.155888680301398</v>
      </c>
      <c r="E1082">
        <v>0</v>
      </c>
      <c r="F1082" s="1">
        <v>43863.606249999997</v>
      </c>
      <c r="G1082">
        <v>52.872942191952099</v>
      </c>
      <c r="H1082" t="s">
        <v>21</v>
      </c>
      <c r="J1082" t="s">
        <v>16</v>
      </c>
      <c r="K1082">
        <v>0</v>
      </c>
      <c r="L1082" t="s">
        <v>17</v>
      </c>
      <c r="M1082">
        <v>0</v>
      </c>
      <c r="N1082">
        <v>0</v>
      </c>
    </row>
    <row r="1083" spans="1:14" x14ac:dyDescent="0.25">
      <c r="A1083">
        <v>43864</v>
      </c>
      <c r="B1083" t="s">
        <v>14</v>
      </c>
      <c r="C1083" s="1">
        <v>46061.999988425923</v>
      </c>
      <c r="D1083">
        <v>25.155888680301398</v>
      </c>
      <c r="E1083">
        <v>0</v>
      </c>
      <c r="F1083" s="1">
        <v>43863.606249999997</v>
      </c>
      <c r="G1083">
        <v>52.872942191952099</v>
      </c>
      <c r="H1083" t="s">
        <v>21</v>
      </c>
      <c r="J1083" t="s">
        <v>16</v>
      </c>
      <c r="K1083">
        <v>0</v>
      </c>
      <c r="L1083" t="s">
        <v>17</v>
      </c>
      <c r="M1083">
        <v>0</v>
      </c>
      <c r="N1083">
        <v>0</v>
      </c>
    </row>
    <row r="1084" spans="1:14" x14ac:dyDescent="0.25">
      <c r="A1084">
        <v>43864</v>
      </c>
      <c r="B1084" t="s">
        <v>14</v>
      </c>
      <c r="C1084" s="1">
        <v>46060.999988425923</v>
      </c>
      <c r="D1084">
        <v>25.155888680301398</v>
      </c>
      <c r="E1084">
        <v>0</v>
      </c>
      <c r="F1084" s="1">
        <v>43863.606249999997</v>
      </c>
      <c r="G1084">
        <v>52.872942191952099</v>
      </c>
      <c r="H1084" t="s">
        <v>21</v>
      </c>
      <c r="J1084" t="s">
        <v>16</v>
      </c>
      <c r="K1084">
        <v>0</v>
      </c>
      <c r="L1084" t="s">
        <v>17</v>
      </c>
      <c r="M1084">
        <v>0</v>
      </c>
      <c r="N1084">
        <v>0</v>
      </c>
    </row>
    <row r="1085" spans="1:14" x14ac:dyDescent="0.25">
      <c r="A1085">
        <v>43864</v>
      </c>
      <c r="B1085" t="s">
        <v>14</v>
      </c>
      <c r="C1085" s="1">
        <v>46059.999988425923</v>
      </c>
      <c r="D1085">
        <v>25.155888680301398</v>
      </c>
      <c r="E1085">
        <v>0</v>
      </c>
      <c r="F1085" s="1">
        <v>43863.606249999997</v>
      </c>
      <c r="G1085">
        <v>52.872942191952099</v>
      </c>
      <c r="H1085" t="s">
        <v>21</v>
      </c>
      <c r="J1085" t="s">
        <v>16</v>
      </c>
      <c r="K1085">
        <v>0</v>
      </c>
      <c r="L1085" t="s">
        <v>17</v>
      </c>
      <c r="M1085">
        <v>0</v>
      </c>
      <c r="N1085">
        <v>0</v>
      </c>
    </row>
    <row r="1086" spans="1:14" x14ac:dyDescent="0.25">
      <c r="A1086">
        <v>43864</v>
      </c>
      <c r="B1086" t="s">
        <v>14</v>
      </c>
      <c r="C1086" s="1">
        <v>46058.999988425923</v>
      </c>
      <c r="D1086">
        <v>25.155888680301398</v>
      </c>
      <c r="E1086">
        <v>0</v>
      </c>
      <c r="F1086" s="1">
        <v>43863.606249999997</v>
      </c>
      <c r="G1086">
        <v>52.872942191952099</v>
      </c>
      <c r="H1086" t="s">
        <v>21</v>
      </c>
      <c r="J1086" t="s">
        <v>16</v>
      </c>
      <c r="K1086">
        <v>0</v>
      </c>
      <c r="L1086" t="s">
        <v>17</v>
      </c>
      <c r="M1086">
        <v>0</v>
      </c>
      <c r="N1086">
        <v>0</v>
      </c>
    </row>
    <row r="1087" spans="1:14" x14ac:dyDescent="0.25">
      <c r="A1087">
        <v>43864</v>
      </c>
      <c r="B1087" t="s">
        <v>14</v>
      </c>
      <c r="C1087" s="1">
        <v>46057.999988425923</v>
      </c>
      <c r="D1087">
        <v>25.155888680301398</v>
      </c>
      <c r="E1087">
        <v>0</v>
      </c>
      <c r="F1087" s="1">
        <v>43863.606249999997</v>
      </c>
      <c r="G1087">
        <v>52.872942191952099</v>
      </c>
      <c r="H1087" t="s">
        <v>21</v>
      </c>
      <c r="J1087" t="s">
        <v>16</v>
      </c>
      <c r="K1087">
        <v>0</v>
      </c>
      <c r="L1087" t="s">
        <v>17</v>
      </c>
      <c r="M1087">
        <v>0</v>
      </c>
      <c r="N1087">
        <v>0</v>
      </c>
    </row>
    <row r="1088" spans="1:14" x14ac:dyDescent="0.25">
      <c r="A1088">
        <v>43864</v>
      </c>
      <c r="B1088" t="s">
        <v>14</v>
      </c>
      <c r="C1088" s="1">
        <v>46056.999988425923</v>
      </c>
      <c r="D1088">
        <v>25.155888680301398</v>
      </c>
      <c r="E1088">
        <v>0</v>
      </c>
      <c r="F1088" s="1">
        <v>43863.606249999997</v>
      </c>
      <c r="G1088">
        <v>52.872942191952099</v>
      </c>
      <c r="H1088" t="s">
        <v>21</v>
      </c>
      <c r="J1088" t="s">
        <v>16</v>
      </c>
      <c r="K1088">
        <v>0</v>
      </c>
      <c r="L1088" t="s">
        <v>17</v>
      </c>
      <c r="M1088">
        <v>0</v>
      </c>
      <c r="N1088">
        <v>0</v>
      </c>
    </row>
    <row r="1089" spans="1:14" x14ac:dyDescent="0.25">
      <c r="A1089">
        <v>43864</v>
      </c>
      <c r="B1089" t="s">
        <v>14</v>
      </c>
      <c r="C1089" s="1">
        <v>46055.999988425923</v>
      </c>
      <c r="D1089">
        <v>25.155888680301398</v>
      </c>
      <c r="E1089">
        <v>0</v>
      </c>
      <c r="F1089" s="1">
        <v>43863.606249999997</v>
      </c>
      <c r="G1089">
        <v>52.872942191952099</v>
      </c>
      <c r="H1089" t="s">
        <v>21</v>
      </c>
      <c r="J1089" t="s">
        <v>16</v>
      </c>
      <c r="K1089">
        <v>0</v>
      </c>
      <c r="L1089" t="s">
        <v>17</v>
      </c>
      <c r="M1089">
        <v>0</v>
      </c>
      <c r="N1089">
        <v>0</v>
      </c>
    </row>
    <row r="1090" spans="1:14" x14ac:dyDescent="0.25">
      <c r="A1090">
        <v>43864</v>
      </c>
      <c r="B1090" t="s">
        <v>14</v>
      </c>
      <c r="C1090" s="1">
        <v>46054.999988425923</v>
      </c>
      <c r="D1090">
        <v>25.155888680301398</v>
      </c>
      <c r="E1090">
        <v>0</v>
      </c>
      <c r="F1090" s="1">
        <v>43863.606249999997</v>
      </c>
      <c r="G1090">
        <v>52.872942191952099</v>
      </c>
      <c r="H1090" t="s">
        <v>21</v>
      </c>
      <c r="J1090" t="s">
        <v>16</v>
      </c>
      <c r="K1090">
        <v>0</v>
      </c>
      <c r="L1090" t="s">
        <v>17</v>
      </c>
      <c r="M1090">
        <v>0</v>
      </c>
      <c r="N1090">
        <v>0</v>
      </c>
    </row>
    <row r="1091" spans="1:14" x14ac:dyDescent="0.25">
      <c r="A1091">
        <v>43864</v>
      </c>
      <c r="B1091" t="s">
        <v>14</v>
      </c>
      <c r="C1091" s="1">
        <v>46053.999988425923</v>
      </c>
      <c r="D1091">
        <v>25.155888680301398</v>
      </c>
      <c r="E1091">
        <v>0</v>
      </c>
      <c r="F1091" s="1">
        <v>43863.606249999997</v>
      </c>
      <c r="G1091">
        <v>52.872942191952099</v>
      </c>
      <c r="H1091" t="s">
        <v>21</v>
      </c>
      <c r="J1091" t="s">
        <v>16</v>
      </c>
      <c r="K1091">
        <v>0</v>
      </c>
      <c r="L1091" t="s">
        <v>17</v>
      </c>
      <c r="M1091">
        <v>0</v>
      </c>
      <c r="N1091">
        <v>0</v>
      </c>
    </row>
    <row r="1092" spans="1:14" x14ac:dyDescent="0.25">
      <c r="A1092">
        <v>43864</v>
      </c>
      <c r="B1092" t="s">
        <v>14</v>
      </c>
      <c r="C1092" s="1">
        <v>46052.999988425923</v>
      </c>
      <c r="D1092">
        <v>25.155888680301398</v>
      </c>
      <c r="E1092">
        <v>0</v>
      </c>
      <c r="F1092" s="1">
        <v>43863.606249999997</v>
      </c>
      <c r="G1092">
        <v>52.872942191952099</v>
      </c>
      <c r="H1092" t="s">
        <v>21</v>
      </c>
      <c r="J1092" t="s">
        <v>16</v>
      </c>
      <c r="K1092">
        <v>0</v>
      </c>
      <c r="L1092" t="s">
        <v>17</v>
      </c>
      <c r="M1092">
        <v>0</v>
      </c>
      <c r="N1092">
        <v>0</v>
      </c>
    </row>
    <row r="1093" spans="1:14" x14ac:dyDescent="0.25">
      <c r="A1093">
        <v>43864</v>
      </c>
      <c r="B1093" t="s">
        <v>14</v>
      </c>
      <c r="C1093" s="1">
        <v>46051.999988425923</v>
      </c>
      <c r="D1093">
        <v>25.155888680301398</v>
      </c>
      <c r="E1093">
        <v>0</v>
      </c>
      <c r="F1093" s="1">
        <v>43863.606249999997</v>
      </c>
      <c r="G1093">
        <v>52.872942191952099</v>
      </c>
      <c r="H1093" t="s">
        <v>21</v>
      </c>
      <c r="J1093" t="s">
        <v>16</v>
      </c>
      <c r="K1093">
        <v>0</v>
      </c>
      <c r="L1093" t="s">
        <v>17</v>
      </c>
      <c r="M1093">
        <v>0</v>
      </c>
      <c r="N1093">
        <v>0</v>
      </c>
    </row>
    <row r="1094" spans="1:14" x14ac:dyDescent="0.25">
      <c r="A1094">
        <v>43864</v>
      </c>
      <c r="B1094" t="s">
        <v>14</v>
      </c>
      <c r="C1094" s="1">
        <v>46050.999988425923</v>
      </c>
      <c r="D1094">
        <v>25.155888680301398</v>
      </c>
      <c r="E1094">
        <v>0</v>
      </c>
      <c r="F1094" s="1">
        <v>43863.606249999997</v>
      </c>
      <c r="G1094">
        <v>52.872942191952099</v>
      </c>
      <c r="H1094" t="s">
        <v>21</v>
      </c>
      <c r="J1094" t="s">
        <v>16</v>
      </c>
      <c r="K1094">
        <v>0</v>
      </c>
      <c r="L1094" t="s">
        <v>17</v>
      </c>
      <c r="M1094">
        <v>0</v>
      </c>
      <c r="N1094">
        <v>0</v>
      </c>
    </row>
    <row r="1095" spans="1:14" x14ac:dyDescent="0.25">
      <c r="A1095">
        <v>43864</v>
      </c>
      <c r="B1095" t="s">
        <v>14</v>
      </c>
      <c r="C1095" s="1">
        <v>46049.999988425923</v>
      </c>
      <c r="D1095">
        <v>25.155888680301398</v>
      </c>
      <c r="E1095">
        <v>0</v>
      </c>
      <c r="F1095" s="1">
        <v>43863.606249999997</v>
      </c>
      <c r="G1095">
        <v>52.872942191952099</v>
      </c>
      <c r="H1095" t="s">
        <v>21</v>
      </c>
      <c r="J1095" t="s">
        <v>16</v>
      </c>
      <c r="K1095">
        <v>0</v>
      </c>
      <c r="L1095" t="s">
        <v>17</v>
      </c>
      <c r="M1095">
        <v>0</v>
      </c>
      <c r="N1095">
        <v>0</v>
      </c>
    </row>
    <row r="1096" spans="1:14" x14ac:dyDescent="0.25">
      <c r="A1096">
        <v>43864</v>
      </c>
      <c r="B1096" t="s">
        <v>14</v>
      </c>
      <c r="C1096" s="1">
        <v>46048.999988425923</v>
      </c>
      <c r="D1096">
        <v>25.155888680301398</v>
      </c>
      <c r="E1096">
        <v>0</v>
      </c>
      <c r="F1096" s="1">
        <v>43863.606249999997</v>
      </c>
      <c r="G1096">
        <v>52.872942191952099</v>
      </c>
      <c r="H1096" t="s">
        <v>21</v>
      </c>
      <c r="J1096" t="s">
        <v>16</v>
      </c>
      <c r="K1096">
        <v>0</v>
      </c>
      <c r="L1096" t="s">
        <v>17</v>
      </c>
      <c r="M1096">
        <v>0</v>
      </c>
      <c r="N1096">
        <v>0</v>
      </c>
    </row>
    <row r="1097" spans="1:14" x14ac:dyDescent="0.25">
      <c r="A1097">
        <v>43864</v>
      </c>
      <c r="B1097" t="s">
        <v>14</v>
      </c>
      <c r="C1097" s="1">
        <v>46047.999988425923</v>
      </c>
      <c r="D1097">
        <v>25.155888680301398</v>
      </c>
      <c r="E1097">
        <v>0</v>
      </c>
      <c r="F1097" s="1">
        <v>43863.606249999997</v>
      </c>
      <c r="G1097">
        <v>52.872942191952099</v>
      </c>
      <c r="H1097" t="s">
        <v>21</v>
      </c>
      <c r="J1097" t="s">
        <v>16</v>
      </c>
      <c r="K1097">
        <v>0</v>
      </c>
      <c r="L1097" t="s">
        <v>17</v>
      </c>
      <c r="M1097">
        <v>0</v>
      </c>
      <c r="N1097">
        <v>0</v>
      </c>
    </row>
    <row r="1098" spans="1:14" x14ac:dyDescent="0.25">
      <c r="A1098">
        <v>43864</v>
      </c>
      <c r="B1098" t="s">
        <v>14</v>
      </c>
      <c r="C1098" s="1">
        <v>46046.999988425923</v>
      </c>
      <c r="D1098">
        <v>25.155888680301398</v>
      </c>
      <c r="E1098">
        <v>0</v>
      </c>
      <c r="F1098" s="1">
        <v>43863.606249999997</v>
      </c>
      <c r="G1098">
        <v>52.872942191952099</v>
      </c>
      <c r="H1098" t="s">
        <v>21</v>
      </c>
      <c r="J1098" t="s">
        <v>16</v>
      </c>
      <c r="K1098">
        <v>0</v>
      </c>
      <c r="L1098" t="s">
        <v>17</v>
      </c>
      <c r="M1098">
        <v>0</v>
      </c>
      <c r="N1098">
        <v>0</v>
      </c>
    </row>
    <row r="1099" spans="1:14" x14ac:dyDescent="0.25">
      <c r="A1099">
        <v>43864</v>
      </c>
      <c r="B1099" t="s">
        <v>14</v>
      </c>
      <c r="C1099" s="1">
        <v>46045.999988425923</v>
      </c>
      <c r="D1099">
        <v>25.155888680301398</v>
      </c>
      <c r="E1099">
        <v>0</v>
      </c>
      <c r="F1099" s="1">
        <v>43863.606249999997</v>
      </c>
      <c r="G1099">
        <v>52.872942191952099</v>
      </c>
      <c r="H1099" t="s">
        <v>21</v>
      </c>
      <c r="J1099" t="s">
        <v>16</v>
      </c>
      <c r="K1099">
        <v>0</v>
      </c>
      <c r="L1099" t="s">
        <v>17</v>
      </c>
      <c r="M1099">
        <v>0</v>
      </c>
      <c r="N1099">
        <v>0</v>
      </c>
    </row>
    <row r="1100" spans="1:14" x14ac:dyDescent="0.25">
      <c r="A1100">
        <v>43864</v>
      </c>
      <c r="B1100" t="s">
        <v>14</v>
      </c>
      <c r="C1100" s="1">
        <v>46044.999988425923</v>
      </c>
      <c r="D1100">
        <v>25.155888680301398</v>
      </c>
      <c r="E1100">
        <v>0</v>
      </c>
      <c r="F1100" s="1">
        <v>43863.606249999997</v>
      </c>
      <c r="G1100">
        <v>52.872942191952099</v>
      </c>
      <c r="H1100" t="s">
        <v>21</v>
      </c>
      <c r="J1100" t="s">
        <v>16</v>
      </c>
      <c r="K1100">
        <v>0</v>
      </c>
      <c r="L1100" t="s">
        <v>17</v>
      </c>
      <c r="M1100">
        <v>0</v>
      </c>
      <c r="N1100">
        <v>0</v>
      </c>
    </row>
    <row r="1101" spans="1:14" x14ac:dyDescent="0.25">
      <c r="A1101">
        <v>43864</v>
      </c>
      <c r="B1101" t="s">
        <v>14</v>
      </c>
      <c r="C1101" s="1">
        <v>46043.999988425923</v>
      </c>
      <c r="D1101">
        <v>25.155888680301398</v>
      </c>
      <c r="E1101">
        <v>0</v>
      </c>
      <c r="F1101" s="1">
        <v>43863.606249999997</v>
      </c>
      <c r="G1101">
        <v>52.872942191952099</v>
      </c>
      <c r="H1101" t="s">
        <v>21</v>
      </c>
      <c r="J1101" t="s">
        <v>16</v>
      </c>
      <c r="K1101">
        <v>0</v>
      </c>
      <c r="L1101" t="s">
        <v>17</v>
      </c>
      <c r="M1101">
        <v>0</v>
      </c>
      <c r="N1101">
        <v>0</v>
      </c>
    </row>
    <row r="1102" spans="1:14" x14ac:dyDescent="0.25">
      <c r="A1102">
        <v>43864</v>
      </c>
      <c r="B1102" t="s">
        <v>14</v>
      </c>
      <c r="C1102" s="1">
        <v>46042.999988425923</v>
      </c>
      <c r="D1102">
        <v>25.155888680301398</v>
      </c>
      <c r="E1102">
        <v>0</v>
      </c>
      <c r="F1102" s="1">
        <v>43863.606249999997</v>
      </c>
      <c r="G1102">
        <v>52.872942191952099</v>
      </c>
      <c r="H1102" t="s">
        <v>21</v>
      </c>
      <c r="J1102" t="s">
        <v>16</v>
      </c>
      <c r="K1102">
        <v>0</v>
      </c>
      <c r="L1102" t="s">
        <v>17</v>
      </c>
      <c r="M1102">
        <v>0</v>
      </c>
      <c r="N1102">
        <v>0</v>
      </c>
    </row>
    <row r="1103" spans="1:14" x14ac:dyDescent="0.25">
      <c r="A1103">
        <v>43864</v>
      </c>
      <c r="B1103" t="s">
        <v>14</v>
      </c>
      <c r="C1103" s="1">
        <v>46041.999988425923</v>
      </c>
      <c r="D1103">
        <v>25.155888680301398</v>
      </c>
      <c r="E1103">
        <v>0</v>
      </c>
      <c r="F1103" s="1">
        <v>43863.606249999997</v>
      </c>
      <c r="G1103">
        <v>52.872942191952099</v>
      </c>
      <c r="H1103" t="s">
        <v>21</v>
      </c>
      <c r="J1103" t="s">
        <v>16</v>
      </c>
      <c r="K1103">
        <v>0</v>
      </c>
      <c r="L1103" t="s">
        <v>17</v>
      </c>
      <c r="M1103">
        <v>0</v>
      </c>
      <c r="N1103">
        <v>0</v>
      </c>
    </row>
    <row r="1104" spans="1:14" x14ac:dyDescent="0.25">
      <c r="A1104">
        <v>43864</v>
      </c>
      <c r="B1104" t="s">
        <v>14</v>
      </c>
      <c r="C1104" s="1">
        <v>46040.999988425923</v>
      </c>
      <c r="D1104">
        <v>25.155888680301398</v>
      </c>
      <c r="E1104">
        <v>0</v>
      </c>
      <c r="F1104" s="1">
        <v>43863.606249999997</v>
      </c>
      <c r="G1104">
        <v>52.872942191952099</v>
      </c>
      <c r="H1104" t="s">
        <v>21</v>
      </c>
      <c r="J1104" t="s">
        <v>16</v>
      </c>
      <c r="K1104">
        <v>0</v>
      </c>
      <c r="L1104" t="s">
        <v>17</v>
      </c>
      <c r="M1104">
        <v>0</v>
      </c>
      <c r="N1104">
        <v>0</v>
      </c>
    </row>
    <row r="1105" spans="1:14" x14ac:dyDescent="0.25">
      <c r="A1105">
        <v>43864</v>
      </c>
      <c r="B1105" t="s">
        <v>14</v>
      </c>
      <c r="C1105" s="1">
        <v>46039.999988425923</v>
      </c>
      <c r="D1105">
        <v>25.155888680301398</v>
      </c>
      <c r="E1105">
        <v>0</v>
      </c>
      <c r="F1105" s="1">
        <v>43863.606249999997</v>
      </c>
      <c r="G1105">
        <v>52.872942191952099</v>
      </c>
      <c r="H1105" t="s">
        <v>21</v>
      </c>
      <c r="J1105" t="s">
        <v>16</v>
      </c>
      <c r="K1105">
        <v>0</v>
      </c>
      <c r="L1105" t="s">
        <v>17</v>
      </c>
      <c r="M1105">
        <v>0</v>
      </c>
      <c r="N1105">
        <v>0</v>
      </c>
    </row>
    <row r="1106" spans="1:14" x14ac:dyDescent="0.25">
      <c r="A1106">
        <v>43864</v>
      </c>
      <c r="B1106" t="s">
        <v>14</v>
      </c>
      <c r="C1106" s="1">
        <v>46038.999988425923</v>
      </c>
      <c r="D1106">
        <v>25.155888680301398</v>
      </c>
      <c r="E1106">
        <v>0</v>
      </c>
      <c r="F1106" s="1">
        <v>43863.606249999997</v>
      </c>
      <c r="G1106">
        <v>52.872942191952099</v>
      </c>
      <c r="H1106" t="s">
        <v>21</v>
      </c>
      <c r="J1106" t="s">
        <v>16</v>
      </c>
      <c r="K1106">
        <v>0</v>
      </c>
      <c r="L1106" t="s">
        <v>17</v>
      </c>
      <c r="M1106">
        <v>0</v>
      </c>
      <c r="N1106">
        <v>0</v>
      </c>
    </row>
    <row r="1107" spans="1:14" x14ac:dyDescent="0.25">
      <c r="A1107">
        <v>43864</v>
      </c>
      <c r="B1107" t="s">
        <v>14</v>
      </c>
      <c r="C1107" s="1">
        <v>46037.999988425923</v>
      </c>
      <c r="D1107">
        <v>25.155888680301398</v>
      </c>
      <c r="E1107">
        <v>0</v>
      </c>
      <c r="F1107" s="1">
        <v>43863.606249999997</v>
      </c>
      <c r="G1107">
        <v>52.872942191952099</v>
      </c>
      <c r="H1107" t="s">
        <v>21</v>
      </c>
      <c r="J1107" t="s">
        <v>16</v>
      </c>
      <c r="K1107">
        <v>0</v>
      </c>
      <c r="L1107" t="s">
        <v>17</v>
      </c>
      <c r="M1107">
        <v>0</v>
      </c>
      <c r="N1107">
        <v>0</v>
      </c>
    </row>
    <row r="1108" spans="1:14" x14ac:dyDescent="0.25">
      <c r="A1108">
        <v>43864</v>
      </c>
      <c r="B1108" t="s">
        <v>14</v>
      </c>
      <c r="C1108" s="1">
        <v>46036.999988425923</v>
      </c>
      <c r="D1108">
        <v>25.155888680301398</v>
      </c>
      <c r="E1108">
        <v>0</v>
      </c>
      <c r="F1108" s="1">
        <v>43863.606249999997</v>
      </c>
      <c r="G1108">
        <v>52.872942191952099</v>
      </c>
      <c r="H1108" t="s">
        <v>21</v>
      </c>
      <c r="J1108" t="s">
        <v>16</v>
      </c>
      <c r="K1108">
        <v>0</v>
      </c>
      <c r="L1108" t="s">
        <v>17</v>
      </c>
      <c r="M1108">
        <v>0</v>
      </c>
      <c r="N1108">
        <v>0</v>
      </c>
    </row>
    <row r="1109" spans="1:14" x14ac:dyDescent="0.25">
      <c r="A1109">
        <v>43864</v>
      </c>
      <c r="B1109" t="s">
        <v>14</v>
      </c>
      <c r="C1109" s="1">
        <v>46035.999988425923</v>
      </c>
      <c r="D1109">
        <v>25.155888680301398</v>
      </c>
      <c r="E1109">
        <v>0</v>
      </c>
      <c r="F1109" s="1">
        <v>43863.606249999997</v>
      </c>
      <c r="G1109">
        <v>52.872942191952099</v>
      </c>
      <c r="H1109" t="s">
        <v>21</v>
      </c>
      <c r="J1109" t="s">
        <v>16</v>
      </c>
      <c r="K1109">
        <v>0</v>
      </c>
      <c r="L1109" t="s">
        <v>17</v>
      </c>
      <c r="M1109">
        <v>0</v>
      </c>
      <c r="N1109">
        <v>0</v>
      </c>
    </row>
    <row r="1110" spans="1:14" x14ac:dyDescent="0.25">
      <c r="A1110">
        <v>43864</v>
      </c>
      <c r="B1110" t="s">
        <v>14</v>
      </c>
      <c r="C1110" s="1">
        <v>46034.999988425923</v>
      </c>
      <c r="D1110">
        <v>25.155888680301398</v>
      </c>
      <c r="E1110">
        <v>0</v>
      </c>
      <c r="F1110" s="1">
        <v>43863.606249999997</v>
      </c>
      <c r="G1110">
        <v>52.872942191952099</v>
      </c>
      <c r="H1110" t="s">
        <v>21</v>
      </c>
      <c r="J1110" t="s">
        <v>16</v>
      </c>
      <c r="K1110">
        <v>0</v>
      </c>
      <c r="L1110" t="s">
        <v>17</v>
      </c>
      <c r="M1110">
        <v>0</v>
      </c>
      <c r="N1110">
        <v>0</v>
      </c>
    </row>
    <row r="1111" spans="1:14" x14ac:dyDescent="0.25">
      <c r="A1111">
        <v>43864</v>
      </c>
      <c r="B1111" t="s">
        <v>14</v>
      </c>
      <c r="C1111" s="1">
        <v>46033.999988425923</v>
      </c>
      <c r="D1111">
        <v>25.155888680301398</v>
      </c>
      <c r="E1111">
        <v>0</v>
      </c>
      <c r="F1111" s="1">
        <v>43863.606249999997</v>
      </c>
      <c r="G1111">
        <v>52.872942191952099</v>
      </c>
      <c r="H1111" t="s">
        <v>21</v>
      </c>
      <c r="J1111" t="s">
        <v>16</v>
      </c>
      <c r="K1111">
        <v>0</v>
      </c>
      <c r="L1111" t="s">
        <v>17</v>
      </c>
      <c r="M1111">
        <v>0</v>
      </c>
      <c r="N1111">
        <v>0</v>
      </c>
    </row>
    <row r="1112" spans="1:14" x14ac:dyDescent="0.25">
      <c r="A1112">
        <v>43864</v>
      </c>
      <c r="B1112" t="s">
        <v>14</v>
      </c>
      <c r="C1112" s="1">
        <v>46032.999988425923</v>
      </c>
      <c r="D1112">
        <v>25.155888680301398</v>
      </c>
      <c r="E1112">
        <v>0</v>
      </c>
      <c r="F1112" s="1">
        <v>43863.606249999997</v>
      </c>
      <c r="G1112">
        <v>52.872942191952099</v>
      </c>
      <c r="H1112" t="s">
        <v>21</v>
      </c>
      <c r="J1112" t="s">
        <v>16</v>
      </c>
      <c r="K1112">
        <v>0</v>
      </c>
      <c r="L1112" t="s">
        <v>17</v>
      </c>
      <c r="M1112">
        <v>0</v>
      </c>
      <c r="N1112">
        <v>0</v>
      </c>
    </row>
    <row r="1113" spans="1:14" x14ac:dyDescent="0.25">
      <c r="A1113">
        <v>43864</v>
      </c>
      <c r="B1113" t="s">
        <v>14</v>
      </c>
      <c r="C1113" s="1">
        <v>46031.999988425923</v>
      </c>
      <c r="D1113">
        <v>25.155888680301398</v>
      </c>
      <c r="E1113">
        <v>0</v>
      </c>
      <c r="F1113" s="1">
        <v>43863.606249999997</v>
      </c>
      <c r="G1113">
        <v>52.872942191952099</v>
      </c>
      <c r="H1113" t="s">
        <v>21</v>
      </c>
      <c r="J1113" t="s">
        <v>16</v>
      </c>
      <c r="K1113">
        <v>0</v>
      </c>
      <c r="L1113" t="s">
        <v>17</v>
      </c>
      <c r="M1113">
        <v>0</v>
      </c>
      <c r="N1113">
        <v>0</v>
      </c>
    </row>
    <row r="1114" spans="1:14" x14ac:dyDescent="0.25">
      <c r="A1114">
        <v>43864</v>
      </c>
      <c r="B1114" t="s">
        <v>14</v>
      </c>
      <c r="C1114" s="1">
        <v>46030.999988425923</v>
      </c>
      <c r="D1114">
        <v>25.155888680301398</v>
      </c>
      <c r="E1114">
        <v>0</v>
      </c>
      <c r="F1114" s="1">
        <v>43863.606249999997</v>
      </c>
      <c r="G1114">
        <v>52.872942191952099</v>
      </c>
      <c r="H1114" t="s">
        <v>21</v>
      </c>
      <c r="J1114" t="s">
        <v>16</v>
      </c>
      <c r="K1114">
        <v>0</v>
      </c>
      <c r="L1114" t="s">
        <v>17</v>
      </c>
      <c r="M1114">
        <v>0</v>
      </c>
      <c r="N1114">
        <v>0</v>
      </c>
    </row>
    <row r="1115" spans="1:14" x14ac:dyDescent="0.25">
      <c r="A1115">
        <v>43864</v>
      </c>
      <c r="B1115" t="s">
        <v>14</v>
      </c>
      <c r="C1115" s="1">
        <v>46029.999988425923</v>
      </c>
      <c r="D1115">
        <v>25.155888680301398</v>
      </c>
      <c r="E1115">
        <v>0</v>
      </c>
      <c r="F1115" s="1">
        <v>43863.606249999997</v>
      </c>
      <c r="G1115">
        <v>52.872942191952099</v>
      </c>
      <c r="H1115" t="s">
        <v>21</v>
      </c>
      <c r="J1115" t="s">
        <v>16</v>
      </c>
      <c r="K1115">
        <v>0</v>
      </c>
      <c r="L1115" t="s">
        <v>17</v>
      </c>
      <c r="M1115">
        <v>0</v>
      </c>
      <c r="N1115">
        <v>0</v>
      </c>
    </row>
    <row r="1116" spans="1:14" x14ac:dyDescent="0.25">
      <c r="A1116">
        <v>43864</v>
      </c>
      <c r="B1116" t="s">
        <v>14</v>
      </c>
      <c r="C1116" s="1">
        <v>46028.999988425923</v>
      </c>
      <c r="D1116">
        <v>25.155888680301398</v>
      </c>
      <c r="E1116">
        <v>0</v>
      </c>
      <c r="F1116" s="1">
        <v>43863.606249999997</v>
      </c>
      <c r="G1116">
        <v>52.872942191952099</v>
      </c>
      <c r="H1116" t="s">
        <v>21</v>
      </c>
      <c r="J1116" t="s">
        <v>16</v>
      </c>
      <c r="K1116">
        <v>0</v>
      </c>
      <c r="L1116" t="s">
        <v>17</v>
      </c>
      <c r="M1116">
        <v>0</v>
      </c>
      <c r="N1116">
        <v>0</v>
      </c>
    </row>
    <row r="1117" spans="1:14" x14ac:dyDescent="0.25">
      <c r="A1117">
        <v>43864</v>
      </c>
      <c r="B1117" t="s">
        <v>14</v>
      </c>
      <c r="C1117" s="1">
        <v>46027.999988425923</v>
      </c>
      <c r="D1117">
        <v>25.155888680301398</v>
      </c>
      <c r="E1117">
        <v>0</v>
      </c>
      <c r="F1117" s="1">
        <v>43863.606249999997</v>
      </c>
      <c r="G1117">
        <v>52.872942191952099</v>
      </c>
      <c r="H1117" t="s">
        <v>21</v>
      </c>
      <c r="J1117" t="s">
        <v>16</v>
      </c>
      <c r="K1117">
        <v>0</v>
      </c>
      <c r="L1117" t="s">
        <v>17</v>
      </c>
      <c r="M1117">
        <v>0</v>
      </c>
      <c r="N1117">
        <v>0</v>
      </c>
    </row>
    <row r="1118" spans="1:14" x14ac:dyDescent="0.25">
      <c r="A1118">
        <v>43864</v>
      </c>
      <c r="B1118" t="s">
        <v>14</v>
      </c>
      <c r="C1118" s="1">
        <v>46026.999988425923</v>
      </c>
      <c r="D1118">
        <v>25.155888680301398</v>
      </c>
      <c r="E1118">
        <v>0</v>
      </c>
      <c r="F1118" s="1">
        <v>43863.606249999997</v>
      </c>
      <c r="G1118">
        <v>52.872942191952099</v>
      </c>
      <c r="H1118" t="s">
        <v>21</v>
      </c>
      <c r="J1118" t="s">
        <v>16</v>
      </c>
      <c r="K1118">
        <v>0</v>
      </c>
      <c r="L1118" t="s">
        <v>17</v>
      </c>
      <c r="M1118">
        <v>0</v>
      </c>
      <c r="N1118">
        <v>0</v>
      </c>
    </row>
    <row r="1119" spans="1:14" x14ac:dyDescent="0.25">
      <c r="A1119">
        <v>43864</v>
      </c>
      <c r="B1119" t="s">
        <v>14</v>
      </c>
      <c r="C1119" s="1">
        <v>46025.999988425923</v>
      </c>
      <c r="D1119">
        <v>25.155888680301398</v>
      </c>
      <c r="E1119">
        <v>0</v>
      </c>
      <c r="F1119" s="1">
        <v>43863.606249999997</v>
      </c>
      <c r="G1119">
        <v>52.872942191952099</v>
      </c>
      <c r="H1119" t="s">
        <v>21</v>
      </c>
      <c r="J1119" t="s">
        <v>16</v>
      </c>
      <c r="K1119">
        <v>0</v>
      </c>
      <c r="L1119" t="s">
        <v>17</v>
      </c>
      <c r="M1119">
        <v>0</v>
      </c>
      <c r="N1119">
        <v>0</v>
      </c>
    </row>
    <row r="1120" spans="1:14" x14ac:dyDescent="0.25">
      <c r="A1120">
        <v>43864</v>
      </c>
      <c r="B1120" t="s">
        <v>14</v>
      </c>
      <c r="C1120" s="1">
        <v>46024.999988425923</v>
      </c>
      <c r="D1120">
        <v>25.155888680301398</v>
      </c>
      <c r="E1120">
        <v>0</v>
      </c>
      <c r="F1120" s="1">
        <v>43863.606249999997</v>
      </c>
      <c r="G1120">
        <v>52.872942191952099</v>
      </c>
      <c r="H1120" t="s">
        <v>21</v>
      </c>
      <c r="J1120" t="s">
        <v>16</v>
      </c>
      <c r="K1120">
        <v>0</v>
      </c>
      <c r="L1120" t="s">
        <v>17</v>
      </c>
      <c r="M1120">
        <v>0</v>
      </c>
      <c r="N1120">
        <v>0</v>
      </c>
    </row>
    <row r="1121" spans="1:14" x14ac:dyDescent="0.25">
      <c r="A1121">
        <v>43864</v>
      </c>
      <c r="B1121" t="s">
        <v>14</v>
      </c>
      <c r="C1121" s="1">
        <v>46023.999988425923</v>
      </c>
      <c r="D1121">
        <v>25.155888680301398</v>
      </c>
      <c r="E1121">
        <v>0</v>
      </c>
      <c r="F1121" s="1">
        <v>43863.606249999997</v>
      </c>
      <c r="G1121">
        <v>52.872942191952099</v>
      </c>
      <c r="H1121" t="s">
        <v>21</v>
      </c>
      <c r="J1121" t="s">
        <v>16</v>
      </c>
      <c r="K1121">
        <v>0</v>
      </c>
      <c r="L1121" t="s">
        <v>17</v>
      </c>
      <c r="M1121">
        <v>0</v>
      </c>
      <c r="N1121">
        <v>0</v>
      </c>
    </row>
    <row r="1122" spans="1:14" x14ac:dyDescent="0.25">
      <c r="B1122" t="s">
        <v>14</v>
      </c>
      <c r="C1122" s="1">
        <v>46246.999988425923</v>
      </c>
      <c r="D1122">
        <v>25.1575080974489</v>
      </c>
      <c r="E1122">
        <v>577007.90534456098</v>
      </c>
      <c r="F1122" s="1">
        <v>46246.605821759258</v>
      </c>
      <c r="G1122">
        <v>52.876708064224601</v>
      </c>
      <c r="H1122" t="s">
        <v>22</v>
      </c>
      <c r="J1122" t="s">
        <v>16</v>
      </c>
      <c r="K1122">
        <v>577007.90534456098</v>
      </c>
      <c r="L1122" t="s">
        <v>17</v>
      </c>
      <c r="M1122">
        <v>0</v>
      </c>
      <c r="N1122">
        <v>1</v>
      </c>
    </row>
    <row r="1123" spans="1:14" x14ac:dyDescent="0.25">
      <c r="B1123" t="s">
        <v>14</v>
      </c>
      <c r="C1123" s="1">
        <v>46245.999988425923</v>
      </c>
      <c r="D1123">
        <v>25.1575080974489</v>
      </c>
      <c r="E1123">
        <v>112260.172243935</v>
      </c>
      <c r="F1123" s="1">
        <v>46243.09915509259</v>
      </c>
      <c r="G1123">
        <v>52.876708064224601</v>
      </c>
      <c r="H1123" t="s">
        <v>22</v>
      </c>
      <c r="J1123" t="s">
        <v>16</v>
      </c>
      <c r="K1123">
        <v>577007.90534456098</v>
      </c>
      <c r="L1123" t="s">
        <v>17</v>
      </c>
      <c r="M1123">
        <v>-464747.73310062499</v>
      </c>
      <c r="N1123">
        <v>0.194555691878951</v>
      </c>
    </row>
    <row r="1124" spans="1:14" x14ac:dyDescent="0.25">
      <c r="B1124" t="s">
        <v>14</v>
      </c>
      <c r="C1124" s="1">
        <v>46244.999988425923</v>
      </c>
      <c r="D1124">
        <v>25.1575080974489</v>
      </c>
      <c r="E1124">
        <v>112260.172243935</v>
      </c>
      <c r="F1124" s="1">
        <v>46243.09915509259</v>
      </c>
      <c r="G1124">
        <v>52.876708064224601</v>
      </c>
      <c r="H1124" t="s">
        <v>22</v>
      </c>
      <c r="J1124" t="s">
        <v>16</v>
      </c>
      <c r="K1124">
        <v>577007.90534456098</v>
      </c>
      <c r="L1124" t="s">
        <v>17</v>
      </c>
      <c r="M1124">
        <v>0</v>
      </c>
      <c r="N1124">
        <v>0.194555691878951</v>
      </c>
    </row>
    <row r="1125" spans="1:14" x14ac:dyDescent="0.25">
      <c r="B1125" t="s">
        <v>14</v>
      </c>
      <c r="C1125" s="1">
        <v>46243.999988425923</v>
      </c>
      <c r="D1125">
        <v>25.1575080974489</v>
      </c>
      <c r="E1125">
        <v>112260.172243935</v>
      </c>
      <c r="F1125" s="1">
        <v>46243.09915509259</v>
      </c>
      <c r="G1125">
        <v>52.876708064224601</v>
      </c>
      <c r="H1125" t="s">
        <v>22</v>
      </c>
      <c r="J1125" t="s">
        <v>16</v>
      </c>
      <c r="K1125">
        <v>577007.90534456098</v>
      </c>
      <c r="L1125" t="s">
        <v>17</v>
      </c>
      <c r="M1125">
        <v>0</v>
      </c>
      <c r="N1125">
        <v>0.194555691878951</v>
      </c>
    </row>
    <row r="1126" spans="1:14" x14ac:dyDescent="0.25">
      <c r="B1126" t="s">
        <v>14</v>
      </c>
      <c r="C1126" s="1">
        <v>46242.999988425923</v>
      </c>
      <c r="D1126">
        <v>25.1575080974489</v>
      </c>
      <c r="E1126">
        <v>577007.90534456098</v>
      </c>
      <c r="F1126" s="1">
        <v>46240.605520833335</v>
      </c>
      <c r="G1126">
        <v>52.876708064224601</v>
      </c>
      <c r="H1126" t="s">
        <v>22</v>
      </c>
      <c r="J1126" t="s">
        <v>16</v>
      </c>
      <c r="K1126">
        <v>577007.90534456098</v>
      </c>
      <c r="L1126" t="s">
        <v>17</v>
      </c>
      <c r="M1126">
        <v>464747.73310062499</v>
      </c>
      <c r="N1126">
        <v>1</v>
      </c>
    </row>
    <row r="1127" spans="1:14" x14ac:dyDescent="0.25">
      <c r="B1127" t="s">
        <v>14</v>
      </c>
      <c r="C1127" s="1">
        <v>46241.999988425923</v>
      </c>
      <c r="D1127">
        <v>25.1575080974489</v>
      </c>
      <c r="E1127">
        <v>577007.90534456098</v>
      </c>
      <c r="F1127" s="1">
        <v>46240.605520833335</v>
      </c>
      <c r="G1127">
        <v>52.876708064224601</v>
      </c>
      <c r="H1127" t="s">
        <v>22</v>
      </c>
      <c r="J1127" t="s">
        <v>16</v>
      </c>
      <c r="K1127">
        <v>577007.90534456098</v>
      </c>
      <c r="L1127" t="s">
        <v>17</v>
      </c>
      <c r="M1127">
        <v>0</v>
      </c>
      <c r="N1127">
        <v>1</v>
      </c>
    </row>
    <row r="1128" spans="1:14" x14ac:dyDescent="0.25">
      <c r="B1128" t="s">
        <v>14</v>
      </c>
      <c r="C1128" s="1">
        <v>46240.999988425923</v>
      </c>
      <c r="D1128">
        <v>25.1575080974489</v>
      </c>
      <c r="E1128">
        <v>577007.90534456098</v>
      </c>
      <c r="F1128" s="1">
        <v>46240.605520833335</v>
      </c>
      <c r="G1128">
        <v>52.876708064224601</v>
      </c>
      <c r="H1128" t="s">
        <v>22</v>
      </c>
      <c r="J1128" t="s">
        <v>16</v>
      </c>
      <c r="K1128">
        <v>577007.90534456098</v>
      </c>
      <c r="L1128" t="s">
        <v>17</v>
      </c>
      <c r="M1128">
        <v>0</v>
      </c>
      <c r="N1128">
        <v>1</v>
      </c>
    </row>
    <row r="1129" spans="1:14" x14ac:dyDescent="0.25">
      <c r="B1129" t="s">
        <v>14</v>
      </c>
      <c r="C1129" s="1">
        <v>46239.999988425923</v>
      </c>
      <c r="D1129">
        <v>25.1575080974489</v>
      </c>
      <c r="E1129">
        <v>111144.153425775</v>
      </c>
      <c r="F1129" s="1">
        <v>46237.099328703705</v>
      </c>
      <c r="G1129">
        <v>52.876708064224601</v>
      </c>
      <c r="H1129" t="s">
        <v>22</v>
      </c>
      <c r="J1129" t="s">
        <v>16</v>
      </c>
      <c r="K1129">
        <v>577007.90534456098</v>
      </c>
      <c r="L1129" t="s">
        <v>17</v>
      </c>
      <c r="M1129">
        <v>-465863.75191878498</v>
      </c>
      <c r="N1129">
        <v>0.19262154365009199</v>
      </c>
    </row>
    <row r="1130" spans="1:14" x14ac:dyDescent="0.25">
      <c r="B1130" t="s">
        <v>14</v>
      </c>
      <c r="C1130" s="1">
        <v>46238.999988425923</v>
      </c>
      <c r="D1130">
        <v>25.1575080974489</v>
      </c>
      <c r="E1130">
        <v>111144.153425775</v>
      </c>
      <c r="F1130" s="1">
        <v>46237.099328703705</v>
      </c>
      <c r="G1130">
        <v>52.876708064224601</v>
      </c>
      <c r="H1130" t="s">
        <v>22</v>
      </c>
      <c r="J1130" t="s">
        <v>16</v>
      </c>
      <c r="K1130">
        <v>577007.90534456098</v>
      </c>
      <c r="L1130" t="s">
        <v>17</v>
      </c>
      <c r="M1130">
        <v>0</v>
      </c>
      <c r="N1130">
        <v>0.19262154365009199</v>
      </c>
    </row>
    <row r="1131" spans="1:14" x14ac:dyDescent="0.25">
      <c r="B1131" t="s">
        <v>14</v>
      </c>
      <c r="C1131" s="1">
        <v>46237.999988425923</v>
      </c>
      <c r="D1131">
        <v>25.1575080974489</v>
      </c>
      <c r="E1131">
        <v>111144.153425775</v>
      </c>
      <c r="F1131" s="1">
        <v>46237.099328703705</v>
      </c>
      <c r="G1131">
        <v>52.876708064224601</v>
      </c>
      <c r="H1131" t="s">
        <v>22</v>
      </c>
      <c r="J1131" t="s">
        <v>16</v>
      </c>
      <c r="K1131">
        <v>577007.90534456098</v>
      </c>
      <c r="L1131" t="s">
        <v>17</v>
      </c>
      <c r="M1131">
        <v>0</v>
      </c>
      <c r="N1131">
        <v>0.19262154365009199</v>
      </c>
    </row>
    <row r="1132" spans="1:14" x14ac:dyDescent="0.25">
      <c r="B1132" t="s">
        <v>14</v>
      </c>
      <c r="C1132" s="1">
        <v>46236.999988425923</v>
      </c>
      <c r="D1132">
        <v>25.1575080974489</v>
      </c>
      <c r="E1132">
        <v>121910.702721594</v>
      </c>
      <c r="F1132" s="1">
        <v>46234.605810185189</v>
      </c>
      <c r="G1132">
        <v>52.876708064224601</v>
      </c>
      <c r="H1132" t="s">
        <v>22</v>
      </c>
      <c r="J1132" t="s">
        <v>16</v>
      </c>
      <c r="K1132">
        <v>577007.90534456098</v>
      </c>
      <c r="L1132" t="s">
        <v>17</v>
      </c>
      <c r="M1132">
        <v>10766.549295819001</v>
      </c>
      <c r="N1132">
        <v>0.211280818845619</v>
      </c>
    </row>
    <row r="1133" spans="1:14" x14ac:dyDescent="0.25">
      <c r="B1133" t="s">
        <v>14</v>
      </c>
      <c r="C1133" s="1">
        <v>46235.999988425923</v>
      </c>
      <c r="D1133">
        <v>25.1575080974489</v>
      </c>
      <c r="E1133">
        <v>121910.702721594</v>
      </c>
      <c r="F1133" s="1">
        <v>46234.605810185189</v>
      </c>
      <c r="G1133">
        <v>52.876708064224601</v>
      </c>
      <c r="H1133" t="s">
        <v>22</v>
      </c>
      <c r="J1133" t="s">
        <v>16</v>
      </c>
      <c r="K1133">
        <v>577007.90534456098</v>
      </c>
      <c r="L1133" t="s">
        <v>17</v>
      </c>
      <c r="M1133">
        <v>0</v>
      </c>
      <c r="N1133">
        <v>0.211280818845619</v>
      </c>
    </row>
    <row r="1134" spans="1:14" x14ac:dyDescent="0.25">
      <c r="B1134" t="s">
        <v>14</v>
      </c>
      <c r="C1134" s="1">
        <v>46234.999988425923</v>
      </c>
      <c r="D1134">
        <v>25.1575080974489</v>
      </c>
      <c r="E1134">
        <v>121910.702721594</v>
      </c>
      <c r="F1134" s="1">
        <v>46234.605810185189</v>
      </c>
      <c r="G1134">
        <v>52.876708064224601</v>
      </c>
      <c r="H1134" t="s">
        <v>22</v>
      </c>
      <c r="J1134" t="s">
        <v>16</v>
      </c>
      <c r="K1134">
        <v>577007.90534456098</v>
      </c>
      <c r="L1134" t="s">
        <v>17</v>
      </c>
      <c r="M1134">
        <v>0</v>
      </c>
      <c r="N1134">
        <v>0.211280818845619</v>
      </c>
    </row>
    <row r="1135" spans="1:14" x14ac:dyDescent="0.25">
      <c r="B1135" t="s">
        <v>14</v>
      </c>
      <c r="C1135" s="1">
        <v>46233.999988425923</v>
      </c>
      <c r="D1135">
        <v>25.1575080974489</v>
      </c>
      <c r="E1135">
        <v>110405.804073523</v>
      </c>
      <c r="F1135" s="1">
        <v>46231.09915509259</v>
      </c>
      <c r="G1135">
        <v>52.876708064224601</v>
      </c>
      <c r="H1135" t="s">
        <v>22</v>
      </c>
      <c r="J1135" t="s">
        <v>16</v>
      </c>
      <c r="K1135">
        <v>577007.90534456098</v>
      </c>
      <c r="L1135" t="s">
        <v>17</v>
      </c>
      <c r="M1135">
        <v>-11504.898648071099</v>
      </c>
      <c r="N1135">
        <v>0.191341926255922</v>
      </c>
    </row>
    <row r="1136" spans="1:14" x14ac:dyDescent="0.25">
      <c r="B1136" t="s">
        <v>14</v>
      </c>
      <c r="C1136" s="1">
        <v>46232.999988425923</v>
      </c>
      <c r="D1136">
        <v>25.1575080974489</v>
      </c>
      <c r="E1136">
        <v>110405.804073523</v>
      </c>
      <c r="F1136" s="1">
        <v>46231.09915509259</v>
      </c>
      <c r="G1136">
        <v>52.876708064224601</v>
      </c>
      <c r="H1136" t="s">
        <v>22</v>
      </c>
      <c r="J1136" t="s">
        <v>16</v>
      </c>
      <c r="K1136">
        <v>577007.90534456098</v>
      </c>
      <c r="L1136" t="s">
        <v>17</v>
      </c>
      <c r="M1136">
        <v>0</v>
      </c>
      <c r="N1136">
        <v>0.191341926255922</v>
      </c>
    </row>
    <row r="1137" spans="2:14" x14ac:dyDescent="0.25">
      <c r="B1137" t="s">
        <v>14</v>
      </c>
      <c r="C1137" s="1">
        <v>46231.999988425923</v>
      </c>
      <c r="D1137">
        <v>25.1575080974489</v>
      </c>
      <c r="E1137">
        <v>110405.804073523</v>
      </c>
      <c r="F1137" s="1">
        <v>46231.09915509259</v>
      </c>
      <c r="G1137">
        <v>52.876708064224601</v>
      </c>
      <c r="H1137" t="s">
        <v>22</v>
      </c>
      <c r="J1137" t="s">
        <v>16</v>
      </c>
      <c r="K1137">
        <v>577007.90534456098</v>
      </c>
      <c r="L1137" t="s">
        <v>17</v>
      </c>
      <c r="M1137">
        <v>0</v>
      </c>
      <c r="N1137">
        <v>0.191341926255922</v>
      </c>
    </row>
    <row r="1138" spans="2:14" x14ac:dyDescent="0.25">
      <c r="B1138" t="s">
        <v>14</v>
      </c>
      <c r="C1138" s="1">
        <v>46230.999988425923</v>
      </c>
      <c r="D1138">
        <v>25.1575080974489</v>
      </c>
      <c r="E1138">
        <v>577007.90534456098</v>
      </c>
      <c r="F1138" s="1">
        <v>46228.605520833335</v>
      </c>
      <c r="G1138">
        <v>52.876708064224601</v>
      </c>
      <c r="H1138" t="s">
        <v>22</v>
      </c>
      <c r="J1138" t="s">
        <v>16</v>
      </c>
      <c r="K1138">
        <v>577007.90534456098</v>
      </c>
      <c r="L1138" t="s">
        <v>17</v>
      </c>
      <c r="M1138">
        <v>466602.10127103701</v>
      </c>
      <c r="N1138">
        <v>1</v>
      </c>
    </row>
    <row r="1139" spans="2:14" x14ac:dyDescent="0.25">
      <c r="B1139" t="s">
        <v>14</v>
      </c>
      <c r="C1139" s="1">
        <v>46229.999988425923</v>
      </c>
      <c r="D1139">
        <v>25.1575080974489</v>
      </c>
      <c r="E1139">
        <v>577007.90534456098</v>
      </c>
      <c r="F1139" s="1">
        <v>46228.605520833335</v>
      </c>
      <c r="G1139">
        <v>52.876708064224601</v>
      </c>
      <c r="H1139" t="s">
        <v>22</v>
      </c>
      <c r="J1139" t="s">
        <v>16</v>
      </c>
      <c r="K1139">
        <v>577007.90534456098</v>
      </c>
      <c r="L1139" t="s">
        <v>17</v>
      </c>
      <c r="M1139">
        <v>0</v>
      </c>
      <c r="N1139">
        <v>1</v>
      </c>
    </row>
    <row r="1140" spans="2:14" x14ac:dyDescent="0.25">
      <c r="B1140" t="s">
        <v>14</v>
      </c>
      <c r="C1140" s="1">
        <v>46228.999988425923</v>
      </c>
      <c r="D1140">
        <v>25.1575080974489</v>
      </c>
      <c r="E1140">
        <v>577007.90534456098</v>
      </c>
      <c r="F1140" s="1">
        <v>46228.605520833335</v>
      </c>
      <c r="G1140">
        <v>52.876708064224601</v>
      </c>
      <c r="H1140" t="s">
        <v>22</v>
      </c>
      <c r="J1140" t="s">
        <v>16</v>
      </c>
      <c r="K1140">
        <v>577007.90534456098</v>
      </c>
      <c r="L1140" t="s">
        <v>17</v>
      </c>
      <c r="M1140">
        <v>0</v>
      </c>
      <c r="N1140">
        <v>1</v>
      </c>
    </row>
    <row r="1141" spans="2:14" x14ac:dyDescent="0.25">
      <c r="B1141" t="s">
        <v>14</v>
      </c>
      <c r="C1141" s="1">
        <v>46227.999988425923</v>
      </c>
      <c r="D1141">
        <v>25.1575080974489</v>
      </c>
      <c r="E1141">
        <v>115115.474660261</v>
      </c>
      <c r="F1141" s="1">
        <v>46225.099317129629</v>
      </c>
      <c r="G1141">
        <v>52.876708064224601</v>
      </c>
      <c r="H1141" t="s">
        <v>22</v>
      </c>
      <c r="J1141" t="s">
        <v>16</v>
      </c>
      <c r="K1141">
        <v>577007.90534456098</v>
      </c>
      <c r="L1141" t="s">
        <v>17</v>
      </c>
      <c r="M1141">
        <v>-461892.43068429898</v>
      </c>
      <c r="N1141">
        <v>0.199504155132017</v>
      </c>
    </row>
    <row r="1142" spans="2:14" x14ac:dyDescent="0.25">
      <c r="B1142" t="s">
        <v>14</v>
      </c>
      <c r="C1142" s="1">
        <v>46226.999988425923</v>
      </c>
      <c r="D1142">
        <v>25.1575080974489</v>
      </c>
      <c r="E1142">
        <v>115115.474660261</v>
      </c>
      <c r="F1142" s="1">
        <v>46225.099317129629</v>
      </c>
      <c r="G1142">
        <v>52.876708064224601</v>
      </c>
      <c r="H1142" t="s">
        <v>22</v>
      </c>
      <c r="J1142" t="s">
        <v>16</v>
      </c>
      <c r="K1142">
        <v>577007.90534456098</v>
      </c>
      <c r="L1142" t="s">
        <v>17</v>
      </c>
      <c r="M1142">
        <v>0</v>
      </c>
      <c r="N1142">
        <v>0.199504155132017</v>
      </c>
    </row>
    <row r="1143" spans="2:14" x14ac:dyDescent="0.25">
      <c r="B1143" t="s">
        <v>14</v>
      </c>
      <c r="C1143" s="1">
        <v>46225.999988425923</v>
      </c>
      <c r="D1143">
        <v>25.1575080974489</v>
      </c>
      <c r="E1143">
        <v>115115.474660261</v>
      </c>
      <c r="F1143" s="1">
        <v>46225.099317129629</v>
      </c>
      <c r="G1143">
        <v>52.876708064224601</v>
      </c>
      <c r="H1143" t="s">
        <v>22</v>
      </c>
      <c r="J1143" t="s">
        <v>16</v>
      </c>
      <c r="K1143">
        <v>577007.90534456098</v>
      </c>
      <c r="L1143" t="s">
        <v>17</v>
      </c>
      <c r="M1143">
        <v>0</v>
      </c>
      <c r="N1143">
        <v>0.199504155132017</v>
      </c>
    </row>
    <row r="1144" spans="2:14" x14ac:dyDescent="0.25">
      <c r="B1144" t="s">
        <v>14</v>
      </c>
      <c r="C1144" s="1">
        <v>46224.999988425923</v>
      </c>
      <c r="D1144">
        <v>25.1575080974489</v>
      </c>
      <c r="E1144">
        <v>577007.90534456098</v>
      </c>
      <c r="F1144" s="1">
        <v>46222.605810185189</v>
      </c>
      <c r="G1144">
        <v>52.876708064224601</v>
      </c>
      <c r="H1144" t="s">
        <v>22</v>
      </c>
      <c r="J1144" t="s">
        <v>16</v>
      </c>
      <c r="K1144">
        <v>577007.90534456098</v>
      </c>
      <c r="L1144" t="s">
        <v>17</v>
      </c>
      <c r="M1144">
        <v>461892.43068429898</v>
      </c>
      <c r="N1144">
        <v>1</v>
      </c>
    </row>
    <row r="1145" spans="2:14" x14ac:dyDescent="0.25">
      <c r="B1145" t="s">
        <v>14</v>
      </c>
      <c r="C1145" s="1">
        <v>46223.999988425923</v>
      </c>
      <c r="D1145">
        <v>25.1575080974489</v>
      </c>
      <c r="E1145">
        <v>577007.90534456098</v>
      </c>
      <c r="F1145" s="1">
        <v>46222.605810185189</v>
      </c>
      <c r="G1145">
        <v>52.876708064224601</v>
      </c>
      <c r="H1145" t="s">
        <v>22</v>
      </c>
      <c r="J1145" t="s">
        <v>16</v>
      </c>
      <c r="K1145">
        <v>577007.90534456098</v>
      </c>
      <c r="L1145" t="s">
        <v>17</v>
      </c>
      <c r="M1145">
        <v>0</v>
      </c>
      <c r="N1145">
        <v>1</v>
      </c>
    </row>
    <row r="1146" spans="2:14" x14ac:dyDescent="0.25">
      <c r="B1146" t="s">
        <v>14</v>
      </c>
      <c r="C1146" s="1">
        <v>46222.999988425923</v>
      </c>
      <c r="D1146">
        <v>25.1575080974489</v>
      </c>
      <c r="E1146">
        <v>577007.90534456098</v>
      </c>
      <c r="F1146" s="1">
        <v>46222.605810185189</v>
      </c>
      <c r="G1146">
        <v>52.876708064224601</v>
      </c>
      <c r="H1146" t="s">
        <v>22</v>
      </c>
      <c r="J1146" t="s">
        <v>16</v>
      </c>
      <c r="K1146">
        <v>577007.90534456098</v>
      </c>
      <c r="L1146" t="s">
        <v>17</v>
      </c>
      <c r="M1146">
        <v>0</v>
      </c>
      <c r="N1146">
        <v>1</v>
      </c>
    </row>
    <row r="1147" spans="2:14" x14ac:dyDescent="0.25">
      <c r="B1147" t="s">
        <v>14</v>
      </c>
      <c r="C1147" s="1">
        <v>46221.999988425923</v>
      </c>
      <c r="D1147">
        <v>25.1575080974489</v>
      </c>
      <c r="E1147">
        <v>110619.900018876</v>
      </c>
      <c r="F1147" s="1">
        <v>46219.099143518521</v>
      </c>
      <c r="G1147">
        <v>52.876708064224601</v>
      </c>
      <c r="H1147" t="s">
        <v>22</v>
      </c>
      <c r="J1147" t="s">
        <v>16</v>
      </c>
      <c r="K1147">
        <v>577007.90534456098</v>
      </c>
      <c r="L1147" t="s">
        <v>17</v>
      </c>
      <c r="M1147">
        <v>-466388.00532568397</v>
      </c>
      <c r="N1147">
        <v>0.19171297133757501</v>
      </c>
    </row>
    <row r="1148" spans="2:14" x14ac:dyDescent="0.25">
      <c r="B1148" t="s">
        <v>14</v>
      </c>
      <c r="C1148" s="1">
        <v>46220.999988425923</v>
      </c>
      <c r="D1148">
        <v>25.1575080974489</v>
      </c>
      <c r="E1148">
        <v>110619.900018876</v>
      </c>
      <c r="F1148" s="1">
        <v>46219.099143518521</v>
      </c>
      <c r="G1148">
        <v>52.876708064224601</v>
      </c>
      <c r="H1148" t="s">
        <v>22</v>
      </c>
      <c r="J1148" t="s">
        <v>16</v>
      </c>
      <c r="K1148">
        <v>577007.90534456098</v>
      </c>
      <c r="L1148" t="s">
        <v>17</v>
      </c>
      <c r="M1148">
        <v>0</v>
      </c>
      <c r="N1148">
        <v>0.19171297133757501</v>
      </c>
    </row>
    <row r="1149" spans="2:14" x14ac:dyDescent="0.25">
      <c r="B1149" t="s">
        <v>14</v>
      </c>
      <c r="C1149" s="1">
        <v>46219.999988425923</v>
      </c>
      <c r="D1149">
        <v>25.1575080974489</v>
      </c>
      <c r="E1149">
        <v>110619.900018876</v>
      </c>
      <c r="F1149" s="1">
        <v>46219.099143518521</v>
      </c>
      <c r="G1149">
        <v>52.876708064224601</v>
      </c>
      <c r="H1149" t="s">
        <v>22</v>
      </c>
      <c r="J1149" t="s">
        <v>16</v>
      </c>
      <c r="K1149">
        <v>577007.90534456098</v>
      </c>
      <c r="L1149" t="s">
        <v>17</v>
      </c>
      <c r="M1149">
        <v>0</v>
      </c>
      <c r="N1149">
        <v>0.19171297133757501</v>
      </c>
    </row>
    <row r="1150" spans="2:14" x14ac:dyDescent="0.25">
      <c r="B1150" t="s">
        <v>14</v>
      </c>
      <c r="C1150" s="1">
        <v>46218.999988425923</v>
      </c>
      <c r="D1150">
        <v>25.1575080974489</v>
      </c>
      <c r="E1150">
        <v>128548.325438912</v>
      </c>
      <c r="F1150" s="1">
        <v>46216.605509259258</v>
      </c>
      <c r="G1150">
        <v>52.876708064224601</v>
      </c>
      <c r="H1150" t="s">
        <v>22</v>
      </c>
      <c r="J1150" t="s">
        <v>16</v>
      </c>
      <c r="K1150">
        <v>577007.90534456098</v>
      </c>
      <c r="L1150" t="s">
        <v>17</v>
      </c>
      <c r="M1150">
        <v>17928.425420036401</v>
      </c>
      <c r="N1150">
        <v>0.22278434012468101</v>
      </c>
    </row>
    <row r="1151" spans="2:14" x14ac:dyDescent="0.25">
      <c r="B1151" t="s">
        <v>14</v>
      </c>
      <c r="C1151" s="1">
        <v>46217.999988425923</v>
      </c>
      <c r="D1151">
        <v>25.1575080974489</v>
      </c>
      <c r="E1151">
        <v>128548.325438912</v>
      </c>
      <c r="F1151" s="1">
        <v>46216.605509259258</v>
      </c>
      <c r="G1151">
        <v>52.876708064224601</v>
      </c>
      <c r="H1151" t="s">
        <v>22</v>
      </c>
      <c r="J1151" t="s">
        <v>16</v>
      </c>
      <c r="K1151">
        <v>577007.90534456098</v>
      </c>
      <c r="L1151" t="s">
        <v>17</v>
      </c>
      <c r="M1151">
        <v>0</v>
      </c>
      <c r="N1151">
        <v>0.22278434012468101</v>
      </c>
    </row>
    <row r="1152" spans="2:14" x14ac:dyDescent="0.25">
      <c r="B1152" t="s">
        <v>14</v>
      </c>
      <c r="C1152" s="1">
        <v>46216.999988425923</v>
      </c>
      <c r="D1152">
        <v>25.1575080974489</v>
      </c>
      <c r="E1152">
        <v>128548.325438912</v>
      </c>
      <c r="F1152" s="1">
        <v>46216.605509259258</v>
      </c>
      <c r="G1152">
        <v>52.876708064224601</v>
      </c>
      <c r="H1152" t="s">
        <v>22</v>
      </c>
      <c r="J1152" t="s">
        <v>16</v>
      </c>
      <c r="K1152">
        <v>577007.90534456098</v>
      </c>
      <c r="L1152" t="s">
        <v>17</v>
      </c>
      <c r="M1152">
        <v>0</v>
      </c>
      <c r="N1152">
        <v>0.22278434012468101</v>
      </c>
    </row>
    <row r="1153" spans="2:14" x14ac:dyDescent="0.25">
      <c r="B1153" t="s">
        <v>14</v>
      </c>
      <c r="C1153" s="1">
        <v>46215.999988425923</v>
      </c>
      <c r="D1153">
        <v>25.1575080974489</v>
      </c>
      <c r="E1153">
        <v>113337.431729961</v>
      </c>
      <c r="F1153" s="1">
        <v>46213.099305555559</v>
      </c>
      <c r="G1153">
        <v>52.876708064224601</v>
      </c>
      <c r="H1153" t="s">
        <v>22</v>
      </c>
      <c r="J1153" t="s">
        <v>16</v>
      </c>
      <c r="K1153">
        <v>577007.90534456098</v>
      </c>
      <c r="L1153" t="s">
        <v>17</v>
      </c>
      <c r="M1153">
        <v>-15210.8937089518</v>
      </c>
      <c r="N1153">
        <v>0.19642266714228299</v>
      </c>
    </row>
    <row r="1154" spans="2:14" x14ac:dyDescent="0.25">
      <c r="B1154" t="s">
        <v>14</v>
      </c>
      <c r="C1154" s="1">
        <v>46214.999988425923</v>
      </c>
      <c r="D1154">
        <v>25.1575080974489</v>
      </c>
      <c r="E1154">
        <v>113337.431729961</v>
      </c>
      <c r="F1154" s="1">
        <v>46213.099305555559</v>
      </c>
      <c r="G1154">
        <v>52.876708064224601</v>
      </c>
      <c r="H1154" t="s">
        <v>22</v>
      </c>
      <c r="J1154" t="s">
        <v>16</v>
      </c>
      <c r="K1154">
        <v>577007.90534456098</v>
      </c>
      <c r="L1154" t="s">
        <v>17</v>
      </c>
      <c r="M1154">
        <v>0</v>
      </c>
      <c r="N1154">
        <v>0.19642266714228299</v>
      </c>
    </row>
    <row r="1155" spans="2:14" x14ac:dyDescent="0.25">
      <c r="B1155" t="s">
        <v>14</v>
      </c>
      <c r="C1155" s="1">
        <v>46213.999988425923</v>
      </c>
      <c r="D1155">
        <v>25.1575080974489</v>
      </c>
      <c r="E1155">
        <v>113337.431729961</v>
      </c>
      <c r="F1155" s="1">
        <v>46213.099305555559</v>
      </c>
      <c r="G1155">
        <v>52.876708064224601</v>
      </c>
      <c r="H1155" t="s">
        <v>22</v>
      </c>
      <c r="J1155" t="s">
        <v>16</v>
      </c>
      <c r="K1155">
        <v>577007.90534456098</v>
      </c>
      <c r="L1155" t="s">
        <v>17</v>
      </c>
      <c r="M1155">
        <v>0</v>
      </c>
      <c r="N1155">
        <v>0.19642266714228299</v>
      </c>
    </row>
    <row r="1156" spans="2:14" x14ac:dyDescent="0.25">
      <c r="B1156" t="s">
        <v>14</v>
      </c>
      <c r="C1156" s="1">
        <v>46212.999988425923</v>
      </c>
      <c r="D1156">
        <v>25.1575080974489</v>
      </c>
      <c r="E1156">
        <v>124956.691018112</v>
      </c>
      <c r="F1156" s="1">
        <v>46210.605798611112</v>
      </c>
      <c r="G1156">
        <v>52.876708064224601</v>
      </c>
      <c r="H1156" t="s">
        <v>22</v>
      </c>
      <c r="J1156" t="s">
        <v>16</v>
      </c>
      <c r="K1156">
        <v>577007.90534456098</v>
      </c>
      <c r="L1156" t="s">
        <v>17</v>
      </c>
      <c r="M1156">
        <v>11619.259288151099</v>
      </c>
      <c r="N1156">
        <v>0.21655975569952299</v>
      </c>
    </row>
    <row r="1157" spans="2:14" x14ac:dyDescent="0.25">
      <c r="B1157" t="s">
        <v>14</v>
      </c>
      <c r="C1157" s="1">
        <v>46211.999988425923</v>
      </c>
      <c r="D1157">
        <v>25.1575080974489</v>
      </c>
      <c r="E1157">
        <v>124956.691018112</v>
      </c>
      <c r="F1157" s="1">
        <v>46210.605798611112</v>
      </c>
      <c r="G1157">
        <v>52.876708064224601</v>
      </c>
      <c r="H1157" t="s">
        <v>22</v>
      </c>
      <c r="J1157" t="s">
        <v>16</v>
      </c>
      <c r="K1157">
        <v>577007.90534456098</v>
      </c>
      <c r="L1157" t="s">
        <v>17</v>
      </c>
      <c r="M1157">
        <v>0</v>
      </c>
      <c r="N1157">
        <v>0.21655975569952299</v>
      </c>
    </row>
    <row r="1158" spans="2:14" x14ac:dyDescent="0.25">
      <c r="B1158" t="s">
        <v>14</v>
      </c>
      <c r="C1158" s="1">
        <v>46210.999988425923</v>
      </c>
      <c r="D1158">
        <v>25.1575080974489</v>
      </c>
      <c r="E1158">
        <v>124956.691018112</v>
      </c>
      <c r="F1158" s="1">
        <v>46210.605798611112</v>
      </c>
      <c r="G1158">
        <v>52.876708064224601</v>
      </c>
      <c r="H1158" t="s">
        <v>22</v>
      </c>
      <c r="J1158" t="s">
        <v>16</v>
      </c>
      <c r="K1158">
        <v>577007.90534456098</v>
      </c>
      <c r="L1158" t="s">
        <v>17</v>
      </c>
      <c r="M1158">
        <v>0</v>
      </c>
      <c r="N1158">
        <v>0.21655975569952299</v>
      </c>
    </row>
    <row r="1159" spans="2:14" x14ac:dyDescent="0.25">
      <c r="B1159" t="s">
        <v>14</v>
      </c>
      <c r="C1159" s="1">
        <v>46209.999988425923</v>
      </c>
      <c r="D1159">
        <v>25.1575080974489</v>
      </c>
      <c r="E1159">
        <v>109796.67146087201</v>
      </c>
      <c r="F1159" s="1">
        <v>46207.099131944444</v>
      </c>
      <c r="G1159">
        <v>52.876708064224601</v>
      </c>
      <c r="H1159" t="s">
        <v>22</v>
      </c>
      <c r="J1159" t="s">
        <v>16</v>
      </c>
      <c r="K1159">
        <v>577007.90534456098</v>
      </c>
      <c r="L1159" t="s">
        <v>17</v>
      </c>
      <c r="M1159">
        <v>-15160.019557239901</v>
      </c>
      <c r="N1159">
        <v>0.190286251616096</v>
      </c>
    </row>
    <row r="1160" spans="2:14" x14ac:dyDescent="0.25">
      <c r="B1160" t="s">
        <v>14</v>
      </c>
      <c r="C1160" s="1">
        <v>46208.999988425923</v>
      </c>
      <c r="D1160">
        <v>25.1575080974489</v>
      </c>
      <c r="E1160">
        <v>109796.67146087201</v>
      </c>
      <c r="F1160" s="1">
        <v>46207.099131944444</v>
      </c>
      <c r="G1160">
        <v>52.876708064224601</v>
      </c>
      <c r="H1160" t="s">
        <v>22</v>
      </c>
      <c r="J1160" t="s">
        <v>16</v>
      </c>
      <c r="K1160">
        <v>577007.90534456098</v>
      </c>
      <c r="L1160" t="s">
        <v>17</v>
      </c>
      <c r="M1160">
        <v>0</v>
      </c>
      <c r="N1160">
        <v>0.190286251616096</v>
      </c>
    </row>
    <row r="1161" spans="2:14" x14ac:dyDescent="0.25">
      <c r="B1161" t="s">
        <v>14</v>
      </c>
      <c r="C1161" s="1">
        <v>46207.999988425923</v>
      </c>
      <c r="D1161">
        <v>25.1575080974489</v>
      </c>
      <c r="E1161">
        <v>109796.67146087201</v>
      </c>
      <c r="F1161" s="1">
        <v>46207.099131944444</v>
      </c>
      <c r="G1161">
        <v>52.876708064224601</v>
      </c>
      <c r="H1161" t="s">
        <v>22</v>
      </c>
      <c r="J1161" t="s">
        <v>16</v>
      </c>
      <c r="K1161">
        <v>577007.90534456098</v>
      </c>
      <c r="L1161" t="s">
        <v>17</v>
      </c>
      <c r="M1161">
        <v>0</v>
      </c>
      <c r="N1161">
        <v>0.190286251616096</v>
      </c>
    </row>
    <row r="1162" spans="2:14" x14ac:dyDescent="0.25">
      <c r="B1162" t="s">
        <v>14</v>
      </c>
      <c r="C1162" s="1">
        <v>46206.999988425923</v>
      </c>
      <c r="D1162">
        <v>25.1575080974489</v>
      </c>
      <c r="E1162">
        <v>122647.74767229499</v>
      </c>
      <c r="F1162" s="1">
        <v>46204.605509259258</v>
      </c>
      <c r="G1162">
        <v>52.876708064224601</v>
      </c>
      <c r="H1162" t="s">
        <v>22</v>
      </c>
      <c r="J1162" t="s">
        <v>16</v>
      </c>
      <c r="K1162">
        <v>577007.90534456098</v>
      </c>
      <c r="L1162" t="s">
        <v>17</v>
      </c>
      <c r="M1162">
        <v>12851.0762114234</v>
      </c>
      <c r="N1162">
        <v>0.212558175609494</v>
      </c>
    </row>
    <row r="1163" spans="2:14" x14ac:dyDescent="0.25">
      <c r="B1163" t="s">
        <v>14</v>
      </c>
      <c r="C1163" s="1">
        <v>46205.999988425923</v>
      </c>
      <c r="D1163">
        <v>25.1575080974489</v>
      </c>
      <c r="E1163">
        <v>122647.74767229499</v>
      </c>
      <c r="F1163" s="1">
        <v>46204.605509259258</v>
      </c>
      <c r="G1163">
        <v>52.876708064224601</v>
      </c>
      <c r="H1163" t="s">
        <v>22</v>
      </c>
      <c r="J1163" t="s">
        <v>16</v>
      </c>
      <c r="K1163">
        <v>577007.90534456098</v>
      </c>
      <c r="L1163" t="s">
        <v>17</v>
      </c>
      <c r="M1163">
        <v>0</v>
      </c>
      <c r="N1163">
        <v>0.212558175609494</v>
      </c>
    </row>
    <row r="1164" spans="2:14" x14ac:dyDescent="0.25">
      <c r="B1164" t="s">
        <v>14</v>
      </c>
      <c r="C1164" s="1">
        <v>46204.999988425923</v>
      </c>
      <c r="D1164">
        <v>25.1575080974489</v>
      </c>
      <c r="E1164">
        <v>122647.74767229499</v>
      </c>
      <c r="F1164" s="1">
        <v>46204.605509259258</v>
      </c>
      <c r="G1164">
        <v>52.876708064224601</v>
      </c>
      <c r="H1164" t="s">
        <v>22</v>
      </c>
      <c r="J1164" t="s">
        <v>16</v>
      </c>
      <c r="K1164">
        <v>577007.90534456098</v>
      </c>
      <c r="L1164" t="s">
        <v>17</v>
      </c>
      <c r="M1164">
        <v>0</v>
      </c>
      <c r="N1164">
        <v>0.212558175609494</v>
      </c>
    </row>
    <row r="1165" spans="2:14" x14ac:dyDescent="0.25">
      <c r="B1165" t="s">
        <v>14</v>
      </c>
      <c r="C1165" s="1">
        <v>46203.999988425923</v>
      </c>
      <c r="D1165">
        <v>25.1575080974489</v>
      </c>
      <c r="E1165">
        <v>106433.01653143</v>
      </c>
      <c r="F1165" s="1">
        <v>46201.099305555559</v>
      </c>
      <c r="G1165">
        <v>52.876708064224601</v>
      </c>
      <c r="H1165" t="s">
        <v>22</v>
      </c>
      <c r="J1165" t="s">
        <v>16</v>
      </c>
      <c r="K1165">
        <v>577007.90534456098</v>
      </c>
      <c r="L1165" t="s">
        <v>17</v>
      </c>
      <c r="M1165">
        <v>-16214.7311408646</v>
      </c>
      <c r="N1165">
        <v>0.18445677354779699</v>
      </c>
    </row>
    <row r="1166" spans="2:14" x14ac:dyDescent="0.25">
      <c r="B1166" t="s">
        <v>14</v>
      </c>
      <c r="C1166" s="1">
        <v>46202.999988425923</v>
      </c>
      <c r="D1166">
        <v>25.1575080974489</v>
      </c>
      <c r="E1166">
        <v>106433.01653143</v>
      </c>
      <c r="F1166" s="1">
        <v>46201.099305555559</v>
      </c>
      <c r="G1166">
        <v>52.876708064224601</v>
      </c>
      <c r="H1166" t="s">
        <v>22</v>
      </c>
      <c r="J1166" t="s">
        <v>16</v>
      </c>
      <c r="K1166">
        <v>577007.90534456098</v>
      </c>
      <c r="L1166" t="s">
        <v>17</v>
      </c>
      <c r="M1166">
        <v>0</v>
      </c>
      <c r="N1166">
        <v>0.18445677354779699</v>
      </c>
    </row>
    <row r="1167" spans="2:14" x14ac:dyDescent="0.25">
      <c r="B1167" t="s">
        <v>14</v>
      </c>
      <c r="C1167" s="1">
        <v>46201.999988425923</v>
      </c>
      <c r="D1167">
        <v>25.1575080974489</v>
      </c>
      <c r="E1167">
        <v>106433.01653143</v>
      </c>
      <c r="F1167" s="1">
        <v>46201.099305555559</v>
      </c>
      <c r="G1167">
        <v>52.876708064224601</v>
      </c>
      <c r="H1167" t="s">
        <v>22</v>
      </c>
      <c r="J1167" t="s">
        <v>16</v>
      </c>
      <c r="K1167">
        <v>577007.90534456098</v>
      </c>
      <c r="L1167" t="s">
        <v>17</v>
      </c>
      <c r="M1167">
        <v>0</v>
      </c>
      <c r="N1167">
        <v>0.18445677354779699</v>
      </c>
    </row>
    <row r="1168" spans="2:14" x14ac:dyDescent="0.25">
      <c r="B1168" t="s">
        <v>14</v>
      </c>
      <c r="C1168" s="1">
        <v>46200.999988425923</v>
      </c>
      <c r="D1168">
        <v>25.1575080974489</v>
      </c>
      <c r="E1168">
        <v>126040.970858356</v>
      </c>
      <c r="F1168" s="1">
        <v>46198.605787037035</v>
      </c>
      <c r="G1168">
        <v>52.876708064224601</v>
      </c>
      <c r="H1168" t="s">
        <v>22</v>
      </c>
      <c r="J1168" t="s">
        <v>16</v>
      </c>
      <c r="K1168">
        <v>577007.90534456098</v>
      </c>
      <c r="L1168" t="s">
        <v>17</v>
      </c>
      <c r="M1168">
        <v>19607.954326925599</v>
      </c>
      <c r="N1168">
        <v>0.21843889778787501</v>
      </c>
    </row>
    <row r="1169" spans="2:14" x14ac:dyDescent="0.25">
      <c r="B1169" t="s">
        <v>14</v>
      </c>
      <c r="C1169" s="1">
        <v>46199.999988425923</v>
      </c>
      <c r="D1169">
        <v>25.1575080974489</v>
      </c>
      <c r="E1169">
        <v>126040.970858356</v>
      </c>
      <c r="F1169" s="1">
        <v>46198.605787037035</v>
      </c>
      <c r="G1169">
        <v>52.876708064224601</v>
      </c>
      <c r="H1169" t="s">
        <v>22</v>
      </c>
      <c r="J1169" t="s">
        <v>16</v>
      </c>
      <c r="K1169">
        <v>577007.90534456098</v>
      </c>
      <c r="L1169" t="s">
        <v>17</v>
      </c>
      <c r="M1169">
        <v>0</v>
      </c>
      <c r="N1169">
        <v>0.21843889778787501</v>
      </c>
    </row>
    <row r="1170" spans="2:14" x14ac:dyDescent="0.25">
      <c r="B1170" t="s">
        <v>14</v>
      </c>
      <c r="C1170" s="1">
        <v>46198.999988425923</v>
      </c>
      <c r="D1170">
        <v>25.1575080974489</v>
      </c>
      <c r="E1170">
        <v>126040.970858356</v>
      </c>
      <c r="F1170" s="1">
        <v>46198.605787037035</v>
      </c>
      <c r="G1170">
        <v>52.876708064224601</v>
      </c>
      <c r="H1170" t="s">
        <v>22</v>
      </c>
      <c r="J1170" t="s">
        <v>16</v>
      </c>
      <c r="K1170">
        <v>577007.90534456098</v>
      </c>
      <c r="L1170" t="s">
        <v>17</v>
      </c>
      <c r="M1170">
        <v>0</v>
      </c>
      <c r="N1170">
        <v>0.21843889778787501</v>
      </c>
    </row>
    <row r="1171" spans="2:14" x14ac:dyDescent="0.25">
      <c r="B1171" t="s">
        <v>14</v>
      </c>
      <c r="C1171" s="1">
        <v>46197.999988425923</v>
      </c>
      <c r="D1171">
        <v>25.1575080974489</v>
      </c>
      <c r="E1171">
        <v>105322.119322877</v>
      </c>
      <c r="F1171" s="1">
        <v>46194.099780092591</v>
      </c>
      <c r="G1171">
        <v>52.876708064224601</v>
      </c>
      <c r="H1171" t="s">
        <v>22</v>
      </c>
      <c r="J1171" t="s">
        <v>16</v>
      </c>
      <c r="K1171">
        <v>577007.90534456098</v>
      </c>
      <c r="L1171" t="s">
        <v>17</v>
      </c>
      <c r="M1171">
        <v>-20718.851535479102</v>
      </c>
      <c r="N1171">
        <v>0.182531501470476</v>
      </c>
    </row>
    <row r="1172" spans="2:14" x14ac:dyDescent="0.25">
      <c r="B1172" t="s">
        <v>14</v>
      </c>
      <c r="C1172" s="1">
        <v>46196.999988425923</v>
      </c>
      <c r="D1172">
        <v>25.1575080974489</v>
      </c>
      <c r="E1172">
        <v>105322.119322877</v>
      </c>
      <c r="F1172" s="1">
        <v>46194.099780092591</v>
      </c>
      <c r="G1172">
        <v>52.876708064224601</v>
      </c>
      <c r="H1172" t="s">
        <v>22</v>
      </c>
      <c r="J1172" t="s">
        <v>16</v>
      </c>
      <c r="K1172">
        <v>577007.90534456098</v>
      </c>
      <c r="L1172" t="s">
        <v>17</v>
      </c>
      <c r="M1172">
        <v>0</v>
      </c>
      <c r="N1172">
        <v>0.182531501470476</v>
      </c>
    </row>
    <row r="1173" spans="2:14" x14ac:dyDescent="0.25">
      <c r="B1173" t="s">
        <v>14</v>
      </c>
      <c r="C1173" s="1">
        <v>46195.999988425923</v>
      </c>
      <c r="D1173">
        <v>25.1575080974489</v>
      </c>
      <c r="E1173">
        <v>105322.119322877</v>
      </c>
      <c r="F1173" s="1">
        <v>46194.099780092591</v>
      </c>
      <c r="G1173">
        <v>52.876708064224601</v>
      </c>
      <c r="H1173" t="s">
        <v>22</v>
      </c>
      <c r="J1173" t="s">
        <v>16</v>
      </c>
      <c r="K1173">
        <v>577007.90534456098</v>
      </c>
      <c r="L1173" t="s">
        <v>17</v>
      </c>
      <c r="M1173">
        <v>0</v>
      </c>
      <c r="N1173">
        <v>0.182531501470476</v>
      </c>
    </row>
    <row r="1174" spans="2:14" x14ac:dyDescent="0.25">
      <c r="B1174" t="s">
        <v>14</v>
      </c>
      <c r="C1174" s="1">
        <v>46194.999988425923</v>
      </c>
      <c r="D1174">
        <v>25.1575080974489</v>
      </c>
      <c r="E1174">
        <v>105322.119322877</v>
      </c>
      <c r="F1174" s="1">
        <v>46194.099780092591</v>
      </c>
      <c r="G1174">
        <v>52.876708064224601</v>
      </c>
      <c r="H1174" t="s">
        <v>22</v>
      </c>
      <c r="J1174" t="s">
        <v>16</v>
      </c>
      <c r="K1174">
        <v>577007.90534456098</v>
      </c>
      <c r="L1174" t="s">
        <v>17</v>
      </c>
      <c r="M1174">
        <v>0</v>
      </c>
      <c r="N1174">
        <v>0.182531501470476</v>
      </c>
    </row>
    <row r="1175" spans="2:14" x14ac:dyDescent="0.25">
      <c r="B1175" t="s">
        <v>14</v>
      </c>
      <c r="C1175" s="1">
        <v>46193.999988425923</v>
      </c>
      <c r="D1175">
        <v>25.1575080974489</v>
      </c>
      <c r="E1175">
        <v>128278.72521212</v>
      </c>
      <c r="F1175" s="1">
        <v>46191.606261574074</v>
      </c>
      <c r="G1175">
        <v>52.876708064224601</v>
      </c>
      <c r="H1175" t="s">
        <v>22</v>
      </c>
      <c r="J1175" t="s">
        <v>16</v>
      </c>
      <c r="K1175">
        <v>577007.90534456098</v>
      </c>
      <c r="L1175" t="s">
        <v>17</v>
      </c>
      <c r="M1175">
        <v>22956.605889242899</v>
      </c>
      <c r="N1175">
        <v>0.22231710176573399</v>
      </c>
    </row>
    <row r="1176" spans="2:14" x14ac:dyDescent="0.25">
      <c r="B1176" t="s">
        <v>14</v>
      </c>
      <c r="C1176" s="1">
        <v>46192.999988425923</v>
      </c>
      <c r="D1176">
        <v>25.1575080974489</v>
      </c>
      <c r="E1176">
        <v>128278.72521212</v>
      </c>
      <c r="F1176" s="1">
        <v>46191.606261574074</v>
      </c>
      <c r="G1176">
        <v>52.876708064224601</v>
      </c>
      <c r="H1176" t="s">
        <v>22</v>
      </c>
      <c r="J1176" t="s">
        <v>16</v>
      </c>
      <c r="K1176">
        <v>577007.90534456098</v>
      </c>
      <c r="L1176" t="s">
        <v>17</v>
      </c>
      <c r="M1176">
        <v>0</v>
      </c>
      <c r="N1176">
        <v>0.22231710176573399</v>
      </c>
    </row>
    <row r="1177" spans="2:14" x14ac:dyDescent="0.25">
      <c r="B1177" t="s">
        <v>14</v>
      </c>
      <c r="C1177" s="1">
        <v>46191.999988425923</v>
      </c>
      <c r="D1177">
        <v>25.1575080974489</v>
      </c>
      <c r="E1177">
        <v>128278.72521212</v>
      </c>
      <c r="F1177" s="1">
        <v>46191.606261574074</v>
      </c>
      <c r="G1177">
        <v>52.876708064224601</v>
      </c>
      <c r="H1177" t="s">
        <v>22</v>
      </c>
      <c r="J1177" t="s">
        <v>16</v>
      </c>
      <c r="K1177">
        <v>577007.90534456098</v>
      </c>
      <c r="L1177" t="s">
        <v>17</v>
      </c>
      <c r="M1177">
        <v>0</v>
      </c>
      <c r="N1177">
        <v>0.22231710176573399</v>
      </c>
    </row>
    <row r="1178" spans="2:14" x14ac:dyDescent="0.25">
      <c r="B1178" t="s">
        <v>14</v>
      </c>
      <c r="C1178" s="1">
        <v>46190.999988425923</v>
      </c>
      <c r="D1178">
        <v>25.1575080974489</v>
      </c>
      <c r="E1178">
        <v>112712.60989712</v>
      </c>
      <c r="F1178" s="1">
        <v>46189.099270833336</v>
      </c>
      <c r="G1178">
        <v>52.876708064224601</v>
      </c>
      <c r="H1178" t="s">
        <v>22</v>
      </c>
      <c r="J1178" t="s">
        <v>16</v>
      </c>
      <c r="K1178">
        <v>577007.90534456098</v>
      </c>
      <c r="L1178" t="s">
        <v>17</v>
      </c>
      <c r="M1178">
        <v>-15566.115314999401</v>
      </c>
      <c r="N1178">
        <v>0.19533980185213201</v>
      </c>
    </row>
    <row r="1179" spans="2:14" x14ac:dyDescent="0.25">
      <c r="B1179" t="s">
        <v>14</v>
      </c>
      <c r="C1179" s="1">
        <v>46189.999988425923</v>
      </c>
      <c r="D1179">
        <v>25.1575080974489</v>
      </c>
      <c r="E1179">
        <v>112712.60989712</v>
      </c>
      <c r="F1179" s="1">
        <v>46189.099270833336</v>
      </c>
      <c r="G1179">
        <v>52.876708064224601</v>
      </c>
      <c r="H1179" t="s">
        <v>22</v>
      </c>
      <c r="J1179" t="s">
        <v>16</v>
      </c>
      <c r="K1179">
        <v>577007.90534456098</v>
      </c>
      <c r="L1179" t="s">
        <v>17</v>
      </c>
      <c r="M1179">
        <v>0</v>
      </c>
      <c r="N1179">
        <v>0.19533980185213201</v>
      </c>
    </row>
    <row r="1180" spans="2:14" x14ac:dyDescent="0.25">
      <c r="B1180" t="s">
        <v>14</v>
      </c>
      <c r="C1180" s="1">
        <v>46188.999988425923</v>
      </c>
      <c r="D1180">
        <v>25.1575080974489</v>
      </c>
      <c r="E1180">
        <v>115302.56367111301</v>
      </c>
      <c r="F1180" s="1">
        <v>46186.60564814815</v>
      </c>
      <c r="G1180">
        <v>52.876708064224601</v>
      </c>
      <c r="H1180" t="s">
        <v>22</v>
      </c>
      <c r="J1180" t="s">
        <v>16</v>
      </c>
      <c r="K1180">
        <v>577007.90534456098</v>
      </c>
      <c r="L1180" t="s">
        <v>17</v>
      </c>
      <c r="M1180">
        <v>2589.95377399271</v>
      </c>
      <c r="N1180">
        <v>0.199828395075905</v>
      </c>
    </row>
    <row r="1181" spans="2:14" x14ac:dyDescent="0.25">
      <c r="B1181" t="s">
        <v>14</v>
      </c>
      <c r="C1181" s="1">
        <v>46187.999988425923</v>
      </c>
      <c r="D1181">
        <v>25.1575080974489</v>
      </c>
      <c r="E1181">
        <v>115302.56367111301</v>
      </c>
      <c r="F1181" s="1">
        <v>46186.60564814815</v>
      </c>
      <c r="G1181">
        <v>52.876708064224601</v>
      </c>
      <c r="H1181" t="s">
        <v>22</v>
      </c>
      <c r="J1181" t="s">
        <v>16</v>
      </c>
      <c r="K1181">
        <v>577007.90534456098</v>
      </c>
      <c r="L1181" t="s">
        <v>17</v>
      </c>
      <c r="M1181">
        <v>0</v>
      </c>
      <c r="N1181">
        <v>0.199828395075905</v>
      </c>
    </row>
    <row r="1182" spans="2:14" x14ac:dyDescent="0.25">
      <c r="B1182" t="s">
        <v>14</v>
      </c>
      <c r="C1182" s="1">
        <v>46186.999988425923</v>
      </c>
      <c r="D1182">
        <v>25.1575080974489</v>
      </c>
      <c r="E1182">
        <v>115302.56367111301</v>
      </c>
      <c r="F1182" s="1">
        <v>46186.60564814815</v>
      </c>
      <c r="G1182">
        <v>52.876708064224601</v>
      </c>
      <c r="H1182" t="s">
        <v>22</v>
      </c>
      <c r="J1182" t="s">
        <v>16</v>
      </c>
      <c r="K1182">
        <v>577007.90534456098</v>
      </c>
      <c r="L1182" t="s">
        <v>17</v>
      </c>
      <c r="M1182">
        <v>0</v>
      </c>
      <c r="N1182">
        <v>0.199828395075905</v>
      </c>
    </row>
    <row r="1183" spans="2:14" x14ac:dyDescent="0.25">
      <c r="B1183" t="s">
        <v>14</v>
      </c>
      <c r="C1183" s="1">
        <v>46185.999988425923</v>
      </c>
      <c r="D1183">
        <v>25.1575080974489</v>
      </c>
      <c r="E1183">
        <v>110589.881922562</v>
      </c>
      <c r="F1183" s="1">
        <v>46182.099780092591</v>
      </c>
      <c r="G1183">
        <v>52.876708064224601</v>
      </c>
      <c r="H1183" t="s">
        <v>22</v>
      </c>
      <c r="J1183" t="s">
        <v>16</v>
      </c>
      <c r="K1183">
        <v>577007.90534456098</v>
      </c>
      <c r="L1183" t="s">
        <v>17</v>
      </c>
      <c r="M1183">
        <v>-4712.6817485513702</v>
      </c>
      <c r="N1183">
        <v>0.19166094761998601</v>
      </c>
    </row>
    <row r="1184" spans="2:14" x14ac:dyDescent="0.25">
      <c r="B1184" t="s">
        <v>14</v>
      </c>
      <c r="C1184" s="1">
        <v>46184.999988425923</v>
      </c>
      <c r="D1184">
        <v>25.1575080974489</v>
      </c>
      <c r="E1184">
        <v>110589.881922562</v>
      </c>
      <c r="F1184" s="1">
        <v>46182.099780092591</v>
      </c>
      <c r="G1184">
        <v>52.876708064224601</v>
      </c>
      <c r="H1184" t="s">
        <v>22</v>
      </c>
      <c r="J1184" t="s">
        <v>16</v>
      </c>
      <c r="K1184">
        <v>577007.90534456098</v>
      </c>
      <c r="L1184" t="s">
        <v>17</v>
      </c>
      <c r="M1184">
        <v>0</v>
      </c>
      <c r="N1184">
        <v>0.19166094761998601</v>
      </c>
    </row>
    <row r="1185" spans="2:14" x14ac:dyDescent="0.25">
      <c r="B1185" t="s">
        <v>14</v>
      </c>
      <c r="C1185" s="1">
        <v>46183.999988425923</v>
      </c>
      <c r="D1185">
        <v>25.1575080974489</v>
      </c>
      <c r="E1185">
        <v>110589.881922562</v>
      </c>
      <c r="F1185" s="1">
        <v>46182.099780092591</v>
      </c>
      <c r="G1185">
        <v>52.876708064224601</v>
      </c>
      <c r="H1185" t="s">
        <v>22</v>
      </c>
      <c r="J1185" t="s">
        <v>16</v>
      </c>
      <c r="K1185">
        <v>577007.90534456098</v>
      </c>
      <c r="L1185" t="s">
        <v>17</v>
      </c>
      <c r="M1185">
        <v>0</v>
      </c>
      <c r="N1185">
        <v>0.19166094761998601</v>
      </c>
    </row>
    <row r="1186" spans="2:14" x14ac:dyDescent="0.25">
      <c r="B1186" t="s">
        <v>14</v>
      </c>
      <c r="C1186" s="1">
        <v>46182.999988425923</v>
      </c>
      <c r="D1186">
        <v>25.1575080974489</v>
      </c>
      <c r="E1186">
        <v>110589.881922562</v>
      </c>
      <c r="F1186" s="1">
        <v>46182.099780092591</v>
      </c>
      <c r="G1186">
        <v>52.876708064224601</v>
      </c>
      <c r="H1186" t="s">
        <v>22</v>
      </c>
      <c r="J1186" t="s">
        <v>16</v>
      </c>
      <c r="K1186">
        <v>577007.90534456098</v>
      </c>
      <c r="L1186" t="s">
        <v>17</v>
      </c>
      <c r="M1186">
        <v>0</v>
      </c>
      <c r="N1186">
        <v>0.19166094761998601</v>
      </c>
    </row>
    <row r="1187" spans="2:14" x14ac:dyDescent="0.25">
      <c r="B1187" t="s">
        <v>14</v>
      </c>
      <c r="C1187" s="1">
        <v>46181.999988425923</v>
      </c>
      <c r="D1187">
        <v>25.1575080974489</v>
      </c>
      <c r="E1187">
        <v>577007.90534456098</v>
      </c>
      <c r="F1187" s="1">
        <v>46179.606273148151</v>
      </c>
      <c r="G1187">
        <v>52.876708064224601</v>
      </c>
      <c r="H1187" t="s">
        <v>22</v>
      </c>
      <c r="J1187" t="s">
        <v>16</v>
      </c>
      <c r="K1187">
        <v>577007.90534456098</v>
      </c>
      <c r="L1187" t="s">
        <v>17</v>
      </c>
      <c r="M1187">
        <v>466418.02342199901</v>
      </c>
      <c r="N1187">
        <v>1</v>
      </c>
    </row>
    <row r="1188" spans="2:14" x14ac:dyDescent="0.25">
      <c r="B1188" t="s">
        <v>14</v>
      </c>
      <c r="C1188" s="1">
        <v>46180.999988425923</v>
      </c>
      <c r="D1188">
        <v>25.1575080974489</v>
      </c>
      <c r="E1188">
        <v>577007.90534456098</v>
      </c>
      <c r="F1188" s="1">
        <v>46179.606273148151</v>
      </c>
      <c r="G1188">
        <v>52.876708064224601</v>
      </c>
      <c r="H1188" t="s">
        <v>22</v>
      </c>
      <c r="J1188" t="s">
        <v>16</v>
      </c>
      <c r="K1188">
        <v>577007.90534456098</v>
      </c>
      <c r="L1188" t="s">
        <v>17</v>
      </c>
      <c r="M1188">
        <v>0</v>
      </c>
      <c r="N1188">
        <v>1</v>
      </c>
    </row>
    <row r="1189" spans="2:14" x14ac:dyDescent="0.25">
      <c r="B1189" t="s">
        <v>14</v>
      </c>
      <c r="C1189" s="1">
        <v>46179.999988425923</v>
      </c>
      <c r="D1189">
        <v>25.1575080974489</v>
      </c>
      <c r="E1189">
        <v>577007.90534456098</v>
      </c>
      <c r="F1189" s="1">
        <v>46179.606273148151</v>
      </c>
      <c r="G1189">
        <v>52.876708064224601</v>
      </c>
      <c r="H1189" t="s">
        <v>22</v>
      </c>
      <c r="J1189" t="s">
        <v>16</v>
      </c>
      <c r="K1189">
        <v>577007.90534456098</v>
      </c>
      <c r="L1189" t="s">
        <v>17</v>
      </c>
      <c r="M1189">
        <v>0</v>
      </c>
      <c r="N1189">
        <v>1</v>
      </c>
    </row>
    <row r="1190" spans="2:14" x14ac:dyDescent="0.25">
      <c r="B1190" t="s">
        <v>14</v>
      </c>
      <c r="C1190" s="1">
        <v>46178.999988425923</v>
      </c>
      <c r="D1190">
        <v>25.1575080974489</v>
      </c>
      <c r="E1190">
        <v>111132.72134504501</v>
      </c>
      <c r="F1190" s="1">
        <v>46177.099259259259</v>
      </c>
      <c r="G1190">
        <v>52.876708064224601</v>
      </c>
      <c r="H1190" t="s">
        <v>22</v>
      </c>
      <c r="J1190" t="s">
        <v>16</v>
      </c>
      <c r="K1190">
        <v>577007.90534456098</v>
      </c>
      <c r="L1190" t="s">
        <v>17</v>
      </c>
      <c r="M1190">
        <v>-465875.18399951502</v>
      </c>
      <c r="N1190">
        <v>0.19260173095667099</v>
      </c>
    </row>
    <row r="1191" spans="2:14" x14ac:dyDescent="0.25">
      <c r="B1191" t="s">
        <v>14</v>
      </c>
      <c r="C1191" s="1">
        <v>46177.999988425923</v>
      </c>
      <c r="D1191">
        <v>25.1575080974489</v>
      </c>
      <c r="E1191">
        <v>111132.72134504501</v>
      </c>
      <c r="F1191" s="1">
        <v>46177.099259259259</v>
      </c>
      <c r="G1191">
        <v>52.876708064224601</v>
      </c>
      <c r="H1191" t="s">
        <v>22</v>
      </c>
      <c r="J1191" t="s">
        <v>16</v>
      </c>
      <c r="K1191">
        <v>577007.90534456098</v>
      </c>
      <c r="L1191" t="s">
        <v>17</v>
      </c>
      <c r="M1191">
        <v>0</v>
      </c>
      <c r="N1191">
        <v>0.19260173095667099</v>
      </c>
    </row>
    <row r="1192" spans="2:14" x14ac:dyDescent="0.25">
      <c r="B1192" t="s">
        <v>14</v>
      </c>
      <c r="C1192" s="1">
        <v>46176.999988425923</v>
      </c>
      <c r="D1192">
        <v>25.1575080974489</v>
      </c>
      <c r="E1192">
        <v>111336.707251448</v>
      </c>
      <c r="F1192" s="1">
        <v>46176.099143518521</v>
      </c>
      <c r="G1192">
        <v>52.876708064224601</v>
      </c>
      <c r="H1192" t="s">
        <v>22</v>
      </c>
      <c r="J1192" t="s">
        <v>16</v>
      </c>
      <c r="K1192">
        <v>577007.90534456098</v>
      </c>
      <c r="L1192" t="s">
        <v>17</v>
      </c>
      <c r="M1192">
        <v>203.98590640281299</v>
      </c>
      <c r="N1192">
        <v>0.192955254547099</v>
      </c>
    </row>
    <row r="1193" spans="2:14" x14ac:dyDescent="0.25">
      <c r="B1193" t="s">
        <v>14</v>
      </c>
      <c r="C1193" s="1">
        <v>46175.999988425923</v>
      </c>
      <c r="D1193">
        <v>25.1575080974489</v>
      </c>
      <c r="E1193">
        <v>577007.90534456098</v>
      </c>
      <c r="F1193" s="1">
        <v>46173.605520833335</v>
      </c>
      <c r="G1193">
        <v>52.876708064224601</v>
      </c>
      <c r="H1193" t="s">
        <v>22</v>
      </c>
      <c r="J1193" t="s">
        <v>16</v>
      </c>
      <c r="K1193">
        <v>577007.90534456098</v>
      </c>
      <c r="L1193" t="s">
        <v>17</v>
      </c>
      <c r="M1193">
        <v>465671.19809311198</v>
      </c>
      <c r="N1193">
        <v>1</v>
      </c>
    </row>
    <row r="1194" spans="2:14" x14ac:dyDescent="0.25">
      <c r="B1194" t="s">
        <v>14</v>
      </c>
      <c r="C1194" s="1">
        <v>46174.999988425923</v>
      </c>
      <c r="D1194">
        <v>25.1575080974489</v>
      </c>
      <c r="E1194">
        <v>577007.90534456098</v>
      </c>
      <c r="F1194" s="1">
        <v>46173.605520833335</v>
      </c>
      <c r="G1194">
        <v>52.876708064224601</v>
      </c>
      <c r="H1194" t="s">
        <v>22</v>
      </c>
      <c r="J1194" t="s">
        <v>16</v>
      </c>
      <c r="K1194">
        <v>577007.90534456098</v>
      </c>
      <c r="L1194" t="s">
        <v>17</v>
      </c>
      <c r="M1194">
        <v>0</v>
      </c>
      <c r="N1194">
        <v>1</v>
      </c>
    </row>
    <row r="1195" spans="2:14" x14ac:dyDescent="0.25">
      <c r="B1195" t="s">
        <v>14</v>
      </c>
      <c r="C1195" s="1">
        <v>46173.999988425923</v>
      </c>
      <c r="D1195">
        <v>25.1575080974489</v>
      </c>
      <c r="E1195">
        <v>577007.90534456098</v>
      </c>
      <c r="F1195" s="1">
        <v>46173.605520833335</v>
      </c>
      <c r="G1195">
        <v>52.876708064224601</v>
      </c>
      <c r="H1195" t="s">
        <v>22</v>
      </c>
      <c r="J1195" t="s">
        <v>16</v>
      </c>
      <c r="K1195">
        <v>577007.90534456098</v>
      </c>
      <c r="L1195" t="s">
        <v>17</v>
      </c>
      <c r="M1195">
        <v>0</v>
      </c>
      <c r="N1195">
        <v>1</v>
      </c>
    </row>
    <row r="1196" spans="2:14" x14ac:dyDescent="0.25">
      <c r="B1196" t="s">
        <v>14</v>
      </c>
      <c r="C1196" s="1">
        <v>46172.999988425923</v>
      </c>
      <c r="D1196">
        <v>25.1575080974489</v>
      </c>
      <c r="E1196">
        <v>111688.726563465</v>
      </c>
      <c r="F1196" s="1">
        <v>46170.099791666667</v>
      </c>
      <c r="G1196">
        <v>52.876708064224601</v>
      </c>
      <c r="H1196" t="s">
        <v>22</v>
      </c>
      <c r="J1196" t="s">
        <v>16</v>
      </c>
      <c r="K1196">
        <v>577007.90534456098</v>
      </c>
      <c r="L1196" t="s">
        <v>17</v>
      </c>
      <c r="M1196">
        <v>-465319.17878109601</v>
      </c>
      <c r="N1196">
        <v>0.19356533165133999</v>
      </c>
    </row>
    <row r="1197" spans="2:14" x14ac:dyDescent="0.25">
      <c r="B1197" t="s">
        <v>14</v>
      </c>
      <c r="C1197" s="1">
        <v>46171.999988425923</v>
      </c>
      <c r="D1197">
        <v>25.1575080974489</v>
      </c>
      <c r="E1197">
        <v>111688.726563465</v>
      </c>
      <c r="F1197" s="1">
        <v>46170.099791666667</v>
      </c>
      <c r="G1197">
        <v>52.876708064224601</v>
      </c>
      <c r="H1197" t="s">
        <v>22</v>
      </c>
      <c r="J1197" t="s">
        <v>16</v>
      </c>
      <c r="K1197">
        <v>577007.90534456098</v>
      </c>
      <c r="L1197" t="s">
        <v>17</v>
      </c>
      <c r="M1197">
        <v>0</v>
      </c>
      <c r="N1197">
        <v>0.19356533165133999</v>
      </c>
    </row>
    <row r="1198" spans="2:14" x14ac:dyDescent="0.25">
      <c r="B1198" t="s">
        <v>14</v>
      </c>
      <c r="C1198" s="1">
        <v>46170.999988425923</v>
      </c>
      <c r="D1198">
        <v>25.1575080974489</v>
      </c>
      <c r="E1198">
        <v>111688.726563465</v>
      </c>
      <c r="F1198" s="1">
        <v>46170.099791666667</v>
      </c>
      <c r="G1198">
        <v>52.876708064224601</v>
      </c>
      <c r="H1198" t="s">
        <v>22</v>
      </c>
      <c r="J1198" t="s">
        <v>16</v>
      </c>
      <c r="K1198">
        <v>577007.90534456098</v>
      </c>
      <c r="L1198" t="s">
        <v>17</v>
      </c>
      <c r="M1198">
        <v>0</v>
      </c>
      <c r="N1198">
        <v>0.19356533165133999</v>
      </c>
    </row>
    <row r="1199" spans="2:14" x14ac:dyDescent="0.25">
      <c r="B1199" t="s">
        <v>14</v>
      </c>
      <c r="C1199" s="1">
        <v>46169.999988425923</v>
      </c>
      <c r="D1199">
        <v>25.1575080974489</v>
      </c>
      <c r="E1199">
        <v>127755.19386793399</v>
      </c>
      <c r="F1199" s="1">
        <v>46167.60628472222</v>
      </c>
      <c r="G1199">
        <v>52.876708064224601</v>
      </c>
      <c r="H1199" t="s">
        <v>22</v>
      </c>
      <c r="J1199" t="s">
        <v>16</v>
      </c>
      <c r="K1199">
        <v>577007.90534456098</v>
      </c>
      <c r="L1199" t="s">
        <v>17</v>
      </c>
      <c r="M1199">
        <v>16066.467304468901</v>
      </c>
      <c r="N1199">
        <v>0.22140978084458701</v>
      </c>
    </row>
    <row r="1200" spans="2:14" x14ac:dyDescent="0.25">
      <c r="B1200" t="s">
        <v>14</v>
      </c>
      <c r="C1200" s="1">
        <v>46168.999988425923</v>
      </c>
      <c r="D1200">
        <v>25.1575080974489</v>
      </c>
      <c r="E1200">
        <v>127755.19386793399</v>
      </c>
      <c r="F1200" s="1">
        <v>46167.60628472222</v>
      </c>
      <c r="G1200">
        <v>52.876708064224601</v>
      </c>
      <c r="H1200" t="s">
        <v>22</v>
      </c>
      <c r="J1200" t="s">
        <v>16</v>
      </c>
      <c r="K1200">
        <v>577007.90534456098</v>
      </c>
      <c r="L1200" t="s">
        <v>17</v>
      </c>
      <c r="M1200">
        <v>0</v>
      </c>
      <c r="N1200">
        <v>0.22140978084458701</v>
      </c>
    </row>
    <row r="1201" spans="2:14" x14ac:dyDescent="0.25">
      <c r="B1201" t="s">
        <v>14</v>
      </c>
      <c r="C1201" s="1">
        <v>46167.999988425923</v>
      </c>
      <c r="D1201">
        <v>25.1575080974489</v>
      </c>
      <c r="E1201">
        <v>127755.19386793399</v>
      </c>
      <c r="F1201" s="1">
        <v>46167.60628472222</v>
      </c>
      <c r="G1201">
        <v>52.876708064224601</v>
      </c>
      <c r="H1201" t="s">
        <v>22</v>
      </c>
      <c r="J1201" t="s">
        <v>16</v>
      </c>
      <c r="K1201">
        <v>577007.90534456098</v>
      </c>
      <c r="L1201" t="s">
        <v>17</v>
      </c>
      <c r="M1201">
        <v>0</v>
      </c>
      <c r="N1201">
        <v>0.22140978084458701</v>
      </c>
    </row>
    <row r="1202" spans="2:14" x14ac:dyDescent="0.25">
      <c r="B1202" t="s">
        <v>14</v>
      </c>
      <c r="C1202" s="1">
        <v>46166.999988425923</v>
      </c>
      <c r="D1202">
        <v>25.1575080974489</v>
      </c>
      <c r="E1202">
        <v>110597.814079559</v>
      </c>
      <c r="F1202" s="1">
        <v>46165.099259259259</v>
      </c>
      <c r="G1202">
        <v>52.876708064224601</v>
      </c>
      <c r="H1202" t="s">
        <v>22</v>
      </c>
      <c r="J1202" t="s">
        <v>16</v>
      </c>
      <c r="K1202">
        <v>577007.90534456098</v>
      </c>
      <c r="L1202" t="s">
        <v>17</v>
      </c>
      <c r="M1202">
        <v>-17157.379788374499</v>
      </c>
      <c r="N1202">
        <v>0.191674694670804</v>
      </c>
    </row>
    <row r="1203" spans="2:14" x14ac:dyDescent="0.25">
      <c r="B1203" t="s">
        <v>14</v>
      </c>
      <c r="C1203" s="1">
        <v>46165.999988425923</v>
      </c>
      <c r="D1203">
        <v>25.1575080974489</v>
      </c>
      <c r="E1203">
        <v>110597.814079559</v>
      </c>
      <c r="F1203" s="1">
        <v>46165.099259259259</v>
      </c>
      <c r="G1203">
        <v>52.876708064224601</v>
      </c>
      <c r="H1203" t="s">
        <v>22</v>
      </c>
      <c r="J1203" t="s">
        <v>16</v>
      </c>
      <c r="K1203">
        <v>577007.90534456098</v>
      </c>
      <c r="L1203" t="s">
        <v>17</v>
      </c>
      <c r="M1203">
        <v>0</v>
      </c>
      <c r="N1203">
        <v>0.191674694670804</v>
      </c>
    </row>
    <row r="1204" spans="2:14" x14ac:dyDescent="0.25">
      <c r="B1204" t="s">
        <v>14</v>
      </c>
      <c r="C1204" s="1">
        <v>46164.999988425923</v>
      </c>
      <c r="D1204">
        <v>25.1575080974489</v>
      </c>
      <c r="E1204">
        <v>111484.56794106201</v>
      </c>
      <c r="F1204" s="1">
        <v>46164.099143518521</v>
      </c>
      <c r="G1204">
        <v>52.876708064224601</v>
      </c>
      <c r="H1204" t="s">
        <v>22</v>
      </c>
      <c r="J1204" t="s">
        <v>16</v>
      </c>
      <c r="K1204">
        <v>577007.90534456098</v>
      </c>
      <c r="L1204" t="s">
        <v>17</v>
      </c>
      <c r="M1204">
        <v>886.75386150350096</v>
      </c>
      <c r="N1204">
        <v>0.19321150873052501</v>
      </c>
    </row>
    <row r="1205" spans="2:14" x14ac:dyDescent="0.25">
      <c r="B1205" t="s">
        <v>14</v>
      </c>
      <c r="C1205" s="1">
        <v>46163.999988425923</v>
      </c>
      <c r="D1205">
        <v>25.1575080974489</v>
      </c>
      <c r="E1205">
        <v>121369.926788253</v>
      </c>
      <c r="F1205" s="1">
        <v>46162.605624999997</v>
      </c>
      <c r="G1205">
        <v>52.876708064224601</v>
      </c>
      <c r="H1205" t="s">
        <v>22</v>
      </c>
      <c r="J1205" t="s">
        <v>16</v>
      </c>
      <c r="K1205">
        <v>577007.90534456098</v>
      </c>
      <c r="L1205" t="s">
        <v>17</v>
      </c>
      <c r="M1205">
        <v>9885.3588471905096</v>
      </c>
      <c r="N1205">
        <v>0.210343611697619</v>
      </c>
    </row>
    <row r="1206" spans="2:14" x14ac:dyDescent="0.25">
      <c r="B1206" t="s">
        <v>14</v>
      </c>
      <c r="C1206" s="1">
        <v>46162.999988425923</v>
      </c>
      <c r="D1206">
        <v>25.1575080974489</v>
      </c>
      <c r="E1206">
        <v>121369.926788253</v>
      </c>
      <c r="F1206" s="1">
        <v>46162.605624999997</v>
      </c>
      <c r="G1206">
        <v>52.876708064224601</v>
      </c>
      <c r="H1206" t="s">
        <v>22</v>
      </c>
      <c r="J1206" t="s">
        <v>16</v>
      </c>
      <c r="K1206">
        <v>577007.90534456098</v>
      </c>
      <c r="L1206" t="s">
        <v>17</v>
      </c>
      <c r="M1206">
        <v>0</v>
      </c>
      <c r="N1206">
        <v>0.210343611697619</v>
      </c>
    </row>
    <row r="1207" spans="2:14" x14ac:dyDescent="0.25">
      <c r="B1207" t="s">
        <v>14</v>
      </c>
      <c r="C1207" s="1">
        <v>46161.999988425923</v>
      </c>
      <c r="D1207">
        <v>25.1575080974489</v>
      </c>
      <c r="E1207">
        <v>577007.90534456098</v>
      </c>
      <c r="F1207" s="1">
        <v>46161.605509259258</v>
      </c>
      <c r="G1207">
        <v>52.876708064224601</v>
      </c>
      <c r="H1207" t="s">
        <v>22</v>
      </c>
      <c r="J1207" t="s">
        <v>16</v>
      </c>
      <c r="K1207">
        <v>577007.90534456098</v>
      </c>
      <c r="L1207" t="s">
        <v>17</v>
      </c>
      <c r="M1207">
        <v>455637.97855630697</v>
      </c>
      <c r="N1207">
        <v>1</v>
      </c>
    </row>
    <row r="1208" spans="2:14" x14ac:dyDescent="0.25">
      <c r="B1208" t="s">
        <v>14</v>
      </c>
      <c r="C1208" s="1">
        <v>46160.999988425923</v>
      </c>
      <c r="D1208">
        <v>25.1575080974489</v>
      </c>
      <c r="E1208">
        <v>111992.451012725</v>
      </c>
      <c r="F1208" s="1">
        <v>46158.099791666667</v>
      </c>
      <c r="G1208">
        <v>52.876708064224601</v>
      </c>
      <c r="H1208" t="s">
        <v>22</v>
      </c>
      <c r="J1208" t="s">
        <v>16</v>
      </c>
      <c r="K1208">
        <v>577007.90534456098</v>
      </c>
      <c r="L1208" t="s">
        <v>17</v>
      </c>
      <c r="M1208">
        <v>-465015.45433183498</v>
      </c>
      <c r="N1208">
        <v>0.19409170996686601</v>
      </c>
    </row>
    <row r="1209" spans="2:14" x14ac:dyDescent="0.25">
      <c r="B1209" t="s">
        <v>14</v>
      </c>
      <c r="C1209" s="1">
        <v>46159.999988425923</v>
      </c>
      <c r="D1209">
        <v>25.1575080974489</v>
      </c>
      <c r="E1209">
        <v>111992.451012725</v>
      </c>
      <c r="F1209" s="1">
        <v>46158.099791666667</v>
      </c>
      <c r="G1209">
        <v>52.876708064224601</v>
      </c>
      <c r="H1209" t="s">
        <v>22</v>
      </c>
      <c r="J1209" t="s">
        <v>16</v>
      </c>
      <c r="K1209">
        <v>577007.90534456098</v>
      </c>
      <c r="L1209" t="s">
        <v>17</v>
      </c>
      <c r="M1209">
        <v>0</v>
      </c>
      <c r="N1209">
        <v>0.19409170996686601</v>
      </c>
    </row>
    <row r="1210" spans="2:14" x14ac:dyDescent="0.25">
      <c r="B1210" t="s">
        <v>14</v>
      </c>
      <c r="C1210" s="1">
        <v>46158.999988425923</v>
      </c>
      <c r="D1210">
        <v>25.1575080974489</v>
      </c>
      <c r="E1210">
        <v>111992.451012725</v>
      </c>
      <c r="F1210" s="1">
        <v>46158.099791666667</v>
      </c>
      <c r="G1210">
        <v>52.876708064224601</v>
      </c>
      <c r="H1210" t="s">
        <v>22</v>
      </c>
      <c r="J1210" t="s">
        <v>16</v>
      </c>
      <c r="K1210">
        <v>577007.90534456098</v>
      </c>
      <c r="L1210" t="s">
        <v>17</v>
      </c>
      <c r="M1210">
        <v>0</v>
      </c>
      <c r="N1210">
        <v>0.19409170996686601</v>
      </c>
    </row>
    <row r="1211" spans="2:14" x14ac:dyDescent="0.25">
      <c r="B1211" t="s">
        <v>14</v>
      </c>
      <c r="C1211" s="1">
        <v>46157.999988425923</v>
      </c>
      <c r="D1211">
        <v>25.1575080974489</v>
      </c>
      <c r="E1211">
        <v>577007.90534456098</v>
      </c>
      <c r="F1211" s="1">
        <v>46155.60628472222</v>
      </c>
      <c r="G1211">
        <v>52.876708064224601</v>
      </c>
      <c r="H1211" t="s">
        <v>22</v>
      </c>
      <c r="J1211" t="s">
        <v>16</v>
      </c>
      <c r="K1211">
        <v>577007.90534456098</v>
      </c>
      <c r="L1211" t="s">
        <v>17</v>
      </c>
      <c r="M1211">
        <v>465015.45433183498</v>
      </c>
      <c r="N1211">
        <v>1</v>
      </c>
    </row>
    <row r="1212" spans="2:14" x14ac:dyDescent="0.25">
      <c r="B1212" t="s">
        <v>14</v>
      </c>
      <c r="C1212" s="1">
        <v>46156.999988425923</v>
      </c>
      <c r="D1212">
        <v>25.1575080974489</v>
      </c>
      <c r="E1212">
        <v>577007.90534456098</v>
      </c>
      <c r="F1212" s="1">
        <v>46155.60628472222</v>
      </c>
      <c r="G1212">
        <v>52.876708064224601</v>
      </c>
      <c r="H1212" t="s">
        <v>22</v>
      </c>
      <c r="J1212" t="s">
        <v>16</v>
      </c>
      <c r="K1212">
        <v>577007.90534456098</v>
      </c>
      <c r="L1212" t="s">
        <v>17</v>
      </c>
      <c r="M1212">
        <v>0</v>
      </c>
      <c r="N1212">
        <v>1</v>
      </c>
    </row>
    <row r="1213" spans="2:14" x14ac:dyDescent="0.25">
      <c r="B1213" t="s">
        <v>14</v>
      </c>
      <c r="C1213" s="1">
        <v>46155.999988425923</v>
      </c>
      <c r="D1213">
        <v>25.1575080974489</v>
      </c>
      <c r="E1213">
        <v>577007.90534456098</v>
      </c>
      <c r="F1213" s="1">
        <v>46155.60628472222</v>
      </c>
      <c r="G1213">
        <v>52.876708064224601</v>
      </c>
      <c r="H1213" t="s">
        <v>22</v>
      </c>
      <c r="J1213" t="s">
        <v>16</v>
      </c>
      <c r="K1213">
        <v>577007.90534456098</v>
      </c>
      <c r="L1213" t="s">
        <v>17</v>
      </c>
      <c r="M1213">
        <v>0</v>
      </c>
      <c r="N1213">
        <v>1</v>
      </c>
    </row>
    <row r="1214" spans="2:14" x14ac:dyDescent="0.25">
      <c r="B1214" t="s">
        <v>14</v>
      </c>
      <c r="C1214" s="1">
        <v>46154.999988425923</v>
      </c>
      <c r="D1214">
        <v>25.1575080974489</v>
      </c>
      <c r="E1214">
        <v>111417.474368032</v>
      </c>
      <c r="F1214" s="1">
        <v>46153.099247685182</v>
      </c>
      <c r="G1214">
        <v>52.876708064224601</v>
      </c>
      <c r="H1214" t="s">
        <v>22</v>
      </c>
      <c r="J1214" t="s">
        <v>16</v>
      </c>
      <c r="K1214">
        <v>577007.90534456098</v>
      </c>
      <c r="L1214" t="s">
        <v>17</v>
      </c>
      <c r="M1214">
        <v>-465590.43097652798</v>
      </c>
      <c r="N1214">
        <v>0.193095230301046</v>
      </c>
    </row>
    <row r="1215" spans="2:14" x14ac:dyDescent="0.25">
      <c r="B1215" t="s">
        <v>14</v>
      </c>
      <c r="C1215" s="1">
        <v>46153.999988425923</v>
      </c>
      <c r="D1215">
        <v>25.1575080974489</v>
      </c>
      <c r="E1215">
        <v>111417.474368032</v>
      </c>
      <c r="F1215" s="1">
        <v>46153.099247685182</v>
      </c>
      <c r="G1215">
        <v>52.876708064224601</v>
      </c>
      <c r="H1215" t="s">
        <v>22</v>
      </c>
      <c r="J1215" t="s">
        <v>16</v>
      </c>
      <c r="K1215">
        <v>577007.90534456098</v>
      </c>
      <c r="L1215" t="s">
        <v>17</v>
      </c>
      <c r="M1215">
        <v>0</v>
      </c>
      <c r="N1215">
        <v>0.193095230301046</v>
      </c>
    </row>
    <row r="1216" spans="2:14" x14ac:dyDescent="0.25">
      <c r="B1216" t="s">
        <v>14</v>
      </c>
      <c r="C1216" s="1">
        <v>46152.999988425923</v>
      </c>
      <c r="D1216">
        <v>25.1575080974489</v>
      </c>
      <c r="E1216">
        <v>125692.277483696</v>
      </c>
      <c r="F1216" s="1">
        <v>46150.605613425927</v>
      </c>
      <c r="G1216">
        <v>52.876708064224601</v>
      </c>
      <c r="H1216" t="s">
        <v>22</v>
      </c>
      <c r="J1216" t="s">
        <v>16</v>
      </c>
      <c r="K1216">
        <v>577007.90534456098</v>
      </c>
      <c r="L1216" t="s">
        <v>17</v>
      </c>
      <c r="M1216">
        <v>14274.803115664199</v>
      </c>
      <c r="N1216">
        <v>0.21783458479418799</v>
      </c>
    </row>
    <row r="1217" spans="2:14" x14ac:dyDescent="0.25">
      <c r="B1217" t="s">
        <v>14</v>
      </c>
      <c r="C1217" s="1">
        <v>46151.999988425923</v>
      </c>
      <c r="D1217">
        <v>25.1575080974489</v>
      </c>
      <c r="E1217">
        <v>125692.277483696</v>
      </c>
      <c r="F1217" s="1">
        <v>46150.605613425927</v>
      </c>
      <c r="G1217">
        <v>52.876708064224601</v>
      </c>
      <c r="H1217" t="s">
        <v>22</v>
      </c>
      <c r="J1217" t="s">
        <v>16</v>
      </c>
      <c r="K1217">
        <v>577007.90534456098</v>
      </c>
      <c r="L1217" t="s">
        <v>17</v>
      </c>
      <c r="M1217">
        <v>0</v>
      </c>
      <c r="N1217">
        <v>0.21783458479418799</v>
      </c>
    </row>
    <row r="1218" spans="2:14" x14ac:dyDescent="0.25">
      <c r="B1218" t="s">
        <v>14</v>
      </c>
      <c r="C1218" s="1">
        <v>46150.999988425923</v>
      </c>
      <c r="D1218">
        <v>25.1575080974489</v>
      </c>
      <c r="E1218">
        <v>125692.277483696</v>
      </c>
      <c r="F1218" s="1">
        <v>46150.605613425927</v>
      </c>
      <c r="G1218">
        <v>52.876708064224601</v>
      </c>
      <c r="H1218" t="s">
        <v>22</v>
      </c>
      <c r="J1218" t="s">
        <v>16</v>
      </c>
      <c r="K1218">
        <v>577007.90534456098</v>
      </c>
      <c r="L1218" t="s">
        <v>17</v>
      </c>
      <c r="M1218">
        <v>0</v>
      </c>
      <c r="N1218">
        <v>0.21783458479418799</v>
      </c>
    </row>
    <row r="1219" spans="2:14" x14ac:dyDescent="0.25">
      <c r="B1219" t="s">
        <v>14</v>
      </c>
      <c r="C1219" s="1">
        <v>46149.999988425923</v>
      </c>
      <c r="D1219">
        <v>25.1575080974489</v>
      </c>
      <c r="E1219">
        <v>577007.90534456098</v>
      </c>
      <c r="F1219" s="1">
        <v>46149.605497685188</v>
      </c>
      <c r="G1219">
        <v>52.876708064224601</v>
      </c>
      <c r="H1219" t="s">
        <v>22</v>
      </c>
      <c r="J1219" t="s">
        <v>16</v>
      </c>
      <c r="K1219">
        <v>577007.90534456098</v>
      </c>
      <c r="L1219" t="s">
        <v>17</v>
      </c>
      <c r="M1219">
        <v>451315.62786086398</v>
      </c>
      <c r="N1219">
        <v>1</v>
      </c>
    </row>
    <row r="1220" spans="2:14" x14ac:dyDescent="0.25">
      <c r="B1220" t="s">
        <v>14</v>
      </c>
      <c r="C1220" s="1">
        <v>46148.999988425923</v>
      </c>
      <c r="D1220">
        <v>25.1575080974489</v>
      </c>
      <c r="E1220">
        <v>108128.05658506299</v>
      </c>
      <c r="F1220" s="1">
        <v>46146.099803240744</v>
      </c>
      <c r="G1220">
        <v>52.876708064224601</v>
      </c>
      <c r="H1220" t="s">
        <v>22</v>
      </c>
      <c r="J1220" t="s">
        <v>16</v>
      </c>
      <c r="K1220">
        <v>577007.90534456098</v>
      </c>
      <c r="L1220" t="s">
        <v>17</v>
      </c>
      <c r="M1220">
        <v>-468879.84875949699</v>
      </c>
      <c r="N1220">
        <v>0.18739441103583299</v>
      </c>
    </row>
    <row r="1221" spans="2:14" x14ac:dyDescent="0.25">
      <c r="B1221" t="s">
        <v>14</v>
      </c>
      <c r="C1221" s="1">
        <v>46147.999988425923</v>
      </c>
      <c r="D1221">
        <v>25.1575080974489</v>
      </c>
      <c r="E1221">
        <v>108128.05658506299</v>
      </c>
      <c r="F1221" s="1">
        <v>46146.099803240744</v>
      </c>
      <c r="G1221">
        <v>52.876708064224601</v>
      </c>
      <c r="H1221" t="s">
        <v>22</v>
      </c>
      <c r="J1221" t="s">
        <v>16</v>
      </c>
      <c r="K1221">
        <v>577007.90534456098</v>
      </c>
      <c r="L1221" t="s">
        <v>17</v>
      </c>
      <c r="M1221">
        <v>0</v>
      </c>
      <c r="N1221">
        <v>0.18739441103583299</v>
      </c>
    </row>
    <row r="1222" spans="2:14" x14ac:dyDescent="0.25">
      <c r="B1222" t="s">
        <v>14</v>
      </c>
      <c r="C1222" s="1">
        <v>46146.999988425923</v>
      </c>
      <c r="D1222">
        <v>25.1575080974489</v>
      </c>
      <c r="E1222">
        <v>108128.05658506299</v>
      </c>
      <c r="F1222" s="1">
        <v>46146.099803240744</v>
      </c>
      <c r="G1222">
        <v>52.876708064224601</v>
      </c>
      <c r="H1222" t="s">
        <v>22</v>
      </c>
      <c r="J1222" t="s">
        <v>16</v>
      </c>
      <c r="K1222">
        <v>577007.90534456098</v>
      </c>
      <c r="L1222" t="s">
        <v>17</v>
      </c>
      <c r="M1222">
        <v>0</v>
      </c>
      <c r="N1222">
        <v>0.18739441103583299</v>
      </c>
    </row>
    <row r="1223" spans="2:14" x14ac:dyDescent="0.25">
      <c r="B1223" t="s">
        <v>14</v>
      </c>
      <c r="C1223" s="1">
        <v>46145.999988425923</v>
      </c>
      <c r="D1223">
        <v>25.1575080974489</v>
      </c>
      <c r="E1223">
        <v>577007.90534456098</v>
      </c>
      <c r="F1223" s="1">
        <v>46143.606296296297</v>
      </c>
      <c r="G1223">
        <v>52.876708064224601</v>
      </c>
      <c r="H1223" t="s">
        <v>22</v>
      </c>
      <c r="J1223" t="s">
        <v>16</v>
      </c>
      <c r="K1223">
        <v>577007.90534456098</v>
      </c>
      <c r="L1223" t="s">
        <v>17</v>
      </c>
      <c r="M1223">
        <v>468879.84875949699</v>
      </c>
      <c r="N1223">
        <v>1</v>
      </c>
    </row>
    <row r="1224" spans="2:14" x14ac:dyDescent="0.25">
      <c r="B1224" t="s">
        <v>14</v>
      </c>
      <c r="C1224" s="1">
        <v>46144.999988425923</v>
      </c>
      <c r="D1224">
        <v>25.1575080974489</v>
      </c>
      <c r="E1224">
        <v>577007.90534456098</v>
      </c>
      <c r="F1224" s="1">
        <v>46143.606296296297</v>
      </c>
      <c r="G1224">
        <v>52.876708064224601</v>
      </c>
      <c r="H1224" t="s">
        <v>22</v>
      </c>
      <c r="J1224" t="s">
        <v>16</v>
      </c>
      <c r="K1224">
        <v>577007.90534456098</v>
      </c>
      <c r="L1224" t="s">
        <v>17</v>
      </c>
      <c r="M1224">
        <v>0</v>
      </c>
      <c r="N1224">
        <v>1</v>
      </c>
    </row>
    <row r="1225" spans="2:14" x14ac:dyDescent="0.25">
      <c r="B1225" t="s">
        <v>14</v>
      </c>
      <c r="C1225" s="1">
        <v>46143.999988425923</v>
      </c>
      <c r="D1225">
        <v>25.1575080974489</v>
      </c>
      <c r="E1225">
        <v>577007.90534456098</v>
      </c>
      <c r="F1225" s="1">
        <v>46143.606296296297</v>
      </c>
      <c r="G1225">
        <v>52.876708064224601</v>
      </c>
      <c r="H1225" t="s">
        <v>22</v>
      </c>
      <c r="J1225" t="s">
        <v>16</v>
      </c>
      <c r="K1225">
        <v>577007.90534456098</v>
      </c>
      <c r="L1225" t="s">
        <v>17</v>
      </c>
      <c r="M1225">
        <v>0</v>
      </c>
      <c r="N1225">
        <v>1</v>
      </c>
    </row>
    <row r="1226" spans="2:14" x14ac:dyDescent="0.25">
      <c r="B1226" t="s">
        <v>14</v>
      </c>
      <c r="C1226" s="1">
        <v>46142.999988425923</v>
      </c>
      <c r="D1226">
        <v>25.1575080974489</v>
      </c>
      <c r="E1226">
        <v>109767.765182938</v>
      </c>
      <c r="F1226" s="1">
        <v>46140.099120370367</v>
      </c>
      <c r="G1226">
        <v>52.876708064224601</v>
      </c>
      <c r="H1226" t="s">
        <v>22</v>
      </c>
      <c r="J1226" t="s">
        <v>16</v>
      </c>
      <c r="K1226">
        <v>577007.90534456098</v>
      </c>
      <c r="L1226" t="s">
        <v>17</v>
      </c>
      <c r="M1226">
        <v>-467240.14016162202</v>
      </c>
      <c r="N1226">
        <v>0.190236154767048</v>
      </c>
    </row>
    <row r="1227" spans="2:14" x14ac:dyDescent="0.25">
      <c r="B1227" t="s">
        <v>14</v>
      </c>
      <c r="C1227" s="1">
        <v>46141.999988425923</v>
      </c>
      <c r="D1227">
        <v>25.1575080974489</v>
      </c>
      <c r="E1227">
        <v>109767.765182938</v>
      </c>
      <c r="F1227" s="1">
        <v>46140.099120370367</v>
      </c>
      <c r="G1227">
        <v>52.876708064224601</v>
      </c>
      <c r="H1227" t="s">
        <v>22</v>
      </c>
      <c r="J1227" t="s">
        <v>16</v>
      </c>
      <c r="K1227">
        <v>577007.90534456098</v>
      </c>
      <c r="L1227" t="s">
        <v>17</v>
      </c>
      <c r="M1227">
        <v>0</v>
      </c>
      <c r="N1227">
        <v>0.190236154767048</v>
      </c>
    </row>
    <row r="1228" spans="2:14" x14ac:dyDescent="0.25">
      <c r="B1228" t="s">
        <v>14</v>
      </c>
      <c r="C1228" s="1">
        <v>46140.999988425923</v>
      </c>
      <c r="D1228">
        <v>25.1575080974489</v>
      </c>
      <c r="E1228">
        <v>109767.765182938</v>
      </c>
      <c r="F1228" s="1">
        <v>46140.099120370367</v>
      </c>
      <c r="G1228">
        <v>52.876708064224601</v>
      </c>
      <c r="H1228" t="s">
        <v>22</v>
      </c>
      <c r="J1228" t="s">
        <v>16</v>
      </c>
      <c r="K1228">
        <v>577007.90534456098</v>
      </c>
      <c r="L1228" t="s">
        <v>17</v>
      </c>
      <c r="M1228">
        <v>0</v>
      </c>
      <c r="N1228">
        <v>0.190236154767048</v>
      </c>
    </row>
    <row r="1229" spans="2:14" x14ac:dyDescent="0.25">
      <c r="B1229" t="s">
        <v>14</v>
      </c>
      <c r="C1229" s="1">
        <v>46139.999988425923</v>
      </c>
      <c r="D1229">
        <v>25.1575080974489</v>
      </c>
      <c r="E1229">
        <v>577007.90534456098</v>
      </c>
      <c r="F1229" s="1">
        <v>46137.605486111112</v>
      </c>
      <c r="G1229">
        <v>52.876708064224601</v>
      </c>
      <c r="H1229" t="s">
        <v>22</v>
      </c>
      <c r="J1229" t="s">
        <v>16</v>
      </c>
      <c r="K1229">
        <v>577007.90534456098</v>
      </c>
      <c r="L1229" t="s">
        <v>17</v>
      </c>
      <c r="M1229">
        <v>467240.14016162202</v>
      </c>
      <c r="N1229">
        <v>1</v>
      </c>
    </row>
    <row r="1230" spans="2:14" x14ac:dyDescent="0.25">
      <c r="B1230" t="s">
        <v>14</v>
      </c>
      <c r="C1230" s="1">
        <v>46138.999988425923</v>
      </c>
      <c r="D1230">
        <v>25.1575080974489</v>
      </c>
      <c r="E1230">
        <v>577007.90534456098</v>
      </c>
      <c r="F1230" s="1">
        <v>46137.605486111112</v>
      </c>
      <c r="G1230">
        <v>52.876708064224601</v>
      </c>
      <c r="H1230" t="s">
        <v>22</v>
      </c>
      <c r="J1230" t="s">
        <v>16</v>
      </c>
      <c r="K1230">
        <v>577007.90534456098</v>
      </c>
      <c r="L1230" t="s">
        <v>17</v>
      </c>
      <c r="M1230">
        <v>0</v>
      </c>
      <c r="N1230">
        <v>1</v>
      </c>
    </row>
    <row r="1231" spans="2:14" x14ac:dyDescent="0.25">
      <c r="B1231" t="s">
        <v>14</v>
      </c>
      <c r="C1231" s="1">
        <v>46137.999988425923</v>
      </c>
      <c r="D1231">
        <v>25.1575080974489</v>
      </c>
      <c r="E1231">
        <v>577007.90534456098</v>
      </c>
      <c r="F1231" s="1">
        <v>46137.605486111112</v>
      </c>
      <c r="G1231">
        <v>52.876708064224601</v>
      </c>
      <c r="H1231" t="s">
        <v>22</v>
      </c>
      <c r="J1231" t="s">
        <v>16</v>
      </c>
      <c r="K1231">
        <v>577007.90534456098</v>
      </c>
      <c r="L1231" t="s">
        <v>17</v>
      </c>
      <c r="M1231">
        <v>0</v>
      </c>
      <c r="N1231">
        <v>1</v>
      </c>
    </row>
    <row r="1232" spans="2:14" x14ac:dyDescent="0.25">
      <c r="B1232" t="s">
        <v>14</v>
      </c>
      <c r="C1232" s="1">
        <v>46136.999988425923</v>
      </c>
      <c r="D1232">
        <v>25.1575080974489</v>
      </c>
      <c r="E1232">
        <v>109296.39653738101</v>
      </c>
      <c r="F1232" s="1">
        <v>46134.099803240744</v>
      </c>
      <c r="G1232">
        <v>52.876708064224601</v>
      </c>
      <c r="H1232" t="s">
        <v>22</v>
      </c>
      <c r="J1232" t="s">
        <v>16</v>
      </c>
      <c r="K1232">
        <v>577007.90534456098</v>
      </c>
      <c r="L1232" t="s">
        <v>17</v>
      </c>
      <c r="M1232">
        <v>-467711.50880717998</v>
      </c>
      <c r="N1232">
        <v>0.18941923589784199</v>
      </c>
    </row>
    <row r="1233" spans="2:14" x14ac:dyDescent="0.25">
      <c r="B1233" t="s">
        <v>14</v>
      </c>
      <c r="C1233" s="1">
        <v>46135.999988425923</v>
      </c>
      <c r="D1233">
        <v>25.1575080974489</v>
      </c>
      <c r="E1233">
        <v>109296.39653738101</v>
      </c>
      <c r="F1233" s="1">
        <v>46134.099803240744</v>
      </c>
      <c r="G1233">
        <v>52.876708064224601</v>
      </c>
      <c r="H1233" t="s">
        <v>22</v>
      </c>
      <c r="J1233" t="s">
        <v>16</v>
      </c>
      <c r="K1233">
        <v>577007.90534456098</v>
      </c>
      <c r="L1233" t="s">
        <v>17</v>
      </c>
      <c r="M1233">
        <v>0</v>
      </c>
      <c r="N1233">
        <v>0.18941923589784199</v>
      </c>
    </row>
    <row r="1234" spans="2:14" x14ac:dyDescent="0.25">
      <c r="B1234" t="s">
        <v>14</v>
      </c>
      <c r="C1234" s="1">
        <v>46134.999988425923</v>
      </c>
      <c r="D1234">
        <v>25.1575080974489</v>
      </c>
      <c r="E1234">
        <v>109296.39653738101</v>
      </c>
      <c r="F1234" s="1">
        <v>46134.099803240744</v>
      </c>
      <c r="G1234">
        <v>52.876708064224601</v>
      </c>
      <c r="H1234" t="s">
        <v>22</v>
      </c>
      <c r="J1234" t="s">
        <v>16</v>
      </c>
      <c r="K1234">
        <v>577007.90534456098</v>
      </c>
      <c r="L1234" t="s">
        <v>17</v>
      </c>
      <c r="M1234">
        <v>0</v>
      </c>
      <c r="N1234">
        <v>0.18941923589784199</v>
      </c>
    </row>
    <row r="1235" spans="2:14" x14ac:dyDescent="0.25">
      <c r="B1235" t="s">
        <v>14</v>
      </c>
      <c r="C1235" s="1">
        <v>46133.999988425923</v>
      </c>
      <c r="D1235">
        <v>25.1575080974489</v>
      </c>
      <c r="E1235">
        <v>577007.90534456098</v>
      </c>
      <c r="F1235" s="1">
        <v>46131.606296296297</v>
      </c>
      <c r="G1235">
        <v>52.876708064224601</v>
      </c>
      <c r="H1235" t="s">
        <v>22</v>
      </c>
      <c r="J1235" t="s">
        <v>16</v>
      </c>
      <c r="K1235">
        <v>577007.90534456098</v>
      </c>
      <c r="L1235" t="s">
        <v>17</v>
      </c>
      <c r="M1235">
        <v>467711.50880717998</v>
      </c>
      <c r="N1235">
        <v>1</v>
      </c>
    </row>
    <row r="1236" spans="2:14" x14ac:dyDescent="0.25">
      <c r="B1236" t="s">
        <v>14</v>
      </c>
      <c r="C1236" s="1">
        <v>46132.999988425923</v>
      </c>
      <c r="D1236">
        <v>25.1575080974489</v>
      </c>
      <c r="E1236">
        <v>577007.90534456098</v>
      </c>
      <c r="F1236" s="1">
        <v>46131.606296296297</v>
      </c>
      <c r="G1236">
        <v>52.876708064224601</v>
      </c>
      <c r="H1236" t="s">
        <v>22</v>
      </c>
      <c r="J1236" t="s">
        <v>16</v>
      </c>
      <c r="K1236">
        <v>577007.90534456098</v>
      </c>
      <c r="L1236" t="s">
        <v>17</v>
      </c>
      <c r="M1236">
        <v>0</v>
      </c>
      <c r="N1236">
        <v>1</v>
      </c>
    </row>
    <row r="1237" spans="2:14" x14ac:dyDescent="0.25">
      <c r="B1237" t="s">
        <v>14</v>
      </c>
      <c r="C1237" s="1">
        <v>46131.999988425923</v>
      </c>
      <c r="D1237">
        <v>25.1575080974489</v>
      </c>
      <c r="E1237">
        <v>577007.90534456098</v>
      </c>
      <c r="F1237" s="1">
        <v>46131.606296296297</v>
      </c>
      <c r="G1237">
        <v>52.876708064224601</v>
      </c>
      <c r="H1237" t="s">
        <v>22</v>
      </c>
      <c r="J1237" t="s">
        <v>16</v>
      </c>
      <c r="K1237">
        <v>577007.90534456098</v>
      </c>
      <c r="L1237" t="s">
        <v>17</v>
      </c>
      <c r="M1237">
        <v>0</v>
      </c>
      <c r="N1237">
        <v>1</v>
      </c>
    </row>
    <row r="1238" spans="2:14" x14ac:dyDescent="0.25">
      <c r="B1238" t="s">
        <v>14</v>
      </c>
      <c r="C1238" s="1">
        <v>46130.999988425923</v>
      </c>
      <c r="D1238">
        <v>25.1575080974489</v>
      </c>
      <c r="E1238">
        <v>111389.203197874</v>
      </c>
      <c r="F1238" s="1">
        <v>46128.099108796298</v>
      </c>
      <c r="G1238">
        <v>52.876708064224601</v>
      </c>
      <c r="H1238" t="s">
        <v>22</v>
      </c>
      <c r="J1238" t="s">
        <v>16</v>
      </c>
      <c r="K1238">
        <v>577007.90534456098</v>
      </c>
      <c r="L1238" t="s">
        <v>17</v>
      </c>
      <c r="M1238">
        <v>-465618.70214668597</v>
      </c>
      <c r="N1238">
        <v>0.193046234143635</v>
      </c>
    </row>
    <row r="1239" spans="2:14" x14ac:dyDescent="0.25">
      <c r="B1239" t="s">
        <v>14</v>
      </c>
      <c r="C1239" s="1">
        <v>46129.999988425923</v>
      </c>
      <c r="D1239">
        <v>25.1575080974489</v>
      </c>
      <c r="E1239">
        <v>111389.203197874</v>
      </c>
      <c r="F1239" s="1">
        <v>46128.099108796298</v>
      </c>
      <c r="G1239">
        <v>52.876708064224601</v>
      </c>
      <c r="H1239" t="s">
        <v>22</v>
      </c>
      <c r="J1239" t="s">
        <v>16</v>
      </c>
      <c r="K1239">
        <v>577007.90534456098</v>
      </c>
      <c r="L1239" t="s">
        <v>17</v>
      </c>
      <c r="M1239">
        <v>0</v>
      </c>
      <c r="N1239">
        <v>0.193046234143635</v>
      </c>
    </row>
    <row r="1240" spans="2:14" x14ac:dyDescent="0.25">
      <c r="B1240" t="s">
        <v>14</v>
      </c>
      <c r="C1240" s="1">
        <v>46128.999988425923</v>
      </c>
      <c r="D1240">
        <v>25.1575080974489</v>
      </c>
      <c r="E1240">
        <v>111389.203197874</v>
      </c>
      <c r="F1240" s="1">
        <v>46128.099108796298</v>
      </c>
      <c r="G1240">
        <v>52.876708064224601</v>
      </c>
      <c r="H1240" t="s">
        <v>22</v>
      </c>
      <c r="J1240" t="s">
        <v>16</v>
      </c>
      <c r="K1240">
        <v>577007.90534456098</v>
      </c>
      <c r="L1240" t="s">
        <v>17</v>
      </c>
      <c r="M1240">
        <v>0</v>
      </c>
      <c r="N1240">
        <v>0.193046234143635</v>
      </c>
    </row>
    <row r="1241" spans="2:14" x14ac:dyDescent="0.25">
      <c r="B1241" t="s">
        <v>14</v>
      </c>
      <c r="C1241" s="1">
        <v>46127.999988425923</v>
      </c>
      <c r="D1241">
        <v>25.1575080974489</v>
      </c>
      <c r="E1241">
        <v>577007.90534456098</v>
      </c>
      <c r="F1241" s="1">
        <v>46125.605486111112</v>
      </c>
      <c r="G1241">
        <v>52.876708064224601</v>
      </c>
      <c r="H1241" t="s">
        <v>22</v>
      </c>
      <c r="J1241" t="s">
        <v>16</v>
      </c>
      <c r="K1241">
        <v>577007.90534456098</v>
      </c>
      <c r="L1241" t="s">
        <v>17</v>
      </c>
      <c r="M1241">
        <v>465618.70214668597</v>
      </c>
      <c r="N1241">
        <v>1</v>
      </c>
    </row>
    <row r="1242" spans="2:14" x14ac:dyDescent="0.25">
      <c r="B1242" t="s">
        <v>14</v>
      </c>
      <c r="C1242" s="1">
        <v>46126.999988425923</v>
      </c>
      <c r="D1242">
        <v>25.1575080974489</v>
      </c>
      <c r="E1242">
        <v>577007.90534456098</v>
      </c>
      <c r="F1242" s="1">
        <v>46125.605486111112</v>
      </c>
      <c r="G1242">
        <v>52.876708064224601</v>
      </c>
      <c r="H1242" t="s">
        <v>22</v>
      </c>
      <c r="J1242" t="s">
        <v>16</v>
      </c>
      <c r="K1242">
        <v>577007.90534456098</v>
      </c>
      <c r="L1242" t="s">
        <v>17</v>
      </c>
      <c r="M1242">
        <v>0</v>
      </c>
      <c r="N1242">
        <v>1</v>
      </c>
    </row>
    <row r="1243" spans="2:14" x14ac:dyDescent="0.25">
      <c r="B1243" t="s">
        <v>14</v>
      </c>
      <c r="C1243" s="1">
        <v>46125.999988425923</v>
      </c>
      <c r="D1243">
        <v>25.1575080974489</v>
      </c>
      <c r="E1243">
        <v>577007.90534456098</v>
      </c>
      <c r="F1243" s="1">
        <v>46125.605486111112</v>
      </c>
      <c r="G1243">
        <v>52.876708064224601</v>
      </c>
      <c r="H1243" t="s">
        <v>22</v>
      </c>
      <c r="J1243" t="s">
        <v>16</v>
      </c>
      <c r="K1243">
        <v>577007.90534456098</v>
      </c>
      <c r="L1243" t="s">
        <v>17</v>
      </c>
      <c r="M1243">
        <v>0</v>
      </c>
      <c r="N1243">
        <v>1</v>
      </c>
    </row>
    <row r="1244" spans="2:14" x14ac:dyDescent="0.25">
      <c r="B1244" t="s">
        <v>14</v>
      </c>
      <c r="C1244" s="1">
        <v>46124.999988425923</v>
      </c>
      <c r="D1244">
        <v>25.1575080974489</v>
      </c>
      <c r="E1244">
        <v>111478.599014138</v>
      </c>
      <c r="F1244" s="1">
        <v>46122.099803240744</v>
      </c>
      <c r="G1244">
        <v>52.876708064224601</v>
      </c>
      <c r="H1244" t="s">
        <v>22</v>
      </c>
      <c r="J1244" t="s">
        <v>16</v>
      </c>
      <c r="K1244">
        <v>577007.90534456098</v>
      </c>
      <c r="L1244" t="s">
        <v>17</v>
      </c>
      <c r="M1244">
        <v>-465529.306330422</v>
      </c>
      <c r="N1244">
        <v>0.193201164111553</v>
      </c>
    </row>
    <row r="1245" spans="2:14" x14ac:dyDescent="0.25">
      <c r="B1245" t="s">
        <v>14</v>
      </c>
      <c r="C1245" s="1">
        <v>46123.999988425923</v>
      </c>
      <c r="D1245">
        <v>25.1575080974489</v>
      </c>
      <c r="E1245">
        <v>111478.599014138</v>
      </c>
      <c r="F1245" s="1">
        <v>46122.099803240744</v>
      </c>
      <c r="G1245">
        <v>52.876708064224601</v>
      </c>
      <c r="H1245" t="s">
        <v>22</v>
      </c>
      <c r="J1245" t="s">
        <v>16</v>
      </c>
      <c r="K1245">
        <v>577007.90534456098</v>
      </c>
      <c r="L1245" t="s">
        <v>17</v>
      </c>
      <c r="M1245">
        <v>0</v>
      </c>
      <c r="N1245">
        <v>0.193201164111553</v>
      </c>
    </row>
    <row r="1246" spans="2:14" x14ac:dyDescent="0.25">
      <c r="B1246" t="s">
        <v>14</v>
      </c>
      <c r="C1246" s="1">
        <v>46122.999988425923</v>
      </c>
      <c r="D1246">
        <v>25.1575080974489</v>
      </c>
      <c r="E1246">
        <v>111478.599014138</v>
      </c>
      <c r="F1246" s="1">
        <v>46122.099803240744</v>
      </c>
      <c r="G1246">
        <v>52.876708064224601</v>
      </c>
      <c r="H1246" t="s">
        <v>22</v>
      </c>
      <c r="J1246" t="s">
        <v>16</v>
      </c>
      <c r="K1246">
        <v>577007.90534456098</v>
      </c>
      <c r="L1246" t="s">
        <v>17</v>
      </c>
      <c r="M1246">
        <v>0</v>
      </c>
      <c r="N1246">
        <v>0.193201164111553</v>
      </c>
    </row>
    <row r="1247" spans="2:14" x14ac:dyDescent="0.25">
      <c r="B1247" t="s">
        <v>14</v>
      </c>
      <c r="C1247" s="1">
        <v>46121.999988425923</v>
      </c>
      <c r="D1247">
        <v>25.1575080974489</v>
      </c>
      <c r="E1247">
        <v>577007.90534456098</v>
      </c>
      <c r="F1247" s="1">
        <v>46119.606296296297</v>
      </c>
      <c r="G1247">
        <v>52.876708064224601</v>
      </c>
      <c r="H1247" t="s">
        <v>22</v>
      </c>
      <c r="J1247" t="s">
        <v>16</v>
      </c>
      <c r="K1247">
        <v>577007.90534456098</v>
      </c>
      <c r="L1247" t="s">
        <v>17</v>
      </c>
      <c r="M1247">
        <v>465529.306330422</v>
      </c>
      <c r="N1247">
        <v>1</v>
      </c>
    </row>
    <row r="1248" spans="2:14" x14ac:dyDescent="0.25">
      <c r="B1248" t="s">
        <v>14</v>
      </c>
      <c r="C1248" s="1">
        <v>46120.999988425923</v>
      </c>
      <c r="D1248">
        <v>25.1575080974489</v>
      </c>
      <c r="E1248">
        <v>577007.90534456098</v>
      </c>
      <c r="F1248" s="1">
        <v>46119.606296296297</v>
      </c>
      <c r="G1248">
        <v>52.876708064224601</v>
      </c>
      <c r="H1248" t="s">
        <v>22</v>
      </c>
      <c r="J1248" t="s">
        <v>16</v>
      </c>
      <c r="K1248">
        <v>577007.90534456098</v>
      </c>
      <c r="L1248" t="s">
        <v>17</v>
      </c>
      <c r="M1248">
        <v>0</v>
      </c>
      <c r="N1248">
        <v>1</v>
      </c>
    </row>
    <row r="1249" spans="2:14" x14ac:dyDescent="0.25">
      <c r="B1249" t="s">
        <v>14</v>
      </c>
      <c r="C1249" s="1">
        <v>46119.999988425923</v>
      </c>
      <c r="D1249">
        <v>25.1575080974489</v>
      </c>
      <c r="E1249">
        <v>577007.90534456098</v>
      </c>
      <c r="F1249" s="1">
        <v>46119.606296296297</v>
      </c>
      <c r="G1249">
        <v>52.876708064224601</v>
      </c>
      <c r="H1249" t="s">
        <v>22</v>
      </c>
      <c r="J1249" t="s">
        <v>16</v>
      </c>
      <c r="K1249">
        <v>577007.90534456098</v>
      </c>
      <c r="L1249" t="s">
        <v>17</v>
      </c>
      <c r="M1249">
        <v>0</v>
      </c>
      <c r="N1249">
        <v>1</v>
      </c>
    </row>
    <row r="1250" spans="2:14" x14ac:dyDescent="0.25">
      <c r="B1250" t="s">
        <v>14</v>
      </c>
      <c r="C1250" s="1">
        <v>46118.999988425923</v>
      </c>
      <c r="D1250">
        <v>25.1575080974489</v>
      </c>
      <c r="E1250">
        <v>111528.42709585901</v>
      </c>
      <c r="F1250" s="1">
        <v>46116.099108796298</v>
      </c>
      <c r="G1250">
        <v>52.876708064224601</v>
      </c>
      <c r="H1250" t="s">
        <v>22</v>
      </c>
      <c r="J1250" t="s">
        <v>16</v>
      </c>
      <c r="K1250">
        <v>577007.90534456098</v>
      </c>
      <c r="L1250" t="s">
        <v>17</v>
      </c>
      <c r="M1250">
        <v>-465479.47824870102</v>
      </c>
      <c r="N1250">
        <v>0.19328752008910499</v>
      </c>
    </row>
    <row r="1251" spans="2:14" x14ac:dyDescent="0.25">
      <c r="B1251" t="s">
        <v>14</v>
      </c>
      <c r="C1251" s="1">
        <v>46117.999988425923</v>
      </c>
      <c r="D1251">
        <v>25.1575080974489</v>
      </c>
      <c r="E1251">
        <v>111528.42709585901</v>
      </c>
      <c r="F1251" s="1">
        <v>46116.099108796298</v>
      </c>
      <c r="G1251">
        <v>52.876708064224601</v>
      </c>
      <c r="H1251" t="s">
        <v>22</v>
      </c>
      <c r="J1251" t="s">
        <v>16</v>
      </c>
      <c r="K1251">
        <v>577007.90534456098</v>
      </c>
      <c r="L1251" t="s">
        <v>17</v>
      </c>
      <c r="M1251">
        <v>0</v>
      </c>
      <c r="N1251">
        <v>0.19328752008910499</v>
      </c>
    </row>
    <row r="1252" spans="2:14" x14ac:dyDescent="0.25">
      <c r="B1252" t="s">
        <v>14</v>
      </c>
      <c r="C1252" s="1">
        <v>46116.999988425923</v>
      </c>
      <c r="D1252">
        <v>25.1575080974489</v>
      </c>
      <c r="E1252">
        <v>111528.42709585901</v>
      </c>
      <c r="F1252" s="1">
        <v>46116.099108796298</v>
      </c>
      <c r="G1252">
        <v>52.876708064224601</v>
      </c>
      <c r="H1252" t="s">
        <v>22</v>
      </c>
      <c r="J1252" t="s">
        <v>16</v>
      </c>
      <c r="K1252">
        <v>577007.90534456098</v>
      </c>
      <c r="L1252" t="s">
        <v>17</v>
      </c>
      <c r="M1252">
        <v>0</v>
      </c>
      <c r="N1252">
        <v>0.19328752008910499</v>
      </c>
    </row>
    <row r="1253" spans="2:14" x14ac:dyDescent="0.25">
      <c r="B1253" t="s">
        <v>14</v>
      </c>
      <c r="C1253" s="1">
        <v>46115.999988425923</v>
      </c>
      <c r="D1253">
        <v>25.1575080974489</v>
      </c>
      <c r="E1253">
        <v>118852.846246093</v>
      </c>
      <c r="F1253" s="1">
        <v>46113.605474537035</v>
      </c>
      <c r="G1253">
        <v>52.876708064224601</v>
      </c>
      <c r="H1253" t="s">
        <v>22</v>
      </c>
      <c r="J1253" t="s">
        <v>16</v>
      </c>
      <c r="K1253">
        <v>577007.90534456098</v>
      </c>
      <c r="L1253" t="s">
        <v>17</v>
      </c>
      <c r="M1253">
        <v>7324.4191502336698</v>
      </c>
      <c r="N1253">
        <v>0.205981313505782</v>
      </c>
    </row>
    <row r="1254" spans="2:14" x14ac:dyDescent="0.25">
      <c r="B1254" t="s">
        <v>14</v>
      </c>
      <c r="C1254" s="1">
        <v>46114.999988425923</v>
      </c>
      <c r="D1254">
        <v>25.1575080974489</v>
      </c>
      <c r="E1254">
        <v>118852.846246093</v>
      </c>
      <c r="F1254" s="1">
        <v>46113.605474537035</v>
      </c>
      <c r="G1254">
        <v>52.876708064224601</v>
      </c>
      <c r="H1254" t="s">
        <v>22</v>
      </c>
      <c r="J1254" t="s">
        <v>16</v>
      </c>
      <c r="K1254">
        <v>577007.90534456098</v>
      </c>
      <c r="L1254" t="s">
        <v>17</v>
      </c>
      <c r="M1254">
        <v>0</v>
      </c>
      <c r="N1254">
        <v>0.205981313505782</v>
      </c>
    </row>
    <row r="1255" spans="2:14" x14ac:dyDescent="0.25">
      <c r="B1255" t="s">
        <v>14</v>
      </c>
      <c r="C1255" s="1">
        <v>46113.999988425923</v>
      </c>
      <c r="D1255">
        <v>25.1575080974489</v>
      </c>
      <c r="E1255">
        <v>118852.846246093</v>
      </c>
      <c r="F1255" s="1">
        <v>46113.605474537035</v>
      </c>
      <c r="G1255">
        <v>52.876708064224601</v>
      </c>
      <c r="H1255" t="s">
        <v>22</v>
      </c>
      <c r="J1255" t="s">
        <v>16</v>
      </c>
      <c r="K1255">
        <v>577007.90534456098</v>
      </c>
      <c r="L1255" t="s">
        <v>17</v>
      </c>
      <c r="M1255">
        <v>0</v>
      </c>
      <c r="N1255">
        <v>0.205981313505782</v>
      </c>
    </row>
    <row r="1256" spans="2:14" x14ac:dyDescent="0.25">
      <c r="B1256" t="s">
        <v>14</v>
      </c>
      <c r="C1256" s="1">
        <v>46112.999988425923</v>
      </c>
      <c r="D1256">
        <v>25.1575080974489</v>
      </c>
      <c r="E1256">
        <v>108948.766658423</v>
      </c>
      <c r="F1256" s="1">
        <v>46110.099803240744</v>
      </c>
      <c r="G1256">
        <v>52.876708064224601</v>
      </c>
      <c r="H1256" t="s">
        <v>22</v>
      </c>
      <c r="J1256" t="s">
        <v>16</v>
      </c>
      <c r="K1256">
        <v>577007.90534456098</v>
      </c>
      <c r="L1256" t="s">
        <v>17</v>
      </c>
      <c r="M1256">
        <v>-9904.0795876698594</v>
      </c>
      <c r="N1256">
        <v>0.188816766025699</v>
      </c>
    </row>
    <row r="1257" spans="2:14" x14ac:dyDescent="0.25">
      <c r="B1257" t="s">
        <v>14</v>
      </c>
      <c r="C1257" s="1">
        <v>46111.999988425923</v>
      </c>
      <c r="D1257">
        <v>25.1575080974489</v>
      </c>
      <c r="E1257">
        <v>108948.766658423</v>
      </c>
      <c r="F1257" s="1">
        <v>46110.099803240744</v>
      </c>
      <c r="G1257">
        <v>52.876708064224601</v>
      </c>
      <c r="H1257" t="s">
        <v>22</v>
      </c>
      <c r="J1257" t="s">
        <v>16</v>
      </c>
      <c r="K1257">
        <v>577007.90534456098</v>
      </c>
      <c r="L1257" t="s">
        <v>17</v>
      </c>
      <c r="M1257">
        <v>0</v>
      </c>
      <c r="N1257">
        <v>0.188816766025699</v>
      </c>
    </row>
    <row r="1258" spans="2:14" x14ac:dyDescent="0.25">
      <c r="B1258" t="s">
        <v>14</v>
      </c>
      <c r="C1258" s="1">
        <v>46110.999988425923</v>
      </c>
      <c r="D1258">
        <v>25.1575080974489</v>
      </c>
      <c r="E1258">
        <v>108948.766658423</v>
      </c>
      <c r="F1258" s="1">
        <v>46110.099803240744</v>
      </c>
      <c r="G1258">
        <v>52.876708064224601</v>
      </c>
      <c r="H1258" t="s">
        <v>22</v>
      </c>
      <c r="J1258" t="s">
        <v>16</v>
      </c>
      <c r="K1258">
        <v>577007.90534456098</v>
      </c>
      <c r="L1258" t="s">
        <v>17</v>
      </c>
      <c r="M1258">
        <v>0</v>
      </c>
      <c r="N1258">
        <v>0.188816766025699</v>
      </c>
    </row>
    <row r="1259" spans="2:14" x14ac:dyDescent="0.25">
      <c r="B1259" t="s">
        <v>14</v>
      </c>
      <c r="C1259" s="1">
        <v>46109.999988425923</v>
      </c>
      <c r="D1259">
        <v>25.1575080974489</v>
      </c>
      <c r="E1259">
        <v>117362.510916535</v>
      </c>
      <c r="F1259" s="1">
        <v>46107.606296296297</v>
      </c>
      <c r="G1259">
        <v>52.876708064224601</v>
      </c>
      <c r="H1259" t="s">
        <v>22</v>
      </c>
      <c r="J1259" t="s">
        <v>16</v>
      </c>
      <c r="K1259">
        <v>577007.90534456098</v>
      </c>
      <c r="L1259" t="s">
        <v>17</v>
      </c>
      <c r="M1259">
        <v>8413.7442581119194</v>
      </c>
      <c r="N1259">
        <v>0.20339844537563401</v>
      </c>
    </row>
    <row r="1260" spans="2:14" x14ac:dyDescent="0.25">
      <c r="B1260" t="s">
        <v>14</v>
      </c>
      <c r="C1260" s="1">
        <v>46108.999988425923</v>
      </c>
      <c r="D1260">
        <v>25.1575080974489</v>
      </c>
      <c r="E1260">
        <v>117362.510916535</v>
      </c>
      <c r="F1260" s="1">
        <v>46107.606296296297</v>
      </c>
      <c r="G1260">
        <v>52.876708064224601</v>
      </c>
      <c r="H1260" t="s">
        <v>22</v>
      </c>
      <c r="J1260" t="s">
        <v>16</v>
      </c>
      <c r="K1260">
        <v>577007.90534456098</v>
      </c>
      <c r="L1260" t="s">
        <v>17</v>
      </c>
      <c r="M1260">
        <v>0</v>
      </c>
      <c r="N1260">
        <v>0.20339844537563401</v>
      </c>
    </row>
    <row r="1261" spans="2:14" x14ac:dyDescent="0.25">
      <c r="B1261" t="s">
        <v>14</v>
      </c>
      <c r="C1261" s="1">
        <v>46107.999988425923</v>
      </c>
      <c r="D1261">
        <v>25.1575080974489</v>
      </c>
      <c r="E1261">
        <v>117362.510916535</v>
      </c>
      <c r="F1261" s="1">
        <v>46107.606296296297</v>
      </c>
      <c r="G1261">
        <v>52.876708064224601</v>
      </c>
      <c r="H1261" t="s">
        <v>22</v>
      </c>
      <c r="J1261" t="s">
        <v>16</v>
      </c>
      <c r="K1261">
        <v>577007.90534456098</v>
      </c>
      <c r="L1261" t="s">
        <v>17</v>
      </c>
      <c r="M1261">
        <v>0</v>
      </c>
      <c r="N1261">
        <v>0.20339844537563401</v>
      </c>
    </row>
    <row r="1262" spans="2:14" x14ac:dyDescent="0.25">
      <c r="B1262" t="s">
        <v>14</v>
      </c>
      <c r="C1262" s="1">
        <v>46106.999988425923</v>
      </c>
      <c r="D1262">
        <v>25.1575080974489</v>
      </c>
      <c r="E1262">
        <v>109276.151384472</v>
      </c>
      <c r="F1262" s="1">
        <v>46104.099108796298</v>
      </c>
      <c r="G1262">
        <v>52.876708064224601</v>
      </c>
      <c r="H1262" t="s">
        <v>22</v>
      </c>
      <c r="J1262" t="s">
        <v>16</v>
      </c>
      <c r="K1262">
        <v>577007.90534456098</v>
      </c>
      <c r="L1262" t="s">
        <v>17</v>
      </c>
      <c r="M1262">
        <v>-8086.3595320628301</v>
      </c>
      <c r="N1262">
        <v>0.18938414945843299</v>
      </c>
    </row>
    <row r="1263" spans="2:14" x14ac:dyDescent="0.25">
      <c r="B1263" t="s">
        <v>14</v>
      </c>
      <c r="C1263" s="1">
        <v>46105.999988425923</v>
      </c>
      <c r="D1263">
        <v>25.1575080974489</v>
      </c>
      <c r="E1263">
        <v>109276.151384472</v>
      </c>
      <c r="F1263" s="1">
        <v>46104.099108796298</v>
      </c>
      <c r="G1263">
        <v>52.876708064224601</v>
      </c>
      <c r="H1263" t="s">
        <v>22</v>
      </c>
      <c r="J1263" t="s">
        <v>16</v>
      </c>
      <c r="K1263">
        <v>577007.90534456098</v>
      </c>
      <c r="L1263" t="s">
        <v>17</v>
      </c>
      <c r="M1263">
        <v>0</v>
      </c>
      <c r="N1263">
        <v>0.18938414945843299</v>
      </c>
    </row>
    <row r="1264" spans="2:14" x14ac:dyDescent="0.25">
      <c r="B1264" t="s">
        <v>14</v>
      </c>
      <c r="C1264" s="1">
        <v>46104.999988425923</v>
      </c>
      <c r="D1264">
        <v>25.1575080974489</v>
      </c>
      <c r="E1264">
        <v>109276.151384472</v>
      </c>
      <c r="F1264" s="1">
        <v>46104.099108796298</v>
      </c>
      <c r="G1264">
        <v>52.876708064224601</v>
      </c>
      <c r="H1264" t="s">
        <v>22</v>
      </c>
      <c r="J1264" t="s">
        <v>16</v>
      </c>
      <c r="K1264">
        <v>577007.90534456098</v>
      </c>
      <c r="L1264" t="s">
        <v>17</v>
      </c>
      <c r="M1264">
        <v>0</v>
      </c>
      <c r="N1264">
        <v>0.18938414945843299</v>
      </c>
    </row>
    <row r="1265" spans="2:14" x14ac:dyDescent="0.25">
      <c r="B1265" t="s">
        <v>14</v>
      </c>
      <c r="C1265" s="1">
        <v>46103.999988425923</v>
      </c>
      <c r="D1265">
        <v>25.1575080974489</v>
      </c>
      <c r="E1265">
        <v>577007.90534456098</v>
      </c>
      <c r="F1265" s="1">
        <v>46101.605474537035</v>
      </c>
      <c r="G1265">
        <v>52.876708064224601</v>
      </c>
      <c r="H1265" t="s">
        <v>22</v>
      </c>
      <c r="J1265" t="s">
        <v>16</v>
      </c>
      <c r="K1265">
        <v>577007.90534456098</v>
      </c>
      <c r="L1265" t="s">
        <v>17</v>
      </c>
      <c r="M1265">
        <v>467731.753960089</v>
      </c>
      <c r="N1265">
        <v>1</v>
      </c>
    </row>
    <row r="1266" spans="2:14" x14ac:dyDescent="0.25">
      <c r="B1266" t="s">
        <v>14</v>
      </c>
      <c r="C1266" s="1">
        <v>46102.999988425923</v>
      </c>
      <c r="D1266">
        <v>25.1575080974489</v>
      </c>
      <c r="E1266">
        <v>577007.90534456098</v>
      </c>
      <c r="F1266" s="1">
        <v>46101.605474537035</v>
      </c>
      <c r="G1266">
        <v>52.876708064224601</v>
      </c>
      <c r="H1266" t="s">
        <v>22</v>
      </c>
      <c r="J1266" t="s">
        <v>16</v>
      </c>
      <c r="K1266">
        <v>577007.90534456098</v>
      </c>
      <c r="L1266" t="s">
        <v>17</v>
      </c>
      <c r="M1266">
        <v>0</v>
      </c>
      <c r="N1266">
        <v>1</v>
      </c>
    </row>
    <row r="1267" spans="2:14" x14ac:dyDescent="0.25">
      <c r="B1267" t="s">
        <v>14</v>
      </c>
      <c r="C1267" s="1">
        <v>46101.999988425923</v>
      </c>
      <c r="D1267">
        <v>25.1575080974489</v>
      </c>
      <c r="E1267">
        <v>577007.90534456098</v>
      </c>
      <c r="F1267" s="1">
        <v>46101.605474537035</v>
      </c>
      <c r="G1267">
        <v>52.876708064224601</v>
      </c>
      <c r="H1267" t="s">
        <v>22</v>
      </c>
      <c r="J1267" t="s">
        <v>16</v>
      </c>
      <c r="K1267">
        <v>577007.90534456098</v>
      </c>
      <c r="L1267" t="s">
        <v>17</v>
      </c>
      <c r="M1267">
        <v>0</v>
      </c>
      <c r="N1267">
        <v>1</v>
      </c>
    </row>
    <row r="1268" spans="2:14" x14ac:dyDescent="0.25">
      <c r="B1268" t="s">
        <v>14</v>
      </c>
      <c r="C1268" s="1">
        <v>46100.999988425923</v>
      </c>
      <c r="D1268">
        <v>25.1575080974489</v>
      </c>
      <c r="E1268">
        <v>109438.37254821</v>
      </c>
      <c r="F1268" s="1">
        <v>46098.099803240744</v>
      </c>
      <c r="G1268">
        <v>52.876708064224601</v>
      </c>
      <c r="H1268" t="s">
        <v>22</v>
      </c>
      <c r="J1268" t="s">
        <v>16</v>
      </c>
      <c r="K1268">
        <v>577007.90534456098</v>
      </c>
      <c r="L1268" t="s">
        <v>17</v>
      </c>
      <c r="M1268">
        <v>-467569.53279635002</v>
      </c>
      <c r="N1268">
        <v>0.189665291470936</v>
      </c>
    </row>
    <row r="1269" spans="2:14" x14ac:dyDescent="0.25">
      <c r="B1269" t="s">
        <v>14</v>
      </c>
      <c r="C1269" s="1">
        <v>46099.999988425923</v>
      </c>
      <c r="D1269">
        <v>25.1575080974489</v>
      </c>
      <c r="E1269">
        <v>109438.37254821</v>
      </c>
      <c r="F1269" s="1">
        <v>46098.099803240744</v>
      </c>
      <c r="G1269">
        <v>52.876708064224601</v>
      </c>
      <c r="H1269" t="s">
        <v>22</v>
      </c>
      <c r="J1269" t="s">
        <v>16</v>
      </c>
      <c r="K1269">
        <v>577007.90534456098</v>
      </c>
      <c r="L1269" t="s">
        <v>17</v>
      </c>
      <c r="M1269">
        <v>0</v>
      </c>
      <c r="N1269">
        <v>0.189665291470936</v>
      </c>
    </row>
    <row r="1270" spans="2:14" x14ac:dyDescent="0.25">
      <c r="B1270" t="s">
        <v>14</v>
      </c>
      <c r="C1270" s="1">
        <v>46098.999988425923</v>
      </c>
      <c r="D1270">
        <v>25.1575080974489</v>
      </c>
      <c r="E1270">
        <v>109438.37254821</v>
      </c>
      <c r="F1270" s="1">
        <v>46098.099803240744</v>
      </c>
      <c r="G1270">
        <v>52.876708064224601</v>
      </c>
      <c r="H1270" t="s">
        <v>22</v>
      </c>
      <c r="J1270" t="s">
        <v>16</v>
      </c>
      <c r="K1270">
        <v>577007.90534456098</v>
      </c>
      <c r="L1270" t="s">
        <v>17</v>
      </c>
      <c r="M1270">
        <v>0</v>
      </c>
      <c r="N1270">
        <v>0.189665291470936</v>
      </c>
    </row>
    <row r="1271" spans="2:14" x14ac:dyDescent="0.25">
      <c r="B1271" t="s">
        <v>14</v>
      </c>
      <c r="C1271" s="1">
        <v>46097.999988425923</v>
      </c>
      <c r="D1271">
        <v>25.1575080974489</v>
      </c>
      <c r="E1271">
        <v>577007.90534456098</v>
      </c>
      <c r="F1271" s="1">
        <v>46095.606296296297</v>
      </c>
      <c r="G1271">
        <v>52.876708064224601</v>
      </c>
      <c r="H1271" t="s">
        <v>22</v>
      </c>
      <c r="J1271" t="s">
        <v>16</v>
      </c>
      <c r="K1271">
        <v>577007.90534456098</v>
      </c>
      <c r="L1271" t="s">
        <v>17</v>
      </c>
      <c r="M1271">
        <v>467569.53279635002</v>
      </c>
      <c r="N1271">
        <v>1</v>
      </c>
    </row>
    <row r="1272" spans="2:14" x14ac:dyDescent="0.25">
      <c r="B1272" t="s">
        <v>14</v>
      </c>
      <c r="C1272" s="1">
        <v>46096.999988425923</v>
      </c>
      <c r="D1272">
        <v>25.1575080974489</v>
      </c>
      <c r="E1272">
        <v>577007.90534456098</v>
      </c>
      <c r="F1272" s="1">
        <v>46095.606296296297</v>
      </c>
      <c r="G1272">
        <v>52.876708064224601</v>
      </c>
      <c r="H1272" t="s">
        <v>22</v>
      </c>
      <c r="J1272" t="s">
        <v>16</v>
      </c>
      <c r="K1272">
        <v>577007.90534456098</v>
      </c>
      <c r="L1272" t="s">
        <v>17</v>
      </c>
      <c r="M1272">
        <v>0</v>
      </c>
      <c r="N1272">
        <v>1</v>
      </c>
    </row>
    <row r="1273" spans="2:14" x14ac:dyDescent="0.25">
      <c r="B1273" t="s">
        <v>14</v>
      </c>
      <c r="C1273" s="1">
        <v>46095.999988425923</v>
      </c>
      <c r="D1273">
        <v>25.1575080974489</v>
      </c>
      <c r="E1273">
        <v>577007.90534456098</v>
      </c>
      <c r="F1273" s="1">
        <v>46095.606296296297</v>
      </c>
      <c r="G1273">
        <v>52.876708064224601</v>
      </c>
      <c r="H1273" t="s">
        <v>22</v>
      </c>
      <c r="J1273" t="s">
        <v>16</v>
      </c>
      <c r="K1273">
        <v>577007.90534456098</v>
      </c>
      <c r="L1273" t="s">
        <v>17</v>
      </c>
      <c r="M1273">
        <v>0</v>
      </c>
      <c r="N1273">
        <v>1</v>
      </c>
    </row>
    <row r="1274" spans="2:14" x14ac:dyDescent="0.25">
      <c r="B1274" t="s">
        <v>14</v>
      </c>
      <c r="C1274" s="1">
        <v>46094.999988425923</v>
      </c>
      <c r="D1274">
        <v>25.1575080974489</v>
      </c>
      <c r="E1274">
        <v>111919.745937913</v>
      </c>
      <c r="F1274" s="1">
        <v>46092.099097222221</v>
      </c>
      <c r="G1274">
        <v>52.876708064224601</v>
      </c>
      <c r="H1274" t="s">
        <v>22</v>
      </c>
      <c r="J1274" t="s">
        <v>16</v>
      </c>
      <c r="K1274">
        <v>577007.90534456098</v>
      </c>
      <c r="L1274" t="s">
        <v>17</v>
      </c>
      <c r="M1274">
        <v>-465088.15940664802</v>
      </c>
      <c r="N1274">
        <v>0.19396570636424801</v>
      </c>
    </row>
    <row r="1275" spans="2:14" x14ac:dyDescent="0.25">
      <c r="B1275" t="s">
        <v>14</v>
      </c>
      <c r="C1275" s="1">
        <v>46093.999988425923</v>
      </c>
      <c r="D1275">
        <v>25.1575080974489</v>
      </c>
      <c r="E1275">
        <v>111919.745937913</v>
      </c>
      <c r="F1275" s="1">
        <v>46092.099097222221</v>
      </c>
      <c r="G1275">
        <v>52.876708064224601</v>
      </c>
      <c r="H1275" t="s">
        <v>22</v>
      </c>
      <c r="J1275" t="s">
        <v>16</v>
      </c>
      <c r="K1275">
        <v>577007.90534456098</v>
      </c>
      <c r="L1275" t="s">
        <v>17</v>
      </c>
      <c r="M1275">
        <v>0</v>
      </c>
      <c r="N1275">
        <v>0.19396570636424801</v>
      </c>
    </row>
    <row r="1276" spans="2:14" x14ac:dyDescent="0.25">
      <c r="B1276" t="s">
        <v>14</v>
      </c>
      <c r="C1276" s="1">
        <v>46092.999988425923</v>
      </c>
      <c r="D1276">
        <v>25.1575080974489</v>
      </c>
      <c r="E1276">
        <v>111919.745937913</v>
      </c>
      <c r="F1276" s="1">
        <v>46092.099097222221</v>
      </c>
      <c r="G1276">
        <v>52.876708064224601</v>
      </c>
      <c r="H1276" t="s">
        <v>22</v>
      </c>
      <c r="J1276" t="s">
        <v>16</v>
      </c>
      <c r="K1276">
        <v>577007.90534456098</v>
      </c>
      <c r="L1276" t="s">
        <v>17</v>
      </c>
      <c r="M1276">
        <v>0</v>
      </c>
      <c r="N1276">
        <v>0.19396570636424801</v>
      </c>
    </row>
    <row r="1277" spans="2:14" x14ac:dyDescent="0.25">
      <c r="B1277" t="s">
        <v>14</v>
      </c>
      <c r="C1277" s="1">
        <v>46091.999988425923</v>
      </c>
      <c r="D1277">
        <v>25.1575080974489</v>
      </c>
      <c r="E1277">
        <v>577007.90534456098</v>
      </c>
      <c r="F1277" s="1">
        <v>46089.605474537035</v>
      </c>
      <c r="G1277">
        <v>52.876708064224601</v>
      </c>
      <c r="H1277" t="s">
        <v>22</v>
      </c>
      <c r="J1277" t="s">
        <v>16</v>
      </c>
      <c r="K1277">
        <v>577007.90534456098</v>
      </c>
      <c r="L1277" t="s">
        <v>17</v>
      </c>
      <c r="M1277">
        <v>465088.15940664802</v>
      </c>
      <c r="N1277">
        <v>1</v>
      </c>
    </row>
    <row r="1278" spans="2:14" x14ac:dyDescent="0.25">
      <c r="B1278" t="s">
        <v>14</v>
      </c>
      <c r="C1278" s="1">
        <v>46090.999988425923</v>
      </c>
      <c r="D1278">
        <v>25.1575080974489</v>
      </c>
      <c r="E1278">
        <v>577007.90534456098</v>
      </c>
      <c r="F1278" s="1">
        <v>46089.605474537035</v>
      </c>
      <c r="G1278">
        <v>52.876708064224601</v>
      </c>
      <c r="H1278" t="s">
        <v>22</v>
      </c>
      <c r="J1278" t="s">
        <v>16</v>
      </c>
      <c r="K1278">
        <v>577007.90534456098</v>
      </c>
      <c r="L1278" t="s">
        <v>17</v>
      </c>
      <c r="M1278">
        <v>0</v>
      </c>
      <c r="N1278">
        <v>1</v>
      </c>
    </row>
    <row r="1279" spans="2:14" x14ac:dyDescent="0.25">
      <c r="B1279" t="s">
        <v>14</v>
      </c>
      <c r="C1279" s="1">
        <v>46089.999988425923</v>
      </c>
      <c r="D1279">
        <v>25.1575080974489</v>
      </c>
      <c r="E1279">
        <v>577007.90534456098</v>
      </c>
      <c r="F1279" s="1">
        <v>46089.605474537035</v>
      </c>
      <c r="G1279">
        <v>52.876708064224601</v>
      </c>
      <c r="H1279" t="s">
        <v>22</v>
      </c>
      <c r="J1279" t="s">
        <v>16</v>
      </c>
      <c r="K1279">
        <v>577007.90534456098</v>
      </c>
      <c r="L1279" t="s">
        <v>17</v>
      </c>
      <c r="M1279">
        <v>0</v>
      </c>
      <c r="N1279">
        <v>1</v>
      </c>
    </row>
    <row r="1280" spans="2:14" x14ac:dyDescent="0.25">
      <c r="B1280" t="s">
        <v>14</v>
      </c>
      <c r="C1280" s="1">
        <v>46088.999988425923</v>
      </c>
      <c r="D1280">
        <v>25.1575080974489</v>
      </c>
      <c r="E1280">
        <v>112662.19061188</v>
      </c>
      <c r="F1280" s="1">
        <v>46086.099803240744</v>
      </c>
      <c r="G1280">
        <v>52.876708064224601</v>
      </c>
      <c r="H1280" t="s">
        <v>22</v>
      </c>
      <c r="J1280" t="s">
        <v>16</v>
      </c>
      <c r="K1280">
        <v>577007.90534456098</v>
      </c>
      <c r="L1280" t="s">
        <v>17</v>
      </c>
      <c r="M1280">
        <v>-464345.71473268099</v>
      </c>
      <c r="N1280">
        <v>0.195252421272467</v>
      </c>
    </row>
    <row r="1281" spans="2:14" x14ac:dyDescent="0.25">
      <c r="B1281" t="s">
        <v>14</v>
      </c>
      <c r="C1281" s="1">
        <v>46087.999988425923</v>
      </c>
      <c r="D1281">
        <v>25.1575080974489</v>
      </c>
      <c r="E1281">
        <v>112662.19061188</v>
      </c>
      <c r="F1281" s="1">
        <v>46086.099803240744</v>
      </c>
      <c r="G1281">
        <v>52.876708064224601</v>
      </c>
      <c r="H1281" t="s">
        <v>22</v>
      </c>
      <c r="J1281" t="s">
        <v>16</v>
      </c>
      <c r="K1281">
        <v>577007.90534456098</v>
      </c>
      <c r="L1281" t="s">
        <v>17</v>
      </c>
      <c r="M1281">
        <v>0</v>
      </c>
      <c r="N1281">
        <v>0.195252421272467</v>
      </c>
    </row>
    <row r="1282" spans="2:14" x14ac:dyDescent="0.25">
      <c r="B1282" t="s">
        <v>14</v>
      </c>
      <c r="C1282" s="1">
        <v>46086.999988425923</v>
      </c>
      <c r="D1282">
        <v>25.1575080974489</v>
      </c>
      <c r="E1282">
        <v>112662.19061188</v>
      </c>
      <c r="F1282" s="1">
        <v>46086.099803240744</v>
      </c>
      <c r="G1282">
        <v>52.876708064224601</v>
      </c>
      <c r="H1282" t="s">
        <v>22</v>
      </c>
      <c r="J1282" t="s">
        <v>16</v>
      </c>
      <c r="K1282">
        <v>577007.90534456098</v>
      </c>
      <c r="L1282" t="s">
        <v>17</v>
      </c>
      <c r="M1282">
        <v>0</v>
      </c>
      <c r="N1282">
        <v>0.195252421272467</v>
      </c>
    </row>
    <row r="1283" spans="2:14" x14ac:dyDescent="0.25">
      <c r="B1283" t="s">
        <v>14</v>
      </c>
      <c r="C1283" s="1">
        <v>46085.999988425923</v>
      </c>
      <c r="D1283">
        <v>25.1575080974489</v>
      </c>
      <c r="E1283">
        <v>577007.90534456098</v>
      </c>
      <c r="F1283" s="1">
        <v>46083.60628472222</v>
      </c>
      <c r="G1283">
        <v>52.876708064224601</v>
      </c>
      <c r="H1283" t="s">
        <v>22</v>
      </c>
      <c r="J1283" t="s">
        <v>16</v>
      </c>
      <c r="K1283">
        <v>577007.90534456098</v>
      </c>
      <c r="L1283" t="s">
        <v>17</v>
      </c>
      <c r="M1283">
        <v>464345.71473268099</v>
      </c>
      <c r="N1283">
        <v>1</v>
      </c>
    </row>
    <row r="1284" spans="2:14" x14ac:dyDescent="0.25">
      <c r="B1284" t="s">
        <v>14</v>
      </c>
      <c r="C1284" s="1">
        <v>46084.999988425923</v>
      </c>
      <c r="D1284">
        <v>25.1575080974489</v>
      </c>
      <c r="E1284">
        <v>577007.90534456098</v>
      </c>
      <c r="F1284" s="1">
        <v>46083.60628472222</v>
      </c>
      <c r="G1284">
        <v>52.876708064224601</v>
      </c>
      <c r="H1284" t="s">
        <v>22</v>
      </c>
      <c r="J1284" t="s">
        <v>16</v>
      </c>
      <c r="K1284">
        <v>577007.90534456098</v>
      </c>
      <c r="L1284" t="s">
        <v>17</v>
      </c>
      <c r="M1284">
        <v>0</v>
      </c>
      <c r="N1284">
        <v>1</v>
      </c>
    </row>
    <row r="1285" spans="2:14" x14ac:dyDescent="0.25">
      <c r="B1285" t="s">
        <v>14</v>
      </c>
      <c r="C1285" s="1">
        <v>46083.999988425923</v>
      </c>
      <c r="D1285">
        <v>25.1575080974489</v>
      </c>
      <c r="E1285">
        <v>577007.90534456098</v>
      </c>
      <c r="F1285" s="1">
        <v>46083.60628472222</v>
      </c>
      <c r="G1285">
        <v>52.876708064224601</v>
      </c>
      <c r="H1285" t="s">
        <v>22</v>
      </c>
      <c r="J1285" t="s">
        <v>16</v>
      </c>
      <c r="K1285">
        <v>577007.90534456098</v>
      </c>
      <c r="L1285" t="s">
        <v>17</v>
      </c>
      <c r="M1285">
        <v>0</v>
      </c>
      <c r="N1285">
        <v>1</v>
      </c>
    </row>
    <row r="1286" spans="2:14" x14ac:dyDescent="0.25">
      <c r="B1286" t="s">
        <v>14</v>
      </c>
      <c r="C1286" s="1">
        <v>46082.999988425923</v>
      </c>
      <c r="D1286">
        <v>25.1575080974489</v>
      </c>
      <c r="E1286">
        <v>109125.672766073</v>
      </c>
      <c r="F1286" s="1">
        <v>46080.099097222221</v>
      </c>
      <c r="G1286">
        <v>52.876708064224601</v>
      </c>
      <c r="H1286" t="s">
        <v>22</v>
      </c>
      <c r="J1286" t="s">
        <v>16</v>
      </c>
      <c r="K1286">
        <v>577007.90534456098</v>
      </c>
      <c r="L1286" t="s">
        <v>17</v>
      </c>
      <c r="M1286">
        <v>-467882.23257848801</v>
      </c>
      <c r="N1286">
        <v>0.189123358198894</v>
      </c>
    </row>
    <row r="1287" spans="2:14" x14ac:dyDescent="0.25">
      <c r="B1287" t="s">
        <v>14</v>
      </c>
      <c r="C1287" s="1">
        <v>46081.999988425923</v>
      </c>
      <c r="D1287">
        <v>25.1575080974489</v>
      </c>
      <c r="E1287">
        <v>109125.672766073</v>
      </c>
      <c r="F1287" s="1">
        <v>46080.099097222221</v>
      </c>
      <c r="G1287">
        <v>52.876708064224601</v>
      </c>
      <c r="H1287" t="s">
        <v>22</v>
      </c>
      <c r="J1287" t="s">
        <v>16</v>
      </c>
      <c r="K1287">
        <v>577007.90534456098</v>
      </c>
      <c r="L1287" t="s">
        <v>17</v>
      </c>
      <c r="M1287">
        <v>0</v>
      </c>
      <c r="N1287">
        <v>0.189123358198894</v>
      </c>
    </row>
    <row r="1288" spans="2:14" x14ac:dyDescent="0.25">
      <c r="B1288" t="s">
        <v>14</v>
      </c>
      <c r="C1288" s="1">
        <v>46080.999988425923</v>
      </c>
      <c r="D1288">
        <v>25.1575080974489</v>
      </c>
      <c r="E1288">
        <v>109125.672766073</v>
      </c>
      <c r="F1288" s="1">
        <v>46080.099097222221</v>
      </c>
      <c r="G1288">
        <v>52.876708064224601</v>
      </c>
      <c r="H1288" t="s">
        <v>22</v>
      </c>
      <c r="J1288" t="s">
        <v>16</v>
      </c>
      <c r="K1288">
        <v>577007.90534456098</v>
      </c>
      <c r="L1288" t="s">
        <v>17</v>
      </c>
      <c r="M1288">
        <v>0</v>
      </c>
      <c r="N1288">
        <v>0.189123358198894</v>
      </c>
    </row>
    <row r="1289" spans="2:14" x14ac:dyDescent="0.25">
      <c r="B1289" t="s">
        <v>14</v>
      </c>
      <c r="C1289" s="1">
        <v>46079.999988425923</v>
      </c>
      <c r="D1289">
        <v>25.1575080974489</v>
      </c>
      <c r="E1289">
        <v>577007.90534456098</v>
      </c>
      <c r="F1289" s="1">
        <v>46077.605474537035</v>
      </c>
      <c r="G1289">
        <v>52.876708064224601</v>
      </c>
      <c r="H1289" t="s">
        <v>22</v>
      </c>
      <c r="J1289" t="s">
        <v>16</v>
      </c>
      <c r="K1289">
        <v>577007.90534456098</v>
      </c>
      <c r="L1289" t="s">
        <v>17</v>
      </c>
      <c r="M1289">
        <v>467882.23257848801</v>
      </c>
      <c r="N1289">
        <v>1</v>
      </c>
    </row>
    <row r="1290" spans="2:14" x14ac:dyDescent="0.25">
      <c r="B1290" t="s">
        <v>14</v>
      </c>
      <c r="C1290" s="1">
        <v>46078.999988425923</v>
      </c>
      <c r="D1290">
        <v>25.1575080974489</v>
      </c>
      <c r="E1290">
        <v>577007.90534456098</v>
      </c>
      <c r="F1290" s="1">
        <v>46077.605474537035</v>
      </c>
      <c r="G1290">
        <v>52.876708064224601</v>
      </c>
      <c r="H1290" t="s">
        <v>22</v>
      </c>
      <c r="J1290" t="s">
        <v>16</v>
      </c>
      <c r="K1290">
        <v>577007.90534456098</v>
      </c>
      <c r="L1290" t="s">
        <v>17</v>
      </c>
      <c r="M1290">
        <v>0</v>
      </c>
      <c r="N1290">
        <v>1</v>
      </c>
    </row>
    <row r="1291" spans="2:14" x14ac:dyDescent="0.25">
      <c r="B1291" t="s">
        <v>14</v>
      </c>
      <c r="C1291" s="1">
        <v>46077.999988425923</v>
      </c>
      <c r="D1291">
        <v>25.1575080974489</v>
      </c>
      <c r="E1291">
        <v>577007.90534456098</v>
      </c>
      <c r="F1291" s="1">
        <v>46077.605474537035</v>
      </c>
      <c r="G1291">
        <v>52.876708064224601</v>
      </c>
      <c r="H1291" t="s">
        <v>22</v>
      </c>
      <c r="J1291" t="s">
        <v>16</v>
      </c>
      <c r="K1291">
        <v>577007.90534456098</v>
      </c>
      <c r="L1291" t="s">
        <v>17</v>
      </c>
      <c r="M1291">
        <v>0</v>
      </c>
      <c r="N1291">
        <v>1</v>
      </c>
    </row>
    <row r="1292" spans="2:14" x14ac:dyDescent="0.25">
      <c r="B1292" t="s">
        <v>14</v>
      </c>
      <c r="C1292" s="1">
        <v>46076.999988425923</v>
      </c>
      <c r="D1292">
        <v>25.1575080974489</v>
      </c>
      <c r="E1292">
        <v>109565.286711876</v>
      </c>
      <c r="F1292" s="1">
        <v>46074.099803240744</v>
      </c>
      <c r="G1292">
        <v>52.876708064224601</v>
      </c>
      <c r="H1292" t="s">
        <v>22</v>
      </c>
      <c r="J1292" t="s">
        <v>16</v>
      </c>
      <c r="K1292">
        <v>577007.90534456098</v>
      </c>
      <c r="L1292" t="s">
        <v>17</v>
      </c>
      <c r="M1292">
        <v>-467442.618632684</v>
      </c>
      <c r="N1292">
        <v>0.18988524368041301</v>
      </c>
    </row>
    <row r="1293" spans="2:14" x14ac:dyDescent="0.25">
      <c r="B1293" t="s">
        <v>14</v>
      </c>
      <c r="C1293" s="1">
        <v>46075.999988425923</v>
      </c>
      <c r="D1293">
        <v>25.1575080974489</v>
      </c>
      <c r="E1293">
        <v>109565.286711876</v>
      </c>
      <c r="F1293" s="1">
        <v>46074.099803240744</v>
      </c>
      <c r="G1293">
        <v>52.876708064224601</v>
      </c>
      <c r="H1293" t="s">
        <v>22</v>
      </c>
      <c r="J1293" t="s">
        <v>16</v>
      </c>
      <c r="K1293">
        <v>577007.90534456098</v>
      </c>
      <c r="L1293" t="s">
        <v>17</v>
      </c>
      <c r="M1293">
        <v>0</v>
      </c>
      <c r="N1293">
        <v>0.18988524368041301</v>
      </c>
    </row>
    <row r="1294" spans="2:14" x14ac:dyDescent="0.25">
      <c r="B1294" t="s">
        <v>14</v>
      </c>
      <c r="C1294" s="1">
        <v>46074.999988425923</v>
      </c>
      <c r="D1294">
        <v>25.1575080974489</v>
      </c>
      <c r="E1294">
        <v>109565.286711876</v>
      </c>
      <c r="F1294" s="1">
        <v>46074.099803240744</v>
      </c>
      <c r="G1294">
        <v>52.876708064224601</v>
      </c>
      <c r="H1294" t="s">
        <v>22</v>
      </c>
      <c r="J1294" t="s">
        <v>16</v>
      </c>
      <c r="K1294">
        <v>577007.90534456098</v>
      </c>
      <c r="L1294" t="s">
        <v>17</v>
      </c>
      <c r="M1294">
        <v>0</v>
      </c>
      <c r="N1294">
        <v>0.18988524368041301</v>
      </c>
    </row>
    <row r="1295" spans="2:14" x14ac:dyDescent="0.25">
      <c r="B1295" t="s">
        <v>14</v>
      </c>
      <c r="C1295" s="1">
        <v>46073.999988425923</v>
      </c>
      <c r="D1295">
        <v>25.1575080974489</v>
      </c>
      <c r="E1295">
        <v>129705.056734603</v>
      </c>
      <c r="F1295" s="1">
        <v>46071.606296296297</v>
      </c>
      <c r="G1295">
        <v>52.876708064224601</v>
      </c>
      <c r="H1295" t="s">
        <v>22</v>
      </c>
      <c r="J1295" t="s">
        <v>16</v>
      </c>
      <c r="K1295">
        <v>577007.90534456098</v>
      </c>
      <c r="L1295" t="s">
        <v>17</v>
      </c>
      <c r="M1295">
        <v>20139.770022726199</v>
      </c>
      <c r="N1295">
        <v>0.22478904627337701</v>
      </c>
    </row>
    <row r="1296" spans="2:14" x14ac:dyDescent="0.25">
      <c r="B1296" t="s">
        <v>14</v>
      </c>
      <c r="C1296" s="1">
        <v>46072.999988425923</v>
      </c>
      <c r="D1296">
        <v>25.1575080974489</v>
      </c>
      <c r="E1296">
        <v>129705.056734603</v>
      </c>
      <c r="F1296" s="1">
        <v>46071.606296296297</v>
      </c>
      <c r="G1296">
        <v>52.876708064224601</v>
      </c>
      <c r="H1296" t="s">
        <v>22</v>
      </c>
      <c r="J1296" t="s">
        <v>16</v>
      </c>
      <c r="K1296">
        <v>577007.90534456098</v>
      </c>
      <c r="L1296" t="s">
        <v>17</v>
      </c>
      <c r="M1296">
        <v>0</v>
      </c>
      <c r="N1296">
        <v>0.22478904627337701</v>
      </c>
    </row>
    <row r="1297" spans="2:14" x14ac:dyDescent="0.25">
      <c r="B1297" t="s">
        <v>14</v>
      </c>
      <c r="C1297" s="1">
        <v>46071.999988425923</v>
      </c>
      <c r="D1297">
        <v>25.1575080974489</v>
      </c>
      <c r="E1297">
        <v>129705.056734603</v>
      </c>
      <c r="F1297" s="1">
        <v>46071.606296296297</v>
      </c>
      <c r="G1297">
        <v>52.876708064224601</v>
      </c>
      <c r="H1297" t="s">
        <v>22</v>
      </c>
      <c r="J1297" t="s">
        <v>16</v>
      </c>
      <c r="K1297">
        <v>577007.90534456098</v>
      </c>
      <c r="L1297" t="s">
        <v>17</v>
      </c>
      <c r="M1297">
        <v>0</v>
      </c>
      <c r="N1297">
        <v>0.22478904627337701</v>
      </c>
    </row>
    <row r="1298" spans="2:14" x14ac:dyDescent="0.25">
      <c r="B1298" t="s">
        <v>14</v>
      </c>
      <c r="C1298" s="1">
        <v>46070.999988425923</v>
      </c>
      <c r="D1298">
        <v>25.1575080974489</v>
      </c>
      <c r="E1298">
        <v>111447.25343079799</v>
      </c>
      <c r="F1298" s="1">
        <v>46068.099097222221</v>
      </c>
      <c r="G1298">
        <v>52.876708064224601</v>
      </c>
      <c r="H1298" t="s">
        <v>22</v>
      </c>
      <c r="J1298" t="s">
        <v>16</v>
      </c>
      <c r="K1298">
        <v>577007.90534456098</v>
      </c>
      <c r="L1298" t="s">
        <v>17</v>
      </c>
      <c r="M1298">
        <v>-18257.8033038051</v>
      </c>
      <c r="N1298">
        <v>0.19314683975472899</v>
      </c>
    </row>
    <row r="1299" spans="2:14" x14ac:dyDescent="0.25">
      <c r="B1299" t="s">
        <v>14</v>
      </c>
      <c r="C1299" s="1">
        <v>46069.999988425923</v>
      </c>
      <c r="D1299">
        <v>25.1575080974489</v>
      </c>
      <c r="E1299">
        <v>111447.25343079799</v>
      </c>
      <c r="F1299" s="1">
        <v>46068.099097222221</v>
      </c>
      <c r="G1299">
        <v>52.876708064224601</v>
      </c>
      <c r="H1299" t="s">
        <v>22</v>
      </c>
      <c r="J1299" t="s">
        <v>16</v>
      </c>
      <c r="K1299">
        <v>577007.90534456098</v>
      </c>
      <c r="L1299" t="s">
        <v>17</v>
      </c>
      <c r="M1299">
        <v>0</v>
      </c>
      <c r="N1299">
        <v>0.19314683975472899</v>
      </c>
    </row>
    <row r="1300" spans="2:14" x14ac:dyDescent="0.25">
      <c r="B1300" t="s">
        <v>14</v>
      </c>
      <c r="C1300" s="1">
        <v>46068.999988425923</v>
      </c>
      <c r="D1300">
        <v>25.1575080974489</v>
      </c>
      <c r="E1300">
        <v>111447.25343079799</v>
      </c>
      <c r="F1300" s="1">
        <v>46068.099097222221</v>
      </c>
      <c r="G1300">
        <v>52.876708064224601</v>
      </c>
      <c r="H1300" t="s">
        <v>22</v>
      </c>
      <c r="J1300" t="s">
        <v>16</v>
      </c>
      <c r="K1300">
        <v>577007.90534456098</v>
      </c>
      <c r="L1300" t="s">
        <v>17</v>
      </c>
      <c r="M1300">
        <v>0</v>
      </c>
      <c r="N1300">
        <v>0.19314683975472899</v>
      </c>
    </row>
    <row r="1301" spans="2:14" x14ac:dyDescent="0.25">
      <c r="B1301" t="s">
        <v>14</v>
      </c>
      <c r="C1301" s="1">
        <v>46067.999988425923</v>
      </c>
      <c r="D1301">
        <v>25.1575080974489</v>
      </c>
      <c r="E1301">
        <v>577007.90534456098</v>
      </c>
      <c r="F1301" s="1">
        <v>46065.605474537035</v>
      </c>
      <c r="G1301">
        <v>52.876708064224601</v>
      </c>
      <c r="H1301" t="s">
        <v>22</v>
      </c>
      <c r="J1301" t="s">
        <v>16</v>
      </c>
      <c r="K1301">
        <v>577007.90534456098</v>
      </c>
      <c r="L1301" t="s">
        <v>17</v>
      </c>
      <c r="M1301">
        <v>465560.65191376302</v>
      </c>
      <c r="N1301">
        <v>1</v>
      </c>
    </row>
    <row r="1302" spans="2:14" x14ac:dyDescent="0.25">
      <c r="B1302" t="s">
        <v>14</v>
      </c>
      <c r="C1302" s="1">
        <v>46066.999988425923</v>
      </c>
      <c r="D1302">
        <v>25.1575080974489</v>
      </c>
      <c r="E1302">
        <v>577007.90534456098</v>
      </c>
      <c r="F1302" s="1">
        <v>46065.605474537035</v>
      </c>
      <c r="G1302">
        <v>52.876708064224601</v>
      </c>
      <c r="H1302" t="s">
        <v>22</v>
      </c>
      <c r="J1302" t="s">
        <v>16</v>
      </c>
      <c r="K1302">
        <v>577007.90534456098</v>
      </c>
      <c r="L1302" t="s">
        <v>17</v>
      </c>
      <c r="M1302">
        <v>0</v>
      </c>
      <c r="N1302">
        <v>1</v>
      </c>
    </row>
    <row r="1303" spans="2:14" x14ac:dyDescent="0.25">
      <c r="B1303" t="s">
        <v>14</v>
      </c>
      <c r="C1303" s="1">
        <v>46065.999988425923</v>
      </c>
      <c r="D1303">
        <v>25.1575080974489</v>
      </c>
      <c r="E1303">
        <v>577007.90534456098</v>
      </c>
      <c r="F1303" s="1">
        <v>46065.605474537035</v>
      </c>
      <c r="G1303">
        <v>52.876708064224601</v>
      </c>
      <c r="H1303" t="s">
        <v>22</v>
      </c>
      <c r="J1303" t="s">
        <v>16</v>
      </c>
      <c r="K1303">
        <v>577007.90534456098</v>
      </c>
      <c r="L1303" t="s">
        <v>17</v>
      </c>
      <c r="M1303">
        <v>0</v>
      </c>
      <c r="N1303">
        <v>1</v>
      </c>
    </row>
    <row r="1304" spans="2:14" x14ac:dyDescent="0.25">
      <c r="B1304" t="s">
        <v>14</v>
      </c>
      <c r="C1304" s="1">
        <v>46064.999988425923</v>
      </c>
      <c r="D1304">
        <v>25.1575080974489</v>
      </c>
      <c r="E1304">
        <v>112901.990903896</v>
      </c>
      <c r="F1304" s="1">
        <v>46062.099814814814</v>
      </c>
      <c r="G1304">
        <v>52.876708064224601</v>
      </c>
      <c r="H1304" t="s">
        <v>22</v>
      </c>
      <c r="J1304" t="s">
        <v>16</v>
      </c>
      <c r="K1304">
        <v>577007.90534456098</v>
      </c>
      <c r="L1304" t="s">
        <v>17</v>
      </c>
      <c r="M1304">
        <v>-464105.914440664</v>
      </c>
      <c r="N1304">
        <v>0.195668014004898</v>
      </c>
    </row>
    <row r="1305" spans="2:14" x14ac:dyDescent="0.25">
      <c r="B1305" t="s">
        <v>14</v>
      </c>
      <c r="C1305" s="1">
        <v>46063.999988425923</v>
      </c>
      <c r="D1305">
        <v>25.1575080974489</v>
      </c>
      <c r="E1305">
        <v>112901.990903896</v>
      </c>
      <c r="F1305" s="1">
        <v>46062.099814814814</v>
      </c>
      <c r="G1305">
        <v>52.876708064224601</v>
      </c>
      <c r="H1305" t="s">
        <v>22</v>
      </c>
      <c r="J1305" t="s">
        <v>16</v>
      </c>
      <c r="K1305">
        <v>577007.90534456098</v>
      </c>
      <c r="L1305" t="s">
        <v>17</v>
      </c>
      <c r="M1305">
        <v>0</v>
      </c>
      <c r="N1305">
        <v>0.195668014004898</v>
      </c>
    </row>
    <row r="1306" spans="2:14" x14ac:dyDescent="0.25">
      <c r="B1306" t="s">
        <v>14</v>
      </c>
      <c r="C1306" s="1">
        <v>46062.999988425923</v>
      </c>
      <c r="D1306">
        <v>25.1575080974489</v>
      </c>
      <c r="E1306">
        <v>112901.990903896</v>
      </c>
      <c r="F1306" s="1">
        <v>46062.099814814814</v>
      </c>
      <c r="G1306">
        <v>52.876708064224601</v>
      </c>
      <c r="H1306" t="s">
        <v>22</v>
      </c>
      <c r="J1306" t="s">
        <v>16</v>
      </c>
      <c r="K1306">
        <v>577007.90534456098</v>
      </c>
      <c r="L1306" t="s">
        <v>17</v>
      </c>
      <c r="M1306">
        <v>0</v>
      </c>
      <c r="N1306">
        <v>0.195668014004898</v>
      </c>
    </row>
    <row r="1307" spans="2:14" x14ac:dyDescent="0.25">
      <c r="B1307" t="s">
        <v>14</v>
      </c>
      <c r="C1307" s="1">
        <v>46061.999988425923</v>
      </c>
      <c r="D1307">
        <v>25.1575080974489</v>
      </c>
      <c r="E1307">
        <v>577007.90534456098</v>
      </c>
      <c r="F1307" s="1">
        <v>46059.606296296297</v>
      </c>
      <c r="G1307">
        <v>52.876708064224601</v>
      </c>
      <c r="H1307" t="s">
        <v>22</v>
      </c>
      <c r="J1307" t="s">
        <v>16</v>
      </c>
      <c r="K1307">
        <v>577007.90534456098</v>
      </c>
      <c r="L1307" t="s">
        <v>17</v>
      </c>
      <c r="M1307">
        <v>464105.914440664</v>
      </c>
      <c r="N1307">
        <v>1</v>
      </c>
    </row>
    <row r="1308" spans="2:14" x14ac:dyDescent="0.25">
      <c r="B1308" t="s">
        <v>14</v>
      </c>
      <c r="C1308" s="1">
        <v>46060.999988425923</v>
      </c>
      <c r="D1308">
        <v>25.1575080974489</v>
      </c>
      <c r="E1308">
        <v>577007.90534456098</v>
      </c>
      <c r="F1308" s="1">
        <v>46059.606296296297</v>
      </c>
      <c r="G1308">
        <v>52.876708064224601</v>
      </c>
      <c r="H1308" t="s">
        <v>22</v>
      </c>
      <c r="J1308" t="s">
        <v>16</v>
      </c>
      <c r="K1308">
        <v>577007.90534456098</v>
      </c>
      <c r="L1308" t="s">
        <v>17</v>
      </c>
      <c r="M1308">
        <v>0</v>
      </c>
      <c r="N1308">
        <v>1</v>
      </c>
    </row>
    <row r="1309" spans="2:14" x14ac:dyDescent="0.25">
      <c r="B1309" t="s">
        <v>14</v>
      </c>
      <c r="C1309" s="1">
        <v>46059.999988425923</v>
      </c>
      <c r="D1309">
        <v>25.1575080974489</v>
      </c>
      <c r="E1309">
        <v>577007.90534456098</v>
      </c>
      <c r="F1309" s="1">
        <v>46059.606296296297</v>
      </c>
      <c r="G1309">
        <v>52.876708064224601</v>
      </c>
      <c r="H1309" t="s">
        <v>22</v>
      </c>
      <c r="J1309" t="s">
        <v>16</v>
      </c>
      <c r="K1309">
        <v>577007.90534456098</v>
      </c>
      <c r="L1309" t="s">
        <v>17</v>
      </c>
      <c r="M1309">
        <v>0</v>
      </c>
      <c r="N1309">
        <v>1</v>
      </c>
    </row>
    <row r="1310" spans="2:14" x14ac:dyDescent="0.25">
      <c r="B1310" t="s">
        <v>14</v>
      </c>
      <c r="C1310" s="1">
        <v>46058.999988425923</v>
      </c>
      <c r="D1310">
        <v>25.1575080974489</v>
      </c>
      <c r="E1310">
        <v>115345.89531500801</v>
      </c>
      <c r="F1310" s="1">
        <v>46056.099097222221</v>
      </c>
      <c r="G1310">
        <v>52.876708064224601</v>
      </c>
      <c r="H1310" t="s">
        <v>22</v>
      </c>
      <c r="J1310" t="s">
        <v>16</v>
      </c>
      <c r="K1310">
        <v>577007.90534456098</v>
      </c>
      <c r="L1310" t="s">
        <v>17</v>
      </c>
      <c r="M1310">
        <v>-461662.01002955303</v>
      </c>
      <c r="N1310">
        <v>0.199903492216678</v>
      </c>
    </row>
    <row r="1311" spans="2:14" x14ac:dyDescent="0.25">
      <c r="B1311" t="s">
        <v>14</v>
      </c>
      <c r="C1311" s="1">
        <v>46057.999988425923</v>
      </c>
      <c r="D1311">
        <v>25.1575080974489</v>
      </c>
      <c r="E1311">
        <v>115345.89531500801</v>
      </c>
      <c r="F1311" s="1">
        <v>46056.099097222221</v>
      </c>
      <c r="G1311">
        <v>52.876708064224601</v>
      </c>
      <c r="H1311" t="s">
        <v>22</v>
      </c>
      <c r="J1311" t="s">
        <v>16</v>
      </c>
      <c r="K1311">
        <v>577007.90534456098</v>
      </c>
      <c r="L1311" t="s">
        <v>17</v>
      </c>
      <c r="M1311">
        <v>0</v>
      </c>
      <c r="N1311">
        <v>0.199903492216678</v>
      </c>
    </row>
    <row r="1312" spans="2:14" x14ac:dyDescent="0.25">
      <c r="B1312" t="s">
        <v>14</v>
      </c>
      <c r="C1312" s="1">
        <v>46056.999988425923</v>
      </c>
      <c r="D1312">
        <v>25.1575080974489</v>
      </c>
      <c r="E1312">
        <v>115345.89531500801</v>
      </c>
      <c r="F1312" s="1">
        <v>46056.099097222221</v>
      </c>
      <c r="G1312">
        <v>52.876708064224601</v>
      </c>
      <c r="H1312" t="s">
        <v>22</v>
      </c>
      <c r="J1312" t="s">
        <v>16</v>
      </c>
      <c r="K1312">
        <v>577007.90534456098</v>
      </c>
      <c r="L1312" t="s">
        <v>17</v>
      </c>
      <c r="M1312">
        <v>0</v>
      </c>
      <c r="N1312">
        <v>0.199903492216678</v>
      </c>
    </row>
    <row r="1313" spans="2:14" x14ac:dyDescent="0.25">
      <c r="B1313" t="s">
        <v>14</v>
      </c>
      <c r="C1313" s="1">
        <v>46055.999988425923</v>
      </c>
      <c r="D1313">
        <v>25.1575080974489</v>
      </c>
      <c r="E1313">
        <v>577007.90534456098</v>
      </c>
      <c r="F1313" s="1">
        <v>46053.605474537035</v>
      </c>
      <c r="G1313">
        <v>52.876708064224601</v>
      </c>
      <c r="H1313" t="s">
        <v>22</v>
      </c>
      <c r="J1313" t="s">
        <v>16</v>
      </c>
      <c r="K1313">
        <v>577007.90534456098</v>
      </c>
      <c r="L1313" t="s">
        <v>17</v>
      </c>
      <c r="M1313">
        <v>461662.01002955303</v>
      </c>
      <c r="N1313">
        <v>1</v>
      </c>
    </row>
    <row r="1314" spans="2:14" x14ac:dyDescent="0.25">
      <c r="B1314" t="s">
        <v>14</v>
      </c>
      <c r="C1314" s="1">
        <v>46054.999988425923</v>
      </c>
      <c r="D1314">
        <v>25.1575080974489</v>
      </c>
      <c r="E1314">
        <v>577007.90534456098</v>
      </c>
      <c r="F1314" s="1">
        <v>46053.605474537035</v>
      </c>
      <c r="G1314">
        <v>52.876708064224601</v>
      </c>
      <c r="H1314" t="s">
        <v>22</v>
      </c>
      <c r="J1314" t="s">
        <v>16</v>
      </c>
      <c r="K1314">
        <v>577007.90534456098</v>
      </c>
      <c r="L1314" t="s">
        <v>17</v>
      </c>
      <c r="M1314">
        <v>0</v>
      </c>
      <c r="N1314">
        <v>1</v>
      </c>
    </row>
    <row r="1315" spans="2:14" x14ac:dyDescent="0.25">
      <c r="B1315" t="s">
        <v>14</v>
      </c>
      <c r="C1315" s="1">
        <v>46053.999988425923</v>
      </c>
      <c r="D1315">
        <v>25.1575080974489</v>
      </c>
      <c r="E1315">
        <v>577007.90534456098</v>
      </c>
      <c r="F1315" s="1">
        <v>46053.605474537035</v>
      </c>
      <c r="G1315">
        <v>52.876708064224601</v>
      </c>
      <c r="H1315" t="s">
        <v>22</v>
      </c>
      <c r="J1315" t="s">
        <v>16</v>
      </c>
      <c r="K1315">
        <v>577007.90534456098</v>
      </c>
      <c r="L1315" t="s">
        <v>17</v>
      </c>
      <c r="M1315">
        <v>0</v>
      </c>
      <c r="N1315">
        <v>1</v>
      </c>
    </row>
    <row r="1316" spans="2:14" x14ac:dyDescent="0.25">
      <c r="B1316" t="s">
        <v>14</v>
      </c>
      <c r="C1316" s="1">
        <v>46052.999988425923</v>
      </c>
      <c r="D1316">
        <v>25.1575080974489</v>
      </c>
      <c r="E1316">
        <v>111419.156856122</v>
      </c>
      <c r="F1316" s="1">
        <v>46050.099814814814</v>
      </c>
      <c r="G1316">
        <v>52.876708064224601</v>
      </c>
      <c r="H1316" t="s">
        <v>22</v>
      </c>
      <c r="J1316" t="s">
        <v>16</v>
      </c>
      <c r="K1316">
        <v>577007.90534456098</v>
      </c>
      <c r="L1316" t="s">
        <v>17</v>
      </c>
      <c r="M1316">
        <v>-465588.74848843802</v>
      </c>
      <c r="N1316">
        <v>0.19309814618499599</v>
      </c>
    </row>
    <row r="1317" spans="2:14" x14ac:dyDescent="0.25">
      <c r="B1317" t="s">
        <v>14</v>
      </c>
      <c r="C1317" s="1">
        <v>46051.999988425923</v>
      </c>
      <c r="D1317">
        <v>25.1575080974489</v>
      </c>
      <c r="E1317">
        <v>111419.156856122</v>
      </c>
      <c r="F1317" s="1">
        <v>46050.099814814814</v>
      </c>
      <c r="G1317">
        <v>52.876708064224601</v>
      </c>
      <c r="H1317" t="s">
        <v>22</v>
      </c>
      <c r="J1317" t="s">
        <v>16</v>
      </c>
      <c r="K1317">
        <v>577007.90534456098</v>
      </c>
      <c r="L1317" t="s">
        <v>17</v>
      </c>
      <c r="M1317">
        <v>0</v>
      </c>
      <c r="N1317">
        <v>0.19309814618499599</v>
      </c>
    </row>
    <row r="1318" spans="2:14" x14ac:dyDescent="0.25">
      <c r="B1318" t="s">
        <v>14</v>
      </c>
      <c r="C1318" s="1">
        <v>46050.999988425923</v>
      </c>
      <c r="D1318">
        <v>25.1575080974489</v>
      </c>
      <c r="E1318">
        <v>111419.156856122</v>
      </c>
      <c r="F1318" s="1">
        <v>46050.099814814814</v>
      </c>
      <c r="G1318">
        <v>52.876708064224601</v>
      </c>
      <c r="H1318" t="s">
        <v>22</v>
      </c>
      <c r="J1318" t="s">
        <v>16</v>
      </c>
      <c r="K1318">
        <v>577007.90534456098</v>
      </c>
      <c r="L1318" t="s">
        <v>17</v>
      </c>
      <c r="M1318">
        <v>0</v>
      </c>
      <c r="N1318">
        <v>0.19309814618499599</v>
      </c>
    </row>
    <row r="1319" spans="2:14" x14ac:dyDescent="0.25">
      <c r="B1319" t="s">
        <v>14</v>
      </c>
      <c r="C1319" s="1">
        <v>46049.999988425923</v>
      </c>
      <c r="D1319">
        <v>25.1575080974489</v>
      </c>
      <c r="E1319">
        <v>577007.90534456098</v>
      </c>
      <c r="F1319" s="1">
        <v>46047.606307870374</v>
      </c>
      <c r="G1319">
        <v>52.876708064224601</v>
      </c>
      <c r="H1319" t="s">
        <v>22</v>
      </c>
      <c r="J1319" t="s">
        <v>16</v>
      </c>
      <c r="K1319">
        <v>577007.90534456098</v>
      </c>
      <c r="L1319" t="s">
        <v>17</v>
      </c>
      <c r="M1319">
        <v>465588.74848843802</v>
      </c>
      <c r="N1319">
        <v>1</v>
      </c>
    </row>
    <row r="1320" spans="2:14" x14ac:dyDescent="0.25">
      <c r="B1320" t="s">
        <v>14</v>
      </c>
      <c r="C1320" s="1">
        <v>46048.999988425923</v>
      </c>
      <c r="D1320">
        <v>25.1575080974489</v>
      </c>
      <c r="E1320">
        <v>577007.90534456098</v>
      </c>
      <c r="F1320" s="1">
        <v>46047.606307870374</v>
      </c>
      <c r="G1320">
        <v>52.876708064224601</v>
      </c>
      <c r="H1320" t="s">
        <v>22</v>
      </c>
      <c r="J1320" t="s">
        <v>16</v>
      </c>
      <c r="K1320">
        <v>577007.90534456098</v>
      </c>
      <c r="L1320" t="s">
        <v>17</v>
      </c>
      <c r="M1320">
        <v>0</v>
      </c>
      <c r="N1320">
        <v>1</v>
      </c>
    </row>
    <row r="1321" spans="2:14" x14ac:dyDescent="0.25">
      <c r="B1321" t="s">
        <v>14</v>
      </c>
      <c r="C1321" s="1">
        <v>46047.999988425923</v>
      </c>
      <c r="D1321">
        <v>25.1575080974489</v>
      </c>
      <c r="E1321">
        <v>577007.90534456098</v>
      </c>
      <c r="F1321" s="1">
        <v>46047.606307870374</v>
      </c>
      <c r="G1321">
        <v>52.876708064224601</v>
      </c>
      <c r="H1321" t="s">
        <v>22</v>
      </c>
      <c r="J1321" t="s">
        <v>16</v>
      </c>
      <c r="K1321">
        <v>577007.90534456098</v>
      </c>
      <c r="L1321" t="s">
        <v>17</v>
      </c>
      <c r="M1321">
        <v>0</v>
      </c>
      <c r="N1321">
        <v>1</v>
      </c>
    </row>
    <row r="1322" spans="2:14" x14ac:dyDescent="0.25">
      <c r="B1322" t="s">
        <v>14</v>
      </c>
      <c r="C1322" s="1">
        <v>46046.999988425923</v>
      </c>
      <c r="D1322">
        <v>25.1575080974489</v>
      </c>
      <c r="E1322">
        <v>577007.90534456098</v>
      </c>
      <c r="F1322" s="1">
        <v>46041.605486111112</v>
      </c>
      <c r="G1322">
        <v>52.876708064224601</v>
      </c>
      <c r="H1322" t="s">
        <v>22</v>
      </c>
      <c r="J1322" t="s">
        <v>16</v>
      </c>
      <c r="K1322">
        <v>577007.90534456098</v>
      </c>
      <c r="L1322" t="s">
        <v>17</v>
      </c>
      <c r="M1322">
        <v>0</v>
      </c>
      <c r="N1322">
        <v>1</v>
      </c>
    </row>
    <row r="1323" spans="2:14" x14ac:dyDescent="0.25">
      <c r="B1323" t="s">
        <v>14</v>
      </c>
      <c r="C1323" s="1">
        <v>46045.999988425923</v>
      </c>
      <c r="D1323">
        <v>25.1575080974489</v>
      </c>
      <c r="E1323">
        <v>577007.90534456098</v>
      </c>
      <c r="F1323" s="1">
        <v>46041.605486111112</v>
      </c>
      <c r="G1323">
        <v>52.876708064224601</v>
      </c>
      <c r="H1323" t="s">
        <v>22</v>
      </c>
      <c r="J1323" t="s">
        <v>16</v>
      </c>
      <c r="K1323">
        <v>577007.90534456098</v>
      </c>
      <c r="L1323" t="s">
        <v>17</v>
      </c>
      <c r="M1323">
        <v>0</v>
      </c>
      <c r="N1323">
        <v>1</v>
      </c>
    </row>
    <row r="1324" spans="2:14" x14ac:dyDescent="0.25">
      <c r="B1324" t="s">
        <v>14</v>
      </c>
      <c r="C1324" s="1">
        <v>46044.999988425923</v>
      </c>
      <c r="D1324">
        <v>25.1575080974489</v>
      </c>
      <c r="E1324">
        <v>577007.90534456098</v>
      </c>
      <c r="F1324" s="1">
        <v>46041.605486111112</v>
      </c>
      <c r="G1324">
        <v>52.876708064224601</v>
      </c>
      <c r="H1324" t="s">
        <v>22</v>
      </c>
      <c r="J1324" t="s">
        <v>16</v>
      </c>
      <c r="K1324">
        <v>577007.90534456098</v>
      </c>
      <c r="L1324" t="s">
        <v>17</v>
      </c>
      <c r="M1324">
        <v>0</v>
      </c>
      <c r="N1324">
        <v>1</v>
      </c>
    </row>
    <row r="1325" spans="2:14" x14ac:dyDescent="0.25">
      <c r="B1325" t="s">
        <v>14</v>
      </c>
      <c r="C1325" s="1">
        <v>46043.999988425923</v>
      </c>
      <c r="D1325">
        <v>25.1575080974489</v>
      </c>
      <c r="E1325">
        <v>577007.90534456098</v>
      </c>
      <c r="F1325" s="1">
        <v>46041.605486111112</v>
      </c>
      <c r="G1325">
        <v>52.876708064224601</v>
      </c>
      <c r="H1325" t="s">
        <v>22</v>
      </c>
      <c r="J1325" t="s">
        <v>16</v>
      </c>
      <c r="K1325">
        <v>577007.90534456098</v>
      </c>
      <c r="L1325" t="s">
        <v>17</v>
      </c>
      <c r="M1325">
        <v>0</v>
      </c>
      <c r="N1325">
        <v>1</v>
      </c>
    </row>
    <row r="1326" spans="2:14" x14ac:dyDescent="0.25">
      <c r="B1326" t="s">
        <v>14</v>
      </c>
      <c r="C1326" s="1">
        <v>46042.999988425923</v>
      </c>
      <c r="D1326">
        <v>25.1575080974489</v>
      </c>
      <c r="E1326">
        <v>577007.90534456098</v>
      </c>
      <c r="F1326" s="1">
        <v>46041.605486111112</v>
      </c>
      <c r="G1326">
        <v>52.876708064224601</v>
      </c>
      <c r="H1326" t="s">
        <v>22</v>
      </c>
      <c r="J1326" t="s">
        <v>16</v>
      </c>
      <c r="K1326">
        <v>577007.90534456098</v>
      </c>
      <c r="L1326" t="s">
        <v>17</v>
      </c>
      <c r="M1326">
        <v>0</v>
      </c>
      <c r="N1326">
        <v>1</v>
      </c>
    </row>
    <row r="1327" spans="2:14" x14ac:dyDescent="0.25">
      <c r="B1327" t="s">
        <v>14</v>
      </c>
      <c r="C1327" s="1">
        <v>46041.999988425923</v>
      </c>
      <c r="D1327">
        <v>25.1575080974489</v>
      </c>
      <c r="E1327">
        <v>577007.90534456098</v>
      </c>
      <c r="F1327" s="1">
        <v>46041.605486111112</v>
      </c>
      <c r="G1327">
        <v>52.876708064224601</v>
      </c>
      <c r="H1327" t="s">
        <v>22</v>
      </c>
      <c r="J1327" t="s">
        <v>16</v>
      </c>
      <c r="K1327">
        <v>577007.90534456098</v>
      </c>
      <c r="L1327" t="s">
        <v>17</v>
      </c>
      <c r="M1327">
        <v>0</v>
      </c>
      <c r="N1327">
        <v>1</v>
      </c>
    </row>
    <row r="1328" spans="2:14" x14ac:dyDescent="0.25">
      <c r="B1328" t="s">
        <v>14</v>
      </c>
      <c r="C1328" s="1">
        <v>46040.999988425923</v>
      </c>
      <c r="D1328">
        <v>25.1575080974489</v>
      </c>
      <c r="E1328">
        <v>113174.040232221</v>
      </c>
      <c r="F1328" s="1">
        <v>46038.099826388891</v>
      </c>
      <c r="G1328">
        <v>52.876708064224601</v>
      </c>
      <c r="H1328" t="s">
        <v>22</v>
      </c>
      <c r="J1328" t="s">
        <v>16</v>
      </c>
      <c r="K1328">
        <v>577007.90534456098</v>
      </c>
      <c r="L1328" t="s">
        <v>17</v>
      </c>
      <c r="M1328">
        <v>-463833.86511234002</v>
      </c>
      <c r="N1328">
        <v>0.196139496849075</v>
      </c>
    </row>
    <row r="1329" spans="2:14" x14ac:dyDescent="0.25">
      <c r="B1329" t="s">
        <v>14</v>
      </c>
      <c r="C1329" s="1">
        <v>46039.999988425923</v>
      </c>
      <c r="D1329">
        <v>25.1575080974489</v>
      </c>
      <c r="E1329">
        <v>113174.040232221</v>
      </c>
      <c r="F1329" s="1">
        <v>46038.099826388891</v>
      </c>
      <c r="G1329">
        <v>52.876708064224601</v>
      </c>
      <c r="H1329" t="s">
        <v>22</v>
      </c>
      <c r="J1329" t="s">
        <v>16</v>
      </c>
      <c r="K1329">
        <v>577007.90534456098</v>
      </c>
      <c r="L1329" t="s">
        <v>17</v>
      </c>
      <c r="M1329">
        <v>0</v>
      </c>
      <c r="N1329">
        <v>0.196139496849075</v>
      </c>
    </row>
    <row r="1330" spans="2:14" x14ac:dyDescent="0.25">
      <c r="B1330" t="s">
        <v>14</v>
      </c>
      <c r="C1330" s="1">
        <v>46038.999988425923</v>
      </c>
      <c r="D1330">
        <v>25.1575080974489</v>
      </c>
      <c r="E1330">
        <v>113174.040232221</v>
      </c>
      <c r="F1330" s="1">
        <v>46038.099826388891</v>
      </c>
      <c r="G1330">
        <v>52.876708064224601</v>
      </c>
      <c r="H1330" t="s">
        <v>22</v>
      </c>
      <c r="J1330" t="s">
        <v>16</v>
      </c>
      <c r="K1330">
        <v>577007.90534456098</v>
      </c>
      <c r="L1330" t="s">
        <v>17</v>
      </c>
      <c r="M1330">
        <v>0</v>
      </c>
      <c r="N1330">
        <v>0.196139496849075</v>
      </c>
    </row>
    <row r="1331" spans="2:14" x14ac:dyDescent="0.25">
      <c r="B1331" t="s">
        <v>14</v>
      </c>
      <c r="C1331" s="1">
        <v>46037.999988425923</v>
      </c>
      <c r="D1331">
        <v>25.1575080974489</v>
      </c>
      <c r="E1331">
        <v>577007.90534456098</v>
      </c>
      <c r="F1331" s="1">
        <v>46035.606319444443</v>
      </c>
      <c r="G1331">
        <v>52.876708064224601</v>
      </c>
      <c r="H1331" t="s">
        <v>22</v>
      </c>
      <c r="J1331" t="s">
        <v>16</v>
      </c>
      <c r="K1331">
        <v>577007.90534456098</v>
      </c>
      <c r="L1331" t="s">
        <v>17</v>
      </c>
      <c r="M1331">
        <v>463833.86511234002</v>
      </c>
      <c r="N1331">
        <v>1</v>
      </c>
    </row>
    <row r="1332" spans="2:14" x14ac:dyDescent="0.25">
      <c r="B1332" t="s">
        <v>14</v>
      </c>
      <c r="C1332" s="1">
        <v>46036.999988425923</v>
      </c>
      <c r="D1332">
        <v>25.1575080974489</v>
      </c>
      <c r="E1332">
        <v>577007.90534456098</v>
      </c>
      <c r="F1332" s="1">
        <v>46035.606319444443</v>
      </c>
      <c r="G1332">
        <v>52.876708064224601</v>
      </c>
      <c r="H1332" t="s">
        <v>22</v>
      </c>
      <c r="J1332" t="s">
        <v>16</v>
      </c>
      <c r="K1332">
        <v>577007.90534456098</v>
      </c>
      <c r="L1332" t="s">
        <v>17</v>
      </c>
      <c r="M1332">
        <v>0</v>
      </c>
      <c r="N1332">
        <v>1</v>
      </c>
    </row>
    <row r="1333" spans="2:14" x14ac:dyDescent="0.25">
      <c r="B1333" t="s">
        <v>14</v>
      </c>
      <c r="C1333" s="1">
        <v>46035.999988425923</v>
      </c>
      <c r="D1333">
        <v>25.1575080974489</v>
      </c>
      <c r="E1333">
        <v>577007.90534456098</v>
      </c>
      <c r="F1333" s="1">
        <v>46035.606319444443</v>
      </c>
      <c r="G1333">
        <v>52.876708064224601</v>
      </c>
      <c r="H1333" t="s">
        <v>22</v>
      </c>
      <c r="J1333" t="s">
        <v>16</v>
      </c>
      <c r="K1333">
        <v>577007.90534456098</v>
      </c>
      <c r="L1333" t="s">
        <v>17</v>
      </c>
      <c r="M1333">
        <v>0</v>
      </c>
      <c r="N1333">
        <v>1</v>
      </c>
    </row>
    <row r="1334" spans="2:14" x14ac:dyDescent="0.25">
      <c r="B1334" t="s">
        <v>14</v>
      </c>
      <c r="C1334" s="1">
        <v>46034.999988425923</v>
      </c>
      <c r="D1334">
        <v>25.1575080974489</v>
      </c>
      <c r="E1334">
        <v>115947.77011979</v>
      </c>
      <c r="F1334" s="1">
        <v>46032.099108796298</v>
      </c>
      <c r="G1334">
        <v>52.876708064224601</v>
      </c>
      <c r="H1334" t="s">
        <v>22</v>
      </c>
      <c r="J1334" t="s">
        <v>16</v>
      </c>
      <c r="K1334">
        <v>577007.90534456098</v>
      </c>
      <c r="L1334" t="s">
        <v>17</v>
      </c>
      <c r="M1334">
        <v>-461060.13522477</v>
      </c>
      <c r="N1334">
        <v>0.20094658850566699</v>
      </c>
    </row>
    <row r="1335" spans="2:14" x14ac:dyDescent="0.25">
      <c r="B1335" t="s">
        <v>14</v>
      </c>
      <c r="C1335" s="1">
        <v>46033.999988425923</v>
      </c>
      <c r="D1335">
        <v>25.1575080974489</v>
      </c>
      <c r="E1335">
        <v>115947.77011979</v>
      </c>
      <c r="F1335" s="1">
        <v>46032.099108796298</v>
      </c>
      <c r="G1335">
        <v>52.876708064224601</v>
      </c>
      <c r="H1335" t="s">
        <v>22</v>
      </c>
      <c r="J1335" t="s">
        <v>16</v>
      </c>
      <c r="K1335">
        <v>577007.90534456098</v>
      </c>
      <c r="L1335" t="s">
        <v>17</v>
      </c>
      <c r="M1335">
        <v>0</v>
      </c>
      <c r="N1335">
        <v>0.20094658850566699</v>
      </c>
    </row>
    <row r="1336" spans="2:14" x14ac:dyDescent="0.25">
      <c r="B1336" t="s">
        <v>14</v>
      </c>
      <c r="C1336" s="1">
        <v>46032.999988425923</v>
      </c>
      <c r="D1336">
        <v>25.1575080974489</v>
      </c>
      <c r="E1336">
        <v>115947.77011979</v>
      </c>
      <c r="F1336" s="1">
        <v>46032.099108796298</v>
      </c>
      <c r="G1336">
        <v>52.876708064224601</v>
      </c>
      <c r="H1336" t="s">
        <v>22</v>
      </c>
      <c r="J1336" t="s">
        <v>16</v>
      </c>
      <c r="K1336">
        <v>577007.90534456098</v>
      </c>
      <c r="L1336" t="s">
        <v>17</v>
      </c>
      <c r="M1336">
        <v>0</v>
      </c>
      <c r="N1336">
        <v>0.20094658850566699</v>
      </c>
    </row>
    <row r="1337" spans="2:14" x14ac:dyDescent="0.25">
      <c r="B1337" t="s">
        <v>14</v>
      </c>
      <c r="C1337" s="1">
        <v>46031.999988425923</v>
      </c>
      <c r="D1337">
        <v>25.1575080974489</v>
      </c>
      <c r="E1337">
        <v>577007.90534456098</v>
      </c>
      <c r="F1337" s="1">
        <v>46029.605486111112</v>
      </c>
      <c r="G1337">
        <v>52.876708064224601</v>
      </c>
      <c r="H1337" t="s">
        <v>22</v>
      </c>
      <c r="J1337" t="s">
        <v>16</v>
      </c>
      <c r="K1337">
        <v>577007.90534456098</v>
      </c>
      <c r="L1337" t="s">
        <v>17</v>
      </c>
      <c r="M1337">
        <v>461060.13522477</v>
      </c>
      <c r="N1337">
        <v>1</v>
      </c>
    </row>
    <row r="1338" spans="2:14" x14ac:dyDescent="0.25">
      <c r="B1338" t="s">
        <v>14</v>
      </c>
      <c r="C1338" s="1">
        <v>46030.999988425923</v>
      </c>
      <c r="D1338">
        <v>25.1575080974489</v>
      </c>
      <c r="E1338">
        <v>577007.90534456098</v>
      </c>
      <c r="F1338" s="1">
        <v>46029.605486111112</v>
      </c>
      <c r="G1338">
        <v>52.876708064224601</v>
      </c>
      <c r="H1338" t="s">
        <v>22</v>
      </c>
      <c r="J1338" t="s">
        <v>16</v>
      </c>
      <c r="K1338">
        <v>577007.90534456098</v>
      </c>
      <c r="L1338" t="s">
        <v>17</v>
      </c>
      <c r="M1338">
        <v>0</v>
      </c>
      <c r="N1338">
        <v>1</v>
      </c>
    </row>
    <row r="1339" spans="2:14" x14ac:dyDescent="0.25">
      <c r="B1339" t="s">
        <v>14</v>
      </c>
      <c r="C1339" s="1">
        <v>46029.999988425923</v>
      </c>
      <c r="D1339">
        <v>25.1575080974489</v>
      </c>
      <c r="E1339">
        <v>577007.90534456098</v>
      </c>
      <c r="F1339" s="1">
        <v>46029.605486111112</v>
      </c>
      <c r="G1339">
        <v>52.876708064224601</v>
      </c>
      <c r="H1339" t="s">
        <v>22</v>
      </c>
      <c r="J1339" t="s">
        <v>16</v>
      </c>
      <c r="K1339">
        <v>577007.90534456098</v>
      </c>
      <c r="L1339" t="s">
        <v>17</v>
      </c>
      <c r="M1339">
        <v>0</v>
      </c>
      <c r="N1339">
        <v>1</v>
      </c>
    </row>
    <row r="1340" spans="2:14" x14ac:dyDescent="0.25">
      <c r="B1340" t="s">
        <v>14</v>
      </c>
      <c r="C1340" s="1">
        <v>46028.999988425923</v>
      </c>
      <c r="D1340">
        <v>25.1575080974489</v>
      </c>
      <c r="E1340">
        <v>111563.188314906</v>
      </c>
      <c r="F1340" s="1">
        <v>46026.09983796296</v>
      </c>
      <c r="G1340">
        <v>52.876708064224601</v>
      </c>
      <c r="H1340" t="s">
        <v>22</v>
      </c>
      <c r="J1340" t="s">
        <v>16</v>
      </c>
      <c r="K1340">
        <v>577007.90534456098</v>
      </c>
      <c r="L1340" t="s">
        <v>17</v>
      </c>
      <c r="M1340">
        <v>-465444.717029655</v>
      </c>
      <c r="N1340">
        <v>0.19334776401076401</v>
      </c>
    </row>
    <row r="1341" spans="2:14" x14ac:dyDescent="0.25">
      <c r="B1341" t="s">
        <v>14</v>
      </c>
      <c r="C1341" s="1">
        <v>46027.999988425923</v>
      </c>
      <c r="D1341">
        <v>25.1575080974489</v>
      </c>
      <c r="E1341">
        <v>111563.188314906</v>
      </c>
      <c r="F1341" s="1">
        <v>46026.09983796296</v>
      </c>
      <c r="G1341">
        <v>52.876708064224601</v>
      </c>
      <c r="H1341" t="s">
        <v>22</v>
      </c>
      <c r="J1341" t="s">
        <v>16</v>
      </c>
      <c r="K1341">
        <v>577007.90534456098</v>
      </c>
      <c r="L1341" t="s">
        <v>17</v>
      </c>
      <c r="M1341">
        <v>0</v>
      </c>
      <c r="N1341">
        <v>0.19334776401076401</v>
      </c>
    </row>
    <row r="1342" spans="2:14" x14ac:dyDescent="0.25">
      <c r="B1342" t="s">
        <v>14</v>
      </c>
      <c r="C1342" s="1">
        <v>46026.999988425923</v>
      </c>
      <c r="D1342">
        <v>25.1575080974489</v>
      </c>
      <c r="E1342">
        <v>111563.188314906</v>
      </c>
      <c r="F1342" s="1">
        <v>46026.09983796296</v>
      </c>
      <c r="G1342">
        <v>52.876708064224601</v>
      </c>
      <c r="H1342" t="s">
        <v>22</v>
      </c>
      <c r="J1342" t="s">
        <v>16</v>
      </c>
      <c r="K1342">
        <v>577007.90534456098</v>
      </c>
      <c r="L1342" t="s">
        <v>17</v>
      </c>
      <c r="M1342">
        <v>0</v>
      </c>
      <c r="N1342">
        <v>0.19334776401076401</v>
      </c>
    </row>
    <row r="1343" spans="2:14" x14ac:dyDescent="0.25">
      <c r="B1343" t="s">
        <v>14</v>
      </c>
      <c r="C1343" s="1">
        <v>46025.999988425923</v>
      </c>
      <c r="D1343">
        <v>25.1575080974489</v>
      </c>
      <c r="E1343">
        <v>577007.90534456098</v>
      </c>
      <c r="F1343" s="1">
        <v>46023.60633101852</v>
      </c>
      <c r="G1343">
        <v>52.876708064224601</v>
      </c>
      <c r="H1343" t="s">
        <v>22</v>
      </c>
      <c r="J1343" t="s">
        <v>16</v>
      </c>
      <c r="K1343">
        <v>577007.90534456098</v>
      </c>
      <c r="L1343" t="s">
        <v>17</v>
      </c>
      <c r="M1343">
        <v>465444.717029655</v>
      </c>
      <c r="N1343">
        <v>1</v>
      </c>
    </row>
    <row r="1344" spans="2:14" x14ac:dyDescent="0.25">
      <c r="B1344" t="s">
        <v>14</v>
      </c>
      <c r="C1344" s="1">
        <v>46024.999988425923</v>
      </c>
      <c r="D1344">
        <v>25.1575080974489</v>
      </c>
      <c r="E1344">
        <v>577007.90534456098</v>
      </c>
      <c r="F1344" s="1">
        <v>46023.60633101852</v>
      </c>
      <c r="G1344">
        <v>52.876708064224601</v>
      </c>
      <c r="H1344" t="s">
        <v>22</v>
      </c>
      <c r="J1344" t="s">
        <v>16</v>
      </c>
      <c r="K1344">
        <v>577007.90534456098</v>
      </c>
      <c r="L1344" t="s">
        <v>17</v>
      </c>
      <c r="M1344">
        <v>0</v>
      </c>
      <c r="N1344">
        <v>1</v>
      </c>
    </row>
    <row r="1345" spans="2:14" x14ac:dyDescent="0.25">
      <c r="B1345" t="s">
        <v>14</v>
      </c>
      <c r="C1345" s="1">
        <v>46023.999988425923</v>
      </c>
      <c r="D1345">
        <v>25.1575080974489</v>
      </c>
      <c r="E1345">
        <v>577007.90534456098</v>
      </c>
      <c r="F1345" s="1">
        <v>46023.60633101852</v>
      </c>
      <c r="G1345">
        <v>52.876708064224601</v>
      </c>
      <c r="H1345" t="s">
        <v>22</v>
      </c>
      <c r="J1345" t="s">
        <v>16</v>
      </c>
      <c r="K1345">
        <v>577007.90534456098</v>
      </c>
      <c r="L1345" t="s">
        <v>17</v>
      </c>
      <c r="M1345">
        <v>0</v>
      </c>
      <c r="N1345">
        <v>1</v>
      </c>
    </row>
    <row r="1346" spans="2:14" x14ac:dyDescent="0.25">
      <c r="B1346" t="s">
        <v>14</v>
      </c>
      <c r="C1346" s="1">
        <v>46246.999988425923</v>
      </c>
      <c r="D1346">
        <v>25.157484031972199</v>
      </c>
      <c r="E1346">
        <v>577007.90534456098</v>
      </c>
      <c r="F1346" s="1">
        <v>46246.605821759258</v>
      </c>
      <c r="G1346">
        <v>52.875611498613097</v>
      </c>
      <c r="H1346" t="s">
        <v>23</v>
      </c>
      <c r="J1346" t="s">
        <v>16</v>
      </c>
      <c r="K1346">
        <v>577007.90534456098</v>
      </c>
      <c r="L1346" t="s">
        <v>17</v>
      </c>
      <c r="M1346">
        <v>0</v>
      </c>
      <c r="N1346">
        <v>1</v>
      </c>
    </row>
    <row r="1347" spans="2:14" x14ac:dyDescent="0.25">
      <c r="B1347" t="s">
        <v>14</v>
      </c>
      <c r="C1347" s="1">
        <v>46245.999988425923</v>
      </c>
      <c r="D1347">
        <v>25.157484031972199</v>
      </c>
      <c r="E1347">
        <v>284622.34177599702</v>
      </c>
      <c r="F1347" s="1">
        <v>46243.09915509259</v>
      </c>
      <c r="G1347">
        <v>52.875611498613097</v>
      </c>
      <c r="H1347" t="s">
        <v>23</v>
      </c>
      <c r="J1347" t="s">
        <v>16</v>
      </c>
      <c r="K1347">
        <v>577007.90534456098</v>
      </c>
      <c r="L1347" t="s">
        <v>17</v>
      </c>
      <c r="M1347">
        <v>-292385.56356856402</v>
      </c>
      <c r="N1347">
        <v>0.49327286357720501</v>
      </c>
    </row>
    <row r="1348" spans="2:14" x14ac:dyDescent="0.25">
      <c r="B1348" t="s">
        <v>14</v>
      </c>
      <c r="C1348" s="1">
        <v>46244.999988425923</v>
      </c>
      <c r="D1348">
        <v>25.157484031972199</v>
      </c>
      <c r="E1348">
        <v>284622.34177599702</v>
      </c>
      <c r="F1348" s="1">
        <v>46243.09915509259</v>
      </c>
      <c r="G1348">
        <v>52.875611498613097</v>
      </c>
      <c r="H1348" t="s">
        <v>23</v>
      </c>
      <c r="J1348" t="s">
        <v>16</v>
      </c>
      <c r="K1348">
        <v>577007.90534456098</v>
      </c>
      <c r="L1348" t="s">
        <v>17</v>
      </c>
      <c r="M1348">
        <v>0</v>
      </c>
      <c r="N1348">
        <v>0.49327286357720501</v>
      </c>
    </row>
    <row r="1349" spans="2:14" x14ac:dyDescent="0.25">
      <c r="B1349" t="s">
        <v>14</v>
      </c>
      <c r="C1349" s="1">
        <v>46243.999988425923</v>
      </c>
      <c r="D1349">
        <v>25.157484031972199</v>
      </c>
      <c r="E1349">
        <v>284622.34177599702</v>
      </c>
      <c r="F1349" s="1">
        <v>46243.09915509259</v>
      </c>
      <c r="G1349">
        <v>52.875611498613097</v>
      </c>
      <c r="H1349" t="s">
        <v>23</v>
      </c>
      <c r="J1349" t="s">
        <v>16</v>
      </c>
      <c r="K1349">
        <v>577007.90534456098</v>
      </c>
      <c r="L1349" t="s">
        <v>17</v>
      </c>
      <c r="M1349">
        <v>0</v>
      </c>
      <c r="N1349">
        <v>0.49327286357720501</v>
      </c>
    </row>
    <row r="1350" spans="2:14" x14ac:dyDescent="0.25">
      <c r="B1350" t="s">
        <v>14</v>
      </c>
      <c r="C1350" s="1">
        <v>46242.999988425923</v>
      </c>
      <c r="D1350">
        <v>25.157484031972199</v>
      </c>
      <c r="E1350">
        <v>577007.90534456098</v>
      </c>
      <c r="F1350" s="1">
        <v>46240.605520833335</v>
      </c>
      <c r="G1350">
        <v>52.875611498613097</v>
      </c>
      <c r="H1350" t="s">
        <v>23</v>
      </c>
      <c r="J1350" t="s">
        <v>16</v>
      </c>
      <c r="K1350">
        <v>577007.90534456098</v>
      </c>
      <c r="L1350" t="s">
        <v>17</v>
      </c>
      <c r="M1350">
        <v>292385.56356856402</v>
      </c>
      <c r="N1350">
        <v>1</v>
      </c>
    </row>
    <row r="1351" spans="2:14" x14ac:dyDescent="0.25">
      <c r="B1351" t="s">
        <v>14</v>
      </c>
      <c r="C1351" s="1">
        <v>46241.999988425923</v>
      </c>
      <c r="D1351">
        <v>25.157484031972199</v>
      </c>
      <c r="E1351">
        <v>577007.90534456098</v>
      </c>
      <c r="F1351" s="1">
        <v>46240.605520833335</v>
      </c>
      <c r="G1351">
        <v>52.875611498613097</v>
      </c>
      <c r="H1351" t="s">
        <v>23</v>
      </c>
      <c r="J1351" t="s">
        <v>16</v>
      </c>
      <c r="K1351">
        <v>577007.90534456098</v>
      </c>
      <c r="L1351" t="s">
        <v>17</v>
      </c>
      <c r="M1351">
        <v>0</v>
      </c>
      <c r="N1351">
        <v>1</v>
      </c>
    </row>
    <row r="1352" spans="2:14" x14ac:dyDescent="0.25">
      <c r="B1352" t="s">
        <v>14</v>
      </c>
      <c r="C1352" s="1">
        <v>46240.999988425923</v>
      </c>
      <c r="D1352">
        <v>25.157484031972199</v>
      </c>
      <c r="E1352">
        <v>577007.90534456098</v>
      </c>
      <c r="F1352" s="1">
        <v>46240.605520833335</v>
      </c>
      <c r="G1352">
        <v>52.875611498613097</v>
      </c>
      <c r="H1352" t="s">
        <v>23</v>
      </c>
      <c r="J1352" t="s">
        <v>16</v>
      </c>
      <c r="K1352">
        <v>577007.90534456098</v>
      </c>
      <c r="L1352" t="s">
        <v>17</v>
      </c>
      <c r="M1352">
        <v>0</v>
      </c>
      <c r="N1352">
        <v>1</v>
      </c>
    </row>
    <row r="1353" spans="2:14" x14ac:dyDescent="0.25">
      <c r="B1353" t="s">
        <v>14</v>
      </c>
      <c r="C1353" s="1">
        <v>46239.999988425923</v>
      </c>
      <c r="D1353">
        <v>25.157484031972199</v>
      </c>
      <c r="E1353">
        <v>359011.52566046303</v>
      </c>
      <c r="F1353" s="1">
        <v>46237.099328703705</v>
      </c>
      <c r="G1353">
        <v>52.875611498613097</v>
      </c>
      <c r="H1353" t="s">
        <v>23</v>
      </c>
      <c r="J1353" t="s">
        <v>16</v>
      </c>
      <c r="K1353">
        <v>577007.90534456098</v>
      </c>
      <c r="L1353" t="s">
        <v>17</v>
      </c>
      <c r="M1353">
        <v>-217996.37968409699</v>
      </c>
      <c r="N1353">
        <v>0.62219515943387105</v>
      </c>
    </row>
    <row r="1354" spans="2:14" x14ac:dyDescent="0.25">
      <c r="B1354" t="s">
        <v>14</v>
      </c>
      <c r="C1354" s="1">
        <v>46238.999988425923</v>
      </c>
      <c r="D1354">
        <v>25.157484031972199</v>
      </c>
      <c r="E1354">
        <v>359011.52566046303</v>
      </c>
      <c r="F1354" s="1">
        <v>46237.099328703705</v>
      </c>
      <c r="G1354">
        <v>52.875611498613097</v>
      </c>
      <c r="H1354" t="s">
        <v>23</v>
      </c>
      <c r="J1354" t="s">
        <v>16</v>
      </c>
      <c r="K1354">
        <v>577007.90534456098</v>
      </c>
      <c r="L1354" t="s">
        <v>17</v>
      </c>
      <c r="M1354">
        <v>0</v>
      </c>
      <c r="N1354">
        <v>0.62219515943387105</v>
      </c>
    </row>
    <row r="1355" spans="2:14" x14ac:dyDescent="0.25">
      <c r="B1355" t="s">
        <v>14</v>
      </c>
      <c r="C1355" s="1">
        <v>46237.999988425923</v>
      </c>
      <c r="D1355">
        <v>25.157484031972199</v>
      </c>
      <c r="E1355">
        <v>359011.52566046303</v>
      </c>
      <c r="F1355" s="1">
        <v>46237.099328703705</v>
      </c>
      <c r="G1355">
        <v>52.875611498613097</v>
      </c>
      <c r="H1355" t="s">
        <v>23</v>
      </c>
      <c r="J1355" t="s">
        <v>16</v>
      </c>
      <c r="K1355">
        <v>577007.90534456098</v>
      </c>
      <c r="L1355" t="s">
        <v>17</v>
      </c>
      <c r="M1355">
        <v>0</v>
      </c>
      <c r="N1355">
        <v>0.62219515943387105</v>
      </c>
    </row>
    <row r="1356" spans="2:14" x14ac:dyDescent="0.25">
      <c r="B1356" t="s">
        <v>14</v>
      </c>
      <c r="C1356" s="1">
        <v>46236.999988425923</v>
      </c>
      <c r="D1356">
        <v>25.157484031972199</v>
      </c>
      <c r="E1356">
        <v>577007.90534456098</v>
      </c>
      <c r="F1356" s="1">
        <v>46234.605810185189</v>
      </c>
      <c r="G1356">
        <v>52.875611498613097</v>
      </c>
      <c r="H1356" t="s">
        <v>23</v>
      </c>
      <c r="J1356" t="s">
        <v>16</v>
      </c>
      <c r="K1356">
        <v>577007.90534456098</v>
      </c>
      <c r="L1356" t="s">
        <v>17</v>
      </c>
      <c r="M1356">
        <v>217996.37968409699</v>
      </c>
      <c r="N1356">
        <v>1</v>
      </c>
    </row>
    <row r="1357" spans="2:14" x14ac:dyDescent="0.25">
      <c r="B1357" t="s">
        <v>14</v>
      </c>
      <c r="C1357" s="1">
        <v>46235.999988425923</v>
      </c>
      <c r="D1357">
        <v>25.157484031972199</v>
      </c>
      <c r="E1357">
        <v>577007.90534456098</v>
      </c>
      <c r="F1357" s="1">
        <v>46234.605810185189</v>
      </c>
      <c r="G1357">
        <v>52.875611498613097</v>
      </c>
      <c r="H1357" t="s">
        <v>23</v>
      </c>
      <c r="J1357" t="s">
        <v>16</v>
      </c>
      <c r="K1357">
        <v>577007.90534456098</v>
      </c>
      <c r="L1357" t="s">
        <v>17</v>
      </c>
      <c r="M1357">
        <v>0</v>
      </c>
      <c r="N1357">
        <v>1</v>
      </c>
    </row>
    <row r="1358" spans="2:14" x14ac:dyDescent="0.25">
      <c r="B1358" t="s">
        <v>14</v>
      </c>
      <c r="C1358" s="1">
        <v>46234.999988425923</v>
      </c>
      <c r="D1358">
        <v>25.157484031972199</v>
      </c>
      <c r="E1358">
        <v>577007.90534456098</v>
      </c>
      <c r="F1358" s="1">
        <v>46234.605810185189</v>
      </c>
      <c r="G1358">
        <v>52.875611498613097</v>
      </c>
      <c r="H1358" t="s">
        <v>23</v>
      </c>
      <c r="J1358" t="s">
        <v>16</v>
      </c>
      <c r="K1358">
        <v>577007.90534456098</v>
      </c>
      <c r="L1358" t="s">
        <v>17</v>
      </c>
      <c r="M1358">
        <v>0</v>
      </c>
      <c r="N1358">
        <v>1</v>
      </c>
    </row>
    <row r="1359" spans="2:14" x14ac:dyDescent="0.25">
      <c r="B1359" t="s">
        <v>14</v>
      </c>
      <c r="C1359" s="1">
        <v>46233.999988425923</v>
      </c>
      <c r="D1359">
        <v>25.157484031972199</v>
      </c>
      <c r="E1359">
        <v>563893.229876464</v>
      </c>
      <c r="F1359" s="1">
        <v>46231.09915509259</v>
      </c>
      <c r="G1359">
        <v>52.875611498613097</v>
      </c>
      <c r="H1359" t="s">
        <v>23</v>
      </c>
      <c r="J1359" t="s">
        <v>16</v>
      </c>
      <c r="K1359">
        <v>577007.90534456098</v>
      </c>
      <c r="L1359" t="s">
        <v>17</v>
      </c>
      <c r="M1359">
        <v>-13114.675468097201</v>
      </c>
      <c r="N1359">
        <v>0.97727123779999903</v>
      </c>
    </row>
    <row r="1360" spans="2:14" x14ac:dyDescent="0.25">
      <c r="B1360" t="s">
        <v>14</v>
      </c>
      <c r="C1360" s="1">
        <v>46232.999988425923</v>
      </c>
      <c r="D1360">
        <v>25.157484031972199</v>
      </c>
      <c r="E1360">
        <v>563893.229876464</v>
      </c>
      <c r="F1360" s="1">
        <v>46231.09915509259</v>
      </c>
      <c r="G1360">
        <v>52.875611498613097</v>
      </c>
      <c r="H1360" t="s">
        <v>23</v>
      </c>
      <c r="J1360" t="s">
        <v>16</v>
      </c>
      <c r="K1360">
        <v>577007.90534456098</v>
      </c>
      <c r="L1360" t="s">
        <v>17</v>
      </c>
      <c r="M1360">
        <v>0</v>
      </c>
      <c r="N1360">
        <v>0.97727123779999903</v>
      </c>
    </row>
    <row r="1361" spans="2:14" x14ac:dyDescent="0.25">
      <c r="B1361" t="s">
        <v>14</v>
      </c>
      <c r="C1361" s="1">
        <v>46231.999988425923</v>
      </c>
      <c r="D1361">
        <v>25.157484031972199</v>
      </c>
      <c r="E1361">
        <v>563893.229876464</v>
      </c>
      <c r="F1361" s="1">
        <v>46231.09915509259</v>
      </c>
      <c r="G1361">
        <v>52.875611498613097</v>
      </c>
      <c r="H1361" t="s">
        <v>23</v>
      </c>
      <c r="J1361" t="s">
        <v>16</v>
      </c>
      <c r="K1361">
        <v>577007.90534456098</v>
      </c>
      <c r="L1361" t="s">
        <v>17</v>
      </c>
      <c r="M1361">
        <v>0</v>
      </c>
      <c r="N1361">
        <v>0.97727123779999903</v>
      </c>
    </row>
    <row r="1362" spans="2:14" x14ac:dyDescent="0.25">
      <c r="B1362" t="s">
        <v>14</v>
      </c>
      <c r="C1362" s="1">
        <v>46230.999988425923</v>
      </c>
      <c r="D1362">
        <v>25.157484031972199</v>
      </c>
      <c r="E1362">
        <v>577007.90534456098</v>
      </c>
      <c r="F1362" s="1">
        <v>46228.605520833335</v>
      </c>
      <c r="G1362">
        <v>52.875611498613097</v>
      </c>
      <c r="H1362" t="s">
        <v>23</v>
      </c>
      <c r="J1362" t="s">
        <v>16</v>
      </c>
      <c r="K1362">
        <v>577007.90534456098</v>
      </c>
      <c r="L1362" t="s">
        <v>17</v>
      </c>
      <c r="M1362">
        <v>13114.675468097201</v>
      </c>
      <c r="N1362">
        <v>1</v>
      </c>
    </row>
    <row r="1363" spans="2:14" x14ac:dyDescent="0.25">
      <c r="B1363" t="s">
        <v>14</v>
      </c>
      <c r="C1363" s="1">
        <v>46229.999988425923</v>
      </c>
      <c r="D1363">
        <v>25.157484031972199</v>
      </c>
      <c r="E1363">
        <v>577007.90534456098</v>
      </c>
      <c r="F1363" s="1">
        <v>46228.605520833335</v>
      </c>
      <c r="G1363">
        <v>52.875611498613097</v>
      </c>
      <c r="H1363" t="s">
        <v>23</v>
      </c>
      <c r="J1363" t="s">
        <v>16</v>
      </c>
      <c r="K1363">
        <v>577007.90534456098</v>
      </c>
      <c r="L1363" t="s">
        <v>17</v>
      </c>
      <c r="M1363">
        <v>0</v>
      </c>
      <c r="N1363">
        <v>1</v>
      </c>
    </row>
    <row r="1364" spans="2:14" x14ac:dyDescent="0.25">
      <c r="B1364" t="s">
        <v>14</v>
      </c>
      <c r="C1364" s="1">
        <v>46228.999988425923</v>
      </c>
      <c r="D1364">
        <v>25.157484031972199</v>
      </c>
      <c r="E1364">
        <v>577007.90534456098</v>
      </c>
      <c r="F1364" s="1">
        <v>46228.605520833335</v>
      </c>
      <c r="G1364">
        <v>52.875611498613097</v>
      </c>
      <c r="H1364" t="s">
        <v>23</v>
      </c>
      <c r="J1364" t="s">
        <v>16</v>
      </c>
      <c r="K1364">
        <v>577007.90534456098</v>
      </c>
      <c r="L1364" t="s">
        <v>17</v>
      </c>
      <c r="M1364">
        <v>0</v>
      </c>
      <c r="N1364">
        <v>1</v>
      </c>
    </row>
    <row r="1365" spans="2:14" x14ac:dyDescent="0.25">
      <c r="B1365" t="s">
        <v>14</v>
      </c>
      <c r="C1365" s="1">
        <v>46227.999988425923</v>
      </c>
      <c r="D1365">
        <v>25.157484031972199</v>
      </c>
      <c r="E1365">
        <v>577007.90534456098</v>
      </c>
      <c r="F1365" s="1">
        <v>46225.099317129629</v>
      </c>
      <c r="G1365">
        <v>52.875611498613097</v>
      </c>
      <c r="H1365" t="s">
        <v>23</v>
      </c>
      <c r="J1365" t="s">
        <v>16</v>
      </c>
      <c r="K1365">
        <v>577007.90534456098</v>
      </c>
      <c r="L1365" t="s">
        <v>17</v>
      </c>
      <c r="M1365">
        <v>0</v>
      </c>
      <c r="N1365">
        <v>1</v>
      </c>
    </row>
    <row r="1366" spans="2:14" x14ac:dyDescent="0.25">
      <c r="B1366" t="s">
        <v>14</v>
      </c>
      <c r="C1366" s="1">
        <v>46226.999988425923</v>
      </c>
      <c r="D1366">
        <v>25.157484031972199</v>
      </c>
      <c r="E1366">
        <v>577007.90534456098</v>
      </c>
      <c r="F1366" s="1">
        <v>46225.099317129629</v>
      </c>
      <c r="G1366">
        <v>52.875611498613097</v>
      </c>
      <c r="H1366" t="s">
        <v>23</v>
      </c>
      <c r="J1366" t="s">
        <v>16</v>
      </c>
      <c r="K1366">
        <v>577007.90534456098</v>
      </c>
      <c r="L1366" t="s">
        <v>17</v>
      </c>
      <c r="M1366">
        <v>0</v>
      </c>
      <c r="N1366">
        <v>1</v>
      </c>
    </row>
    <row r="1367" spans="2:14" x14ac:dyDescent="0.25">
      <c r="B1367" t="s">
        <v>14</v>
      </c>
      <c r="C1367" s="1">
        <v>46225.999988425923</v>
      </c>
      <c r="D1367">
        <v>25.157484031972199</v>
      </c>
      <c r="E1367">
        <v>577007.90534456098</v>
      </c>
      <c r="F1367" s="1">
        <v>46225.099317129629</v>
      </c>
      <c r="G1367">
        <v>52.875611498613097</v>
      </c>
      <c r="H1367" t="s">
        <v>23</v>
      </c>
      <c r="J1367" t="s">
        <v>16</v>
      </c>
      <c r="K1367">
        <v>577007.90534456098</v>
      </c>
      <c r="L1367" t="s">
        <v>17</v>
      </c>
      <c r="M1367">
        <v>0</v>
      </c>
      <c r="N1367">
        <v>1</v>
      </c>
    </row>
    <row r="1368" spans="2:14" x14ac:dyDescent="0.25">
      <c r="B1368" t="s">
        <v>14</v>
      </c>
      <c r="C1368" s="1">
        <v>46224.999988425923</v>
      </c>
      <c r="D1368">
        <v>25.157484031972199</v>
      </c>
      <c r="E1368">
        <v>577007.90534456098</v>
      </c>
      <c r="F1368" s="1">
        <v>46222.605810185189</v>
      </c>
      <c r="G1368">
        <v>52.875611498613097</v>
      </c>
      <c r="H1368" t="s">
        <v>23</v>
      </c>
      <c r="J1368" t="s">
        <v>16</v>
      </c>
      <c r="K1368">
        <v>577007.90534456098</v>
      </c>
      <c r="L1368" t="s">
        <v>17</v>
      </c>
      <c r="M1368">
        <v>0</v>
      </c>
      <c r="N1368">
        <v>1</v>
      </c>
    </row>
    <row r="1369" spans="2:14" x14ac:dyDescent="0.25">
      <c r="B1369" t="s">
        <v>14</v>
      </c>
      <c r="C1369" s="1">
        <v>46223.999988425923</v>
      </c>
      <c r="D1369">
        <v>25.157484031972199</v>
      </c>
      <c r="E1369">
        <v>577007.90534456098</v>
      </c>
      <c r="F1369" s="1">
        <v>46222.605810185189</v>
      </c>
      <c r="G1369">
        <v>52.875611498613097</v>
      </c>
      <c r="H1369" t="s">
        <v>23</v>
      </c>
      <c r="J1369" t="s">
        <v>16</v>
      </c>
      <c r="K1369">
        <v>577007.90534456098</v>
      </c>
      <c r="L1369" t="s">
        <v>17</v>
      </c>
      <c r="M1369">
        <v>0</v>
      </c>
      <c r="N1369">
        <v>1</v>
      </c>
    </row>
    <row r="1370" spans="2:14" x14ac:dyDescent="0.25">
      <c r="B1370" t="s">
        <v>14</v>
      </c>
      <c r="C1370" s="1">
        <v>46222.999988425923</v>
      </c>
      <c r="D1370">
        <v>25.157484031972199</v>
      </c>
      <c r="E1370">
        <v>577007.90534456098</v>
      </c>
      <c r="F1370" s="1">
        <v>46222.605810185189</v>
      </c>
      <c r="G1370">
        <v>52.875611498613097</v>
      </c>
      <c r="H1370" t="s">
        <v>23</v>
      </c>
      <c r="J1370" t="s">
        <v>16</v>
      </c>
      <c r="K1370">
        <v>577007.90534456098</v>
      </c>
      <c r="L1370" t="s">
        <v>17</v>
      </c>
      <c r="M1370">
        <v>0</v>
      </c>
      <c r="N1370">
        <v>1</v>
      </c>
    </row>
    <row r="1371" spans="2:14" x14ac:dyDescent="0.25">
      <c r="B1371" t="s">
        <v>14</v>
      </c>
      <c r="C1371" s="1">
        <v>46221.999988425923</v>
      </c>
      <c r="D1371">
        <v>25.157484031972199</v>
      </c>
      <c r="E1371">
        <v>577007.90534456098</v>
      </c>
      <c r="F1371" s="1">
        <v>46219.099143518521</v>
      </c>
      <c r="G1371">
        <v>52.875611498613097</v>
      </c>
      <c r="H1371" t="s">
        <v>23</v>
      </c>
      <c r="J1371" t="s">
        <v>16</v>
      </c>
      <c r="K1371">
        <v>577007.90534456098</v>
      </c>
      <c r="L1371" t="s">
        <v>17</v>
      </c>
      <c r="M1371">
        <v>0</v>
      </c>
      <c r="N1371">
        <v>1</v>
      </c>
    </row>
    <row r="1372" spans="2:14" x14ac:dyDescent="0.25">
      <c r="B1372" t="s">
        <v>14</v>
      </c>
      <c r="C1372" s="1">
        <v>46220.999988425923</v>
      </c>
      <c r="D1372">
        <v>25.157484031972199</v>
      </c>
      <c r="E1372">
        <v>577007.90534456098</v>
      </c>
      <c r="F1372" s="1">
        <v>46219.099143518521</v>
      </c>
      <c r="G1372">
        <v>52.875611498613097</v>
      </c>
      <c r="H1372" t="s">
        <v>23</v>
      </c>
      <c r="J1372" t="s">
        <v>16</v>
      </c>
      <c r="K1372">
        <v>577007.90534456098</v>
      </c>
      <c r="L1372" t="s">
        <v>17</v>
      </c>
      <c r="M1372">
        <v>0</v>
      </c>
      <c r="N1372">
        <v>1</v>
      </c>
    </row>
    <row r="1373" spans="2:14" x14ac:dyDescent="0.25">
      <c r="B1373" t="s">
        <v>14</v>
      </c>
      <c r="C1373" s="1">
        <v>46219.999988425923</v>
      </c>
      <c r="D1373">
        <v>25.157484031972199</v>
      </c>
      <c r="E1373">
        <v>577007.90534456098</v>
      </c>
      <c r="F1373" s="1">
        <v>46219.099143518521</v>
      </c>
      <c r="G1373">
        <v>52.875611498613097</v>
      </c>
      <c r="H1373" t="s">
        <v>23</v>
      </c>
      <c r="J1373" t="s">
        <v>16</v>
      </c>
      <c r="K1373">
        <v>577007.90534456098</v>
      </c>
      <c r="L1373" t="s">
        <v>17</v>
      </c>
      <c r="M1373">
        <v>0</v>
      </c>
      <c r="N1373">
        <v>1</v>
      </c>
    </row>
    <row r="1374" spans="2:14" x14ac:dyDescent="0.25">
      <c r="B1374" t="s">
        <v>14</v>
      </c>
      <c r="C1374" s="1">
        <v>46218.999988425923</v>
      </c>
      <c r="D1374">
        <v>25.157484031972199</v>
      </c>
      <c r="E1374">
        <v>577007.90534456098</v>
      </c>
      <c r="F1374" s="1">
        <v>46216.605509259258</v>
      </c>
      <c r="G1374">
        <v>52.875611498613097</v>
      </c>
      <c r="H1374" t="s">
        <v>23</v>
      </c>
      <c r="J1374" t="s">
        <v>16</v>
      </c>
      <c r="K1374">
        <v>577007.90534456098</v>
      </c>
      <c r="L1374" t="s">
        <v>17</v>
      </c>
      <c r="M1374">
        <v>0</v>
      </c>
      <c r="N1374">
        <v>1</v>
      </c>
    </row>
    <row r="1375" spans="2:14" x14ac:dyDescent="0.25">
      <c r="B1375" t="s">
        <v>14</v>
      </c>
      <c r="C1375" s="1">
        <v>46217.999988425923</v>
      </c>
      <c r="D1375">
        <v>25.157484031972199</v>
      </c>
      <c r="E1375">
        <v>577007.90534456098</v>
      </c>
      <c r="F1375" s="1">
        <v>46216.605509259258</v>
      </c>
      <c r="G1375">
        <v>52.875611498613097</v>
      </c>
      <c r="H1375" t="s">
        <v>23</v>
      </c>
      <c r="J1375" t="s">
        <v>16</v>
      </c>
      <c r="K1375">
        <v>577007.90534456098</v>
      </c>
      <c r="L1375" t="s">
        <v>17</v>
      </c>
      <c r="M1375">
        <v>0</v>
      </c>
      <c r="N1375">
        <v>1</v>
      </c>
    </row>
    <row r="1376" spans="2:14" x14ac:dyDescent="0.25">
      <c r="B1376" t="s">
        <v>14</v>
      </c>
      <c r="C1376" s="1">
        <v>46216.999988425923</v>
      </c>
      <c r="D1376">
        <v>25.157484031972199</v>
      </c>
      <c r="E1376">
        <v>577007.90534456098</v>
      </c>
      <c r="F1376" s="1">
        <v>46216.605509259258</v>
      </c>
      <c r="G1376">
        <v>52.875611498613097</v>
      </c>
      <c r="H1376" t="s">
        <v>23</v>
      </c>
      <c r="J1376" t="s">
        <v>16</v>
      </c>
      <c r="K1376">
        <v>577007.90534456098</v>
      </c>
      <c r="L1376" t="s">
        <v>17</v>
      </c>
      <c r="M1376">
        <v>0</v>
      </c>
      <c r="N1376">
        <v>1</v>
      </c>
    </row>
    <row r="1377" spans="2:14" x14ac:dyDescent="0.25">
      <c r="B1377" t="s">
        <v>14</v>
      </c>
      <c r="C1377" s="1">
        <v>46215.999988425923</v>
      </c>
      <c r="D1377">
        <v>25.157484031972199</v>
      </c>
      <c r="E1377">
        <v>577007.90534456098</v>
      </c>
      <c r="F1377" s="1">
        <v>46213.099305555559</v>
      </c>
      <c r="G1377">
        <v>52.875611498613097</v>
      </c>
      <c r="H1377" t="s">
        <v>23</v>
      </c>
      <c r="J1377" t="s">
        <v>16</v>
      </c>
      <c r="K1377">
        <v>577007.90534456098</v>
      </c>
      <c r="L1377" t="s">
        <v>17</v>
      </c>
      <c r="M1377">
        <v>0</v>
      </c>
      <c r="N1377">
        <v>1</v>
      </c>
    </row>
    <row r="1378" spans="2:14" x14ac:dyDescent="0.25">
      <c r="B1378" t="s">
        <v>14</v>
      </c>
      <c r="C1378" s="1">
        <v>46214.999988425923</v>
      </c>
      <c r="D1378">
        <v>25.157484031972199</v>
      </c>
      <c r="E1378">
        <v>577007.90534456098</v>
      </c>
      <c r="F1378" s="1">
        <v>46213.099305555559</v>
      </c>
      <c r="G1378">
        <v>52.875611498613097</v>
      </c>
      <c r="H1378" t="s">
        <v>23</v>
      </c>
      <c r="J1378" t="s">
        <v>16</v>
      </c>
      <c r="K1378">
        <v>577007.90534456098</v>
      </c>
      <c r="L1378" t="s">
        <v>17</v>
      </c>
      <c r="M1378">
        <v>0</v>
      </c>
      <c r="N1378">
        <v>1</v>
      </c>
    </row>
    <row r="1379" spans="2:14" x14ac:dyDescent="0.25">
      <c r="B1379" t="s">
        <v>14</v>
      </c>
      <c r="C1379" s="1">
        <v>46213.999988425923</v>
      </c>
      <c r="D1379">
        <v>25.157484031972199</v>
      </c>
      <c r="E1379">
        <v>577007.90534456098</v>
      </c>
      <c r="F1379" s="1">
        <v>46213.099305555559</v>
      </c>
      <c r="G1379">
        <v>52.875611498613097</v>
      </c>
      <c r="H1379" t="s">
        <v>23</v>
      </c>
      <c r="J1379" t="s">
        <v>16</v>
      </c>
      <c r="K1379">
        <v>577007.90534456098</v>
      </c>
      <c r="L1379" t="s">
        <v>17</v>
      </c>
      <c r="M1379">
        <v>0</v>
      </c>
      <c r="N1379">
        <v>1</v>
      </c>
    </row>
    <row r="1380" spans="2:14" x14ac:dyDescent="0.25">
      <c r="B1380" t="s">
        <v>14</v>
      </c>
      <c r="C1380" s="1">
        <v>46212.999988425923</v>
      </c>
      <c r="D1380">
        <v>25.157484031972199</v>
      </c>
      <c r="E1380">
        <v>577007.90534456098</v>
      </c>
      <c r="F1380" s="1">
        <v>46210.605798611112</v>
      </c>
      <c r="G1380">
        <v>52.875611498613097</v>
      </c>
      <c r="H1380" t="s">
        <v>23</v>
      </c>
      <c r="J1380" t="s">
        <v>16</v>
      </c>
      <c r="K1380">
        <v>577007.90534456098</v>
      </c>
      <c r="L1380" t="s">
        <v>17</v>
      </c>
      <c r="M1380">
        <v>0</v>
      </c>
      <c r="N1380">
        <v>1</v>
      </c>
    </row>
    <row r="1381" spans="2:14" x14ac:dyDescent="0.25">
      <c r="B1381" t="s">
        <v>14</v>
      </c>
      <c r="C1381" s="1">
        <v>46211.999988425923</v>
      </c>
      <c r="D1381">
        <v>25.157484031972199</v>
      </c>
      <c r="E1381">
        <v>577007.90534456098</v>
      </c>
      <c r="F1381" s="1">
        <v>46210.605798611112</v>
      </c>
      <c r="G1381">
        <v>52.875611498613097</v>
      </c>
      <c r="H1381" t="s">
        <v>23</v>
      </c>
      <c r="J1381" t="s">
        <v>16</v>
      </c>
      <c r="K1381">
        <v>577007.90534456098</v>
      </c>
      <c r="L1381" t="s">
        <v>17</v>
      </c>
      <c r="M1381">
        <v>0</v>
      </c>
      <c r="N1381">
        <v>1</v>
      </c>
    </row>
    <row r="1382" spans="2:14" x14ac:dyDescent="0.25">
      <c r="B1382" t="s">
        <v>14</v>
      </c>
      <c r="C1382" s="1">
        <v>46210.999988425923</v>
      </c>
      <c r="D1382">
        <v>25.157484031972199</v>
      </c>
      <c r="E1382">
        <v>577007.90534456098</v>
      </c>
      <c r="F1382" s="1">
        <v>46210.605798611112</v>
      </c>
      <c r="G1382">
        <v>52.875611498613097</v>
      </c>
      <c r="H1382" t="s">
        <v>23</v>
      </c>
      <c r="J1382" t="s">
        <v>16</v>
      </c>
      <c r="K1382">
        <v>577007.90534456098</v>
      </c>
      <c r="L1382" t="s">
        <v>17</v>
      </c>
      <c r="M1382">
        <v>0</v>
      </c>
      <c r="N1382">
        <v>1</v>
      </c>
    </row>
    <row r="1383" spans="2:14" x14ac:dyDescent="0.25">
      <c r="B1383" t="s">
        <v>14</v>
      </c>
      <c r="C1383" s="1">
        <v>46209.999988425923</v>
      </c>
      <c r="D1383">
        <v>25.157484031972199</v>
      </c>
      <c r="E1383">
        <v>150844.494326404</v>
      </c>
      <c r="F1383" s="1">
        <v>46207.099131944444</v>
      </c>
      <c r="G1383">
        <v>52.875611498613097</v>
      </c>
      <c r="H1383" t="s">
        <v>23</v>
      </c>
      <c r="J1383" t="s">
        <v>16</v>
      </c>
      <c r="K1383">
        <v>577007.90534456098</v>
      </c>
      <c r="L1383" t="s">
        <v>17</v>
      </c>
      <c r="M1383">
        <v>-426163.41101815598</v>
      </c>
      <c r="N1383">
        <v>0.26142535124597199</v>
      </c>
    </row>
    <row r="1384" spans="2:14" x14ac:dyDescent="0.25">
      <c r="B1384" t="s">
        <v>14</v>
      </c>
      <c r="C1384" s="1">
        <v>46208.999988425923</v>
      </c>
      <c r="D1384">
        <v>25.157484031972199</v>
      </c>
      <c r="E1384">
        <v>150844.494326404</v>
      </c>
      <c r="F1384" s="1">
        <v>46207.099131944444</v>
      </c>
      <c r="G1384">
        <v>52.875611498613097</v>
      </c>
      <c r="H1384" t="s">
        <v>23</v>
      </c>
      <c r="J1384" t="s">
        <v>16</v>
      </c>
      <c r="K1384">
        <v>577007.90534456098</v>
      </c>
      <c r="L1384" t="s">
        <v>17</v>
      </c>
      <c r="M1384">
        <v>0</v>
      </c>
      <c r="N1384">
        <v>0.26142535124597199</v>
      </c>
    </row>
    <row r="1385" spans="2:14" x14ac:dyDescent="0.25">
      <c r="B1385" t="s">
        <v>14</v>
      </c>
      <c r="C1385" s="1">
        <v>46207.999988425923</v>
      </c>
      <c r="D1385">
        <v>25.157484031972199</v>
      </c>
      <c r="E1385">
        <v>150844.494326404</v>
      </c>
      <c r="F1385" s="1">
        <v>46207.099131944444</v>
      </c>
      <c r="G1385">
        <v>52.875611498613097</v>
      </c>
      <c r="H1385" t="s">
        <v>23</v>
      </c>
      <c r="J1385" t="s">
        <v>16</v>
      </c>
      <c r="K1385">
        <v>577007.90534456098</v>
      </c>
      <c r="L1385" t="s">
        <v>17</v>
      </c>
      <c r="M1385">
        <v>0</v>
      </c>
      <c r="N1385">
        <v>0.26142535124597199</v>
      </c>
    </row>
    <row r="1386" spans="2:14" x14ac:dyDescent="0.25">
      <c r="B1386" t="s">
        <v>14</v>
      </c>
      <c r="C1386" s="1">
        <v>46206.999988425923</v>
      </c>
      <c r="D1386">
        <v>25.157484031972199</v>
      </c>
      <c r="E1386">
        <v>521433.525603146</v>
      </c>
      <c r="F1386" s="1">
        <v>46204.605509259258</v>
      </c>
      <c r="G1386">
        <v>52.875611498613097</v>
      </c>
      <c r="H1386" t="s">
        <v>23</v>
      </c>
      <c r="J1386" t="s">
        <v>16</v>
      </c>
      <c r="K1386">
        <v>577007.90534456098</v>
      </c>
      <c r="L1386" t="s">
        <v>17</v>
      </c>
      <c r="M1386">
        <v>370589.03127674101</v>
      </c>
      <c r="N1386">
        <v>0.90368523684570801</v>
      </c>
    </row>
    <row r="1387" spans="2:14" x14ac:dyDescent="0.25">
      <c r="B1387" t="s">
        <v>14</v>
      </c>
      <c r="C1387" s="1">
        <v>46205.999988425923</v>
      </c>
      <c r="D1387">
        <v>25.157484031972199</v>
      </c>
      <c r="E1387">
        <v>521433.525603146</v>
      </c>
      <c r="F1387" s="1">
        <v>46204.605509259258</v>
      </c>
      <c r="G1387">
        <v>52.875611498613097</v>
      </c>
      <c r="H1387" t="s">
        <v>23</v>
      </c>
      <c r="J1387" t="s">
        <v>16</v>
      </c>
      <c r="K1387">
        <v>577007.90534456098</v>
      </c>
      <c r="L1387" t="s">
        <v>17</v>
      </c>
      <c r="M1387">
        <v>0</v>
      </c>
      <c r="N1387">
        <v>0.90368523684570801</v>
      </c>
    </row>
    <row r="1388" spans="2:14" x14ac:dyDescent="0.25">
      <c r="B1388" t="s">
        <v>14</v>
      </c>
      <c r="C1388" s="1">
        <v>46204.999988425923</v>
      </c>
      <c r="D1388">
        <v>25.157484031972199</v>
      </c>
      <c r="E1388">
        <v>521433.525603146</v>
      </c>
      <c r="F1388" s="1">
        <v>46204.605509259258</v>
      </c>
      <c r="G1388">
        <v>52.875611498613097</v>
      </c>
      <c r="H1388" t="s">
        <v>23</v>
      </c>
      <c r="J1388" t="s">
        <v>16</v>
      </c>
      <c r="K1388">
        <v>577007.90534456098</v>
      </c>
      <c r="L1388" t="s">
        <v>17</v>
      </c>
      <c r="M1388">
        <v>0</v>
      </c>
      <c r="N1388">
        <v>0.90368523684570801</v>
      </c>
    </row>
    <row r="1389" spans="2:14" x14ac:dyDescent="0.25">
      <c r="B1389" t="s">
        <v>14</v>
      </c>
      <c r="C1389" s="1">
        <v>46203.999988425923</v>
      </c>
      <c r="D1389">
        <v>25.157484031972199</v>
      </c>
      <c r="E1389">
        <v>577007.90534456098</v>
      </c>
      <c r="F1389" s="1">
        <v>46201.099305555559</v>
      </c>
      <c r="G1389">
        <v>52.875611498613097</v>
      </c>
      <c r="H1389" t="s">
        <v>23</v>
      </c>
      <c r="J1389" t="s">
        <v>16</v>
      </c>
      <c r="K1389">
        <v>577007.90534456098</v>
      </c>
      <c r="L1389" t="s">
        <v>17</v>
      </c>
      <c r="M1389">
        <v>55574.379741415098</v>
      </c>
      <c r="N1389">
        <v>1</v>
      </c>
    </row>
    <row r="1390" spans="2:14" x14ac:dyDescent="0.25">
      <c r="B1390" t="s">
        <v>14</v>
      </c>
      <c r="C1390" s="1">
        <v>46202.999988425923</v>
      </c>
      <c r="D1390">
        <v>25.157484031972199</v>
      </c>
      <c r="E1390">
        <v>577007.90534456098</v>
      </c>
      <c r="F1390" s="1">
        <v>46201.099305555559</v>
      </c>
      <c r="G1390">
        <v>52.875611498613097</v>
      </c>
      <c r="H1390" t="s">
        <v>23</v>
      </c>
      <c r="J1390" t="s">
        <v>16</v>
      </c>
      <c r="K1390">
        <v>577007.90534456098</v>
      </c>
      <c r="L1390" t="s">
        <v>17</v>
      </c>
      <c r="M1390">
        <v>0</v>
      </c>
      <c r="N1390">
        <v>1</v>
      </c>
    </row>
    <row r="1391" spans="2:14" x14ac:dyDescent="0.25">
      <c r="B1391" t="s">
        <v>14</v>
      </c>
      <c r="C1391" s="1">
        <v>46201.999988425923</v>
      </c>
      <c r="D1391">
        <v>25.157484031972199</v>
      </c>
      <c r="E1391">
        <v>577007.90534456098</v>
      </c>
      <c r="F1391" s="1">
        <v>46201.099305555559</v>
      </c>
      <c r="G1391">
        <v>52.875611498613097</v>
      </c>
      <c r="H1391" t="s">
        <v>23</v>
      </c>
      <c r="J1391" t="s">
        <v>16</v>
      </c>
      <c r="K1391">
        <v>577007.90534456098</v>
      </c>
      <c r="L1391" t="s">
        <v>17</v>
      </c>
      <c r="M1391">
        <v>0</v>
      </c>
      <c r="N1391">
        <v>1</v>
      </c>
    </row>
    <row r="1392" spans="2:14" x14ac:dyDescent="0.25">
      <c r="B1392" t="s">
        <v>14</v>
      </c>
      <c r="C1392" s="1">
        <v>46200.999988425923</v>
      </c>
      <c r="D1392">
        <v>25.157484031972199</v>
      </c>
      <c r="E1392">
        <v>146942.55668835301</v>
      </c>
      <c r="F1392" s="1">
        <v>46198.605787037035</v>
      </c>
      <c r="G1392">
        <v>52.875611498613097</v>
      </c>
      <c r="H1392" t="s">
        <v>23</v>
      </c>
      <c r="J1392" t="s">
        <v>16</v>
      </c>
      <c r="K1392">
        <v>577007.90534456098</v>
      </c>
      <c r="L1392" t="s">
        <v>17</v>
      </c>
      <c r="M1392">
        <v>-430065.34865620697</v>
      </c>
      <c r="N1392">
        <v>0.25466298698387202</v>
      </c>
    </row>
    <row r="1393" spans="2:14" x14ac:dyDescent="0.25">
      <c r="B1393" t="s">
        <v>14</v>
      </c>
      <c r="C1393" s="1">
        <v>46199.999988425923</v>
      </c>
      <c r="D1393">
        <v>25.157484031972199</v>
      </c>
      <c r="E1393">
        <v>146942.55668835301</v>
      </c>
      <c r="F1393" s="1">
        <v>46198.605787037035</v>
      </c>
      <c r="G1393">
        <v>52.875611498613097</v>
      </c>
      <c r="H1393" t="s">
        <v>23</v>
      </c>
      <c r="J1393" t="s">
        <v>16</v>
      </c>
      <c r="K1393">
        <v>577007.90534456098</v>
      </c>
      <c r="L1393" t="s">
        <v>17</v>
      </c>
      <c r="M1393">
        <v>0</v>
      </c>
      <c r="N1393">
        <v>0.25466298698387202</v>
      </c>
    </row>
    <row r="1394" spans="2:14" x14ac:dyDescent="0.25">
      <c r="B1394" t="s">
        <v>14</v>
      </c>
      <c r="C1394" s="1">
        <v>46198.999988425923</v>
      </c>
      <c r="D1394">
        <v>25.157484031972199</v>
      </c>
      <c r="E1394">
        <v>146942.55668835301</v>
      </c>
      <c r="F1394" s="1">
        <v>46198.605787037035</v>
      </c>
      <c r="G1394">
        <v>52.875611498613097</v>
      </c>
      <c r="H1394" t="s">
        <v>23</v>
      </c>
      <c r="J1394" t="s">
        <v>16</v>
      </c>
      <c r="K1394">
        <v>577007.90534456098</v>
      </c>
      <c r="L1394" t="s">
        <v>17</v>
      </c>
      <c r="M1394">
        <v>0</v>
      </c>
      <c r="N1394">
        <v>0.25466298698387202</v>
      </c>
    </row>
    <row r="1395" spans="2:14" x14ac:dyDescent="0.25">
      <c r="B1395" t="s">
        <v>14</v>
      </c>
      <c r="C1395" s="1">
        <v>46197.999988425923</v>
      </c>
      <c r="D1395">
        <v>25.157484031972199</v>
      </c>
      <c r="E1395">
        <v>135575.41436693401</v>
      </c>
      <c r="F1395" s="1">
        <v>46194.099780092591</v>
      </c>
      <c r="G1395">
        <v>52.875611498613097</v>
      </c>
      <c r="H1395" t="s">
        <v>23</v>
      </c>
      <c r="J1395" t="s">
        <v>16</v>
      </c>
      <c r="K1395">
        <v>577007.90534456098</v>
      </c>
      <c r="L1395" t="s">
        <v>17</v>
      </c>
      <c r="M1395">
        <v>-11367.1423214194</v>
      </c>
      <c r="N1395">
        <v>0.23496283692330799</v>
      </c>
    </row>
    <row r="1396" spans="2:14" x14ac:dyDescent="0.25">
      <c r="B1396" t="s">
        <v>14</v>
      </c>
      <c r="C1396" s="1">
        <v>46196.999988425923</v>
      </c>
      <c r="D1396">
        <v>25.157484031972199</v>
      </c>
      <c r="E1396">
        <v>135575.41436693401</v>
      </c>
      <c r="F1396" s="1">
        <v>46194.099780092591</v>
      </c>
      <c r="G1396">
        <v>52.875611498613097</v>
      </c>
      <c r="H1396" t="s">
        <v>23</v>
      </c>
      <c r="J1396" t="s">
        <v>16</v>
      </c>
      <c r="K1396">
        <v>577007.90534456098</v>
      </c>
      <c r="L1396" t="s">
        <v>17</v>
      </c>
      <c r="M1396">
        <v>0</v>
      </c>
      <c r="N1396">
        <v>0.23496283692330799</v>
      </c>
    </row>
    <row r="1397" spans="2:14" x14ac:dyDescent="0.25">
      <c r="B1397" t="s">
        <v>14</v>
      </c>
      <c r="C1397" s="1">
        <v>46195.999988425923</v>
      </c>
      <c r="D1397">
        <v>25.157484031972199</v>
      </c>
      <c r="E1397">
        <v>135575.41436693401</v>
      </c>
      <c r="F1397" s="1">
        <v>46194.099780092591</v>
      </c>
      <c r="G1397">
        <v>52.875611498613097</v>
      </c>
      <c r="H1397" t="s">
        <v>23</v>
      </c>
      <c r="J1397" t="s">
        <v>16</v>
      </c>
      <c r="K1397">
        <v>577007.90534456098</v>
      </c>
      <c r="L1397" t="s">
        <v>17</v>
      </c>
      <c r="M1397">
        <v>0</v>
      </c>
      <c r="N1397">
        <v>0.23496283692330799</v>
      </c>
    </row>
    <row r="1398" spans="2:14" x14ac:dyDescent="0.25">
      <c r="B1398" t="s">
        <v>14</v>
      </c>
      <c r="C1398" s="1">
        <v>46194.999988425923</v>
      </c>
      <c r="D1398">
        <v>25.157484031972199</v>
      </c>
      <c r="E1398">
        <v>135575.41436693401</v>
      </c>
      <c r="F1398" s="1">
        <v>46194.099780092591</v>
      </c>
      <c r="G1398">
        <v>52.875611498613097</v>
      </c>
      <c r="H1398" t="s">
        <v>23</v>
      </c>
      <c r="J1398" t="s">
        <v>16</v>
      </c>
      <c r="K1398">
        <v>577007.90534456098</v>
      </c>
      <c r="L1398" t="s">
        <v>17</v>
      </c>
      <c r="M1398">
        <v>0</v>
      </c>
      <c r="N1398">
        <v>0.23496283692330799</v>
      </c>
    </row>
    <row r="1399" spans="2:14" x14ac:dyDescent="0.25">
      <c r="B1399" t="s">
        <v>14</v>
      </c>
      <c r="C1399" s="1">
        <v>46193.999988425923</v>
      </c>
      <c r="D1399">
        <v>25.157484031972199</v>
      </c>
      <c r="E1399">
        <v>142654.94250039099</v>
      </c>
      <c r="F1399" s="1">
        <v>46191.606261574074</v>
      </c>
      <c r="G1399">
        <v>52.875611498613097</v>
      </c>
      <c r="H1399" t="s">
        <v>23</v>
      </c>
      <c r="J1399" t="s">
        <v>16</v>
      </c>
      <c r="K1399">
        <v>577007.90534456098</v>
      </c>
      <c r="L1399" t="s">
        <v>17</v>
      </c>
      <c r="M1399">
        <v>7079.5281334568799</v>
      </c>
      <c r="N1399">
        <v>0.24723221498188</v>
      </c>
    </row>
    <row r="1400" spans="2:14" x14ac:dyDescent="0.25">
      <c r="B1400" t="s">
        <v>14</v>
      </c>
      <c r="C1400" s="1">
        <v>46192.999988425923</v>
      </c>
      <c r="D1400">
        <v>25.157484031972199</v>
      </c>
      <c r="E1400">
        <v>142654.94250039099</v>
      </c>
      <c r="F1400" s="1">
        <v>46191.606261574074</v>
      </c>
      <c r="G1400">
        <v>52.875611498613097</v>
      </c>
      <c r="H1400" t="s">
        <v>23</v>
      </c>
      <c r="J1400" t="s">
        <v>16</v>
      </c>
      <c r="K1400">
        <v>577007.90534456098</v>
      </c>
      <c r="L1400" t="s">
        <v>17</v>
      </c>
      <c r="M1400">
        <v>0</v>
      </c>
      <c r="N1400">
        <v>0.24723221498188</v>
      </c>
    </row>
    <row r="1401" spans="2:14" x14ac:dyDescent="0.25">
      <c r="B1401" t="s">
        <v>14</v>
      </c>
      <c r="C1401" s="1">
        <v>46191.999988425923</v>
      </c>
      <c r="D1401">
        <v>25.157484031972199</v>
      </c>
      <c r="E1401">
        <v>142654.94250039099</v>
      </c>
      <c r="F1401" s="1">
        <v>46191.606261574074</v>
      </c>
      <c r="G1401">
        <v>52.875611498613097</v>
      </c>
      <c r="H1401" t="s">
        <v>23</v>
      </c>
      <c r="J1401" t="s">
        <v>16</v>
      </c>
      <c r="K1401">
        <v>577007.90534456098</v>
      </c>
      <c r="L1401" t="s">
        <v>17</v>
      </c>
      <c r="M1401">
        <v>0</v>
      </c>
      <c r="N1401">
        <v>0.24723221498188</v>
      </c>
    </row>
    <row r="1402" spans="2:14" x14ac:dyDescent="0.25">
      <c r="B1402" t="s">
        <v>14</v>
      </c>
      <c r="C1402" s="1">
        <v>46190.999988425923</v>
      </c>
      <c r="D1402">
        <v>25.157484031972199</v>
      </c>
      <c r="E1402">
        <v>577007.90534456098</v>
      </c>
      <c r="F1402" s="1">
        <v>46189.099270833336</v>
      </c>
      <c r="G1402">
        <v>52.875611498613097</v>
      </c>
      <c r="H1402" t="s">
        <v>23</v>
      </c>
      <c r="J1402" t="s">
        <v>16</v>
      </c>
      <c r="K1402">
        <v>577007.90534456098</v>
      </c>
      <c r="L1402" t="s">
        <v>17</v>
      </c>
      <c r="M1402">
        <v>434352.96284416999</v>
      </c>
      <c r="N1402">
        <v>1</v>
      </c>
    </row>
    <row r="1403" spans="2:14" x14ac:dyDescent="0.25">
      <c r="B1403" t="s">
        <v>14</v>
      </c>
      <c r="C1403" s="1">
        <v>46189.999988425923</v>
      </c>
      <c r="D1403">
        <v>25.157484031972199</v>
      </c>
      <c r="E1403">
        <v>577007.90534456098</v>
      </c>
      <c r="F1403" s="1">
        <v>46189.099270833336</v>
      </c>
      <c r="G1403">
        <v>52.875611498613097</v>
      </c>
      <c r="H1403" t="s">
        <v>23</v>
      </c>
      <c r="J1403" t="s">
        <v>16</v>
      </c>
      <c r="K1403">
        <v>577007.90534456098</v>
      </c>
      <c r="L1403" t="s">
        <v>17</v>
      </c>
      <c r="M1403">
        <v>0</v>
      </c>
      <c r="N1403">
        <v>1</v>
      </c>
    </row>
    <row r="1404" spans="2:14" x14ac:dyDescent="0.25">
      <c r="B1404" t="s">
        <v>14</v>
      </c>
      <c r="C1404" s="1">
        <v>46188.999988425923</v>
      </c>
      <c r="D1404">
        <v>25.157484031972199</v>
      </c>
      <c r="E1404">
        <v>398527.99525042099</v>
      </c>
      <c r="F1404" s="1">
        <v>46186.60564814815</v>
      </c>
      <c r="G1404">
        <v>52.875611498613097</v>
      </c>
      <c r="H1404" t="s">
        <v>23</v>
      </c>
      <c r="J1404" t="s">
        <v>16</v>
      </c>
      <c r="K1404">
        <v>577007.90534456098</v>
      </c>
      <c r="L1404" t="s">
        <v>17</v>
      </c>
      <c r="M1404">
        <v>-178479.91009413899</v>
      </c>
      <c r="N1404">
        <v>0.69068030361289401</v>
      </c>
    </row>
    <row r="1405" spans="2:14" x14ac:dyDescent="0.25">
      <c r="B1405" t="s">
        <v>14</v>
      </c>
      <c r="C1405" s="1">
        <v>46187.999988425923</v>
      </c>
      <c r="D1405">
        <v>25.157484031972199</v>
      </c>
      <c r="E1405">
        <v>398527.99525042099</v>
      </c>
      <c r="F1405" s="1">
        <v>46186.60564814815</v>
      </c>
      <c r="G1405">
        <v>52.875611498613097</v>
      </c>
      <c r="H1405" t="s">
        <v>23</v>
      </c>
      <c r="J1405" t="s">
        <v>16</v>
      </c>
      <c r="K1405">
        <v>577007.90534456098</v>
      </c>
      <c r="L1405" t="s">
        <v>17</v>
      </c>
      <c r="M1405">
        <v>0</v>
      </c>
      <c r="N1405">
        <v>0.69068030361289401</v>
      </c>
    </row>
    <row r="1406" spans="2:14" x14ac:dyDescent="0.25">
      <c r="B1406" t="s">
        <v>14</v>
      </c>
      <c r="C1406" s="1">
        <v>46186.999988425923</v>
      </c>
      <c r="D1406">
        <v>25.157484031972199</v>
      </c>
      <c r="E1406">
        <v>398527.99525042099</v>
      </c>
      <c r="F1406" s="1">
        <v>46186.60564814815</v>
      </c>
      <c r="G1406">
        <v>52.875611498613097</v>
      </c>
      <c r="H1406" t="s">
        <v>23</v>
      </c>
      <c r="J1406" t="s">
        <v>16</v>
      </c>
      <c r="K1406">
        <v>577007.90534456098</v>
      </c>
      <c r="L1406" t="s">
        <v>17</v>
      </c>
      <c r="M1406">
        <v>0</v>
      </c>
      <c r="N1406">
        <v>0.69068030361289401</v>
      </c>
    </row>
    <row r="1407" spans="2:14" x14ac:dyDescent="0.25">
      <c r="B1407" t="s">
        <v>14</v>
      </c>
      <c r="C1407" s="1">
        <v>46185.999988425923</v>
      </c>
      <c r="D1407">
        <v>25.157484031972199</v>
      </c>
      <c r="E1407">
        <v>577007.90534456098</v>
      </c>
      <c r="F1407" s="1">
        <v>46182.099780092591</v>
      </c>
      <c r="G1407">
        <v>52.875611498613097</v>
      </c>
      <c r="H1407" t="s">
        <v>23</v>
      </c>
      <c r="J1407" t="s">
        <v>16</v>
      </c>
      <c r="K1407">
        <v>577007.90534456098</v>
      </c>
      <c r="L1407" t="s">
        <v>17</v>
      </c>
      <c r="M1407">
        <v>178479.91009413899</v>
      </c>
      <c r="N1407">
        <v>1</v>
      </c>
    </row>
    <row r="1408" spans="2:14" x14ac:dyDescent="0.25">
      <c r="B1408" t="s">
        <v>14</v>
      </c>
      <c r="C1408" s="1">
        <v>46184.999988425923</v>
      </c>
      <c r="D1408">
        <v>25.157484031972199</v>
      </c>
      <c r="E1408">
        <v>577007.90534456098</v>
      </c>
      <c r="F1408" s="1">
        <v>46182.099780092591</v>
      </c>
      <c r="G1408">
        <v>52.875611498613097</v>
      </c>
      <c r="H1408" t="s">
        <v>23</v>
      </c>
      <c r="J1408" t="s">
        <v>16</v>
      </c>
      <c r="K1408">
        <v>577007.90534456098</v>
      </c>
      <c r="L1408" t="s">
        <v>17</v>
      </c>
      <c r="M1408">
        <v>0</v>
      </c>
      <c r="N1408">
        <v>1</v>
      </c>
    </row>
    <row r="1409" spans="2:14" x14ac:dyDescent="0.25">
      <c r="B1409" t="s">
        <v>14</v>
      </c>
      <c r="C1409" s="1">
        <v>46183.999988425923</v>
      </c>
      <c r="D1409">
        <v>25.157484031972199</v>
      </c>
      <c r="E1409">
        <v>577007.90534456098</v>
      </c>
      <c r="F1409" s="1">
        <v>46182.099780092591</v>
      </c>
      <c r="G1409">
        <v>52.875611498613097</v>
      </c>
      <c r="H1409" t="s">
        <v>23</v>
      </c>
      <c r="J1409" t="s">
        <v>16</v>
      </c>
      <c r="K1409">
        <v>577007.90534456098</v>
      </c>
      <c r="L1409" t="s">
        <v>17</v>
      </c>
      <c r="M1409">
        <v>0</v>
      </c>
      <c r="N1409">
        <v>1</v>
      </c>
    </row>
    <row r="1410" spans="2:14" x14ac:dyDescent="0.25">
      <c r="B1410" t="s">
        <v>14</v>
      </c>
      <c r="C1410" s="1">
        <v>46182.999988425923</v>
      </c>
      <c r="D1410">
        <v>25.157484031972199</v>
      </c>
      <c r="E1410">
        <v>577007.90534456098</v>
      </c>
      <c r="F1410" s="1">
        <v>46182.099780092591</v>
      </c>
      <c r="G1410">
        <v>52.875611498613097</v>
      </c>
      <c r="H1410" t="s">
        <v>23</v>
      </c>
      <c r="J1410" t="s">
        <v>16</v>
      </c>
      <c r="K1410">
        <v>577007.90534456098</v>
      </c>
      <c r="L1410" t="s">
        <v>17</v>
      </c>
      <c r="M1410">
        <v>0</v>
      </c>
      <c r="N1410">
        <v>1</v>
      </c>
    </row>
    <row r="1411" spans="2:14" x14ac:dyDescent="0.25">
      <c r="B1411" t="s">
        <v>14</v>
      </c>
      <c r="C1411" s="1">
        <v>46181.999988425923</v>
      </c>
      <c r="D1411">
        <v>25.157484031972199</v>
      </c>
      <c r="E1411">
        <v>577007.90534456098</v>
      </c>
      <c r="F1411" s="1">
        <v>46179.606273148151</v>
      </c>
      <c r="G1411">
        <v>52.875611498613097</v>
      </c>
      <c r="H1411" t="s">
        <v>23</v>
      </c>
      <c r="J1411" t="s">
        <v>16</v>
      </c>
      <c r="K1411">
        <v>577007.90534456098</v>
      </c>
      <c r="L1411" t="s">
        <v>17</v>
      </c>
      <c r="M1411">
        <v>0</v>
      </c>
      <c r="N1411">
        <v>1</v>
      </c>
    </row>
    <row r="1412" spans="2:14" x14ac:dyDescent="0.25">
      <c r="B1412" t="s">
        <v>14</v>
      </c>
      <c r="C1412" s="1">
        <v>46180.999988425923</v>
      </c>
      <c r="D1412">
        <v>25.157484031972199</v>
      </c>
      <c r="E1412">
        <v>577007.90534456098</v>
      </c>
      <c r="F1412" s="1">
        <v>46179.606273148151</v>
      </c>
      <c r="G1412">
        <v>52.875611498613097</v>
      </c>
      <c r="H1412" t="s">
        <v>23</v>
      </c>
      <c r="J1412" t="s">
        <v>16</v>
      </c>
      <c r="K1412">
        <v>577007.90534456098</v>
      </c>
      <c r="L1412" t="s">
        <v>17</v>
      </c>
      <c r="M1412">
        <v>0</v>
      </c>
      <c r="N1412">
        <v>1</v>
      </c>
    </row>
    <row r="1413" spans="2:14" x14ac:dyDescent="0.25">
      <c r="B1413" t="s">
        <v>14</v>
      </c>
      <c r="C1413" s="1">
        <v>46179.999988425923</v>
      </c>
      <c r="D1413">
        <v>25.157484031972199</v>
      </c>
      <c r="E1413">
        <v>577007.90534456098</v>
      </c>
      <c r="F1413" s="1">
        <v>46179.606273148151</v>
      </c>
      <c r="G1413">
        <v>52.875611498613097</v>
      </c>
      <c r="H1413" t="s">
        <v>23</v>
      </c>
      <c r="J1413" t="s">
        <v>16</v>
      </c>
      <c r="K1413">
        <v>577007.90534456098</v>
      </c>
      <c r="L1413" t="s">
        <v>17</v>
      </c>
      <c r="M1413">
        <v>0</v>
      </c>
      <c r="N1413">
        <v>1</v>
      </c>
    </row>
    <row r="1414" spans="2:14" x14ac:dyDescent="0.25">
      <c r="B1414" t="s">
        <v>14</v>
      </c>
      <c r="C1414" s="1">
        <v>46178.999988425923</v>
      </c>
      <c r="D1414">
        <v>25.157484031972199</v>
      </c>
      <c r="E1414">
        <v>283347.36171095999</v>
      </c>
      <c r="F1414" s="1">
        <v>46177.099259259259</v>
      </c>
      <c r="G1414">
        <v>52.875611498613097</v>
      </c>
      <c r="H1414" t="s">
        <v>23</v>
      </c>
      <c r="J1414" t="s">
        <v>16</v>
      </c>
      <c r="K1414">
        <v>577007.90534456098</v>
      </c>
      <c r="L1414" t="s">
        <v>17</v>
      </c>
      <c r="M1414">
        <v>-293660.5436336</v>
      </c>
      <c r="N1414">
        <v>0.49106322302769601</v>
      </c>
    </row>
    <row r="1415" spans="2:14" x14ac:dyDescent="0.25">
      <c r="B1415" t="s">
        <v>14</v>
      </c>
      <c r="C1415" s="1">
        <v>46177.999988425923</v>
      </c>
      <c r="D1415">
        <v>25.157484031972199</v>
      </c>
      <c r="E1415">
        <v>283347.36171095999</v>
      </c>
      <c r="F1415" s="1">
        <v>46177.099259259259</v>
      </c>
      <c r="G1415">
        <v>52.875611498613097</v>
      </c>
      <c r="H1415" t="s">
        <v>23</v>
      </c>
      <c r="J1415" t="s">
        <v>16</v>
      </c>
      <c r="K1415">
        <v>577007.90534456098</v>
      </c>
      <c r="L1415" t="s">
        <v>17</v>
      </c>
      <c r="M1415">
        <v>0</v>
      </c>
      <c r="N1415">
        <v>0.49106322302769601</v>
      </c>
    </row>
    <row r="1416" spans="2:14" x14ac:dyDescent="0.25">
      <c r="B1416" t="s">
        <v>14</v>
      </c>
      <c r="C1416" s="1">
        <v>46176.999988425923</v>
      </c>
      <c r="D1416">
        <v>25.157484031972199</v>
      </c>
      <c r="E1416">
        <v>282857.49364664202</v>
      </c>
      <c r="F1416" s="1">
        <v>46176.099143518521</v>
      </c>
      <c r="G1416">
        <v>52.875611498613097</v>
      </c>
      <c r="H1416" t="s">
        <v>23</v>
      </c>
      <c r="J1416" t="s">
        <v>16</v>
      </c>
      <c r="K1416">
        <v>577007.90534456098</v>
      </c>
      <c r="L1416" t="s">
        <v>17</v>
      </c>
      <c r="M1416">
        <v>-489.86806431750301</v>
      </c>
      <c r="N1416">
        <v>0.490214243213416</v>
      </c>
    </row>
    <row r="1417" spans="2:14" x14ac:dyDescent="0.25">
      <c r="B1417" t="s">
        <v>14</v>
      </c>
      <c r="C1417" s="1">
        <v>46175.999988425923</v>
      </c>
      <c r="D1417">
        <v>25.157484031972199</v>
      </c>
      <c r="E1417">
        <v>141726.379768454</v>
      </c>
      <c r="F1417" s="1">
        <v>46173.605520833335</v>
      </c>
      <c r="G1417">
        <v>52.875611498613097</v>
      </c>
      <c r="H1417" t="s">
        <v>23</v>
      </c>
      <c r="J1417" t="s">
        <v>16</v>
      </c>
      <c r="K1417">
        <v>577007.90534456098</v>
      </c>
      <c r="L1417" t="s">
        <v>17</v>
      </c>
      <c r="M1417">
        <v>-141131.113878187</v>
      </c>
      <c r="N1417">
        <v>0.24562294286734701</v>
      </c>
    </row>
    <row r="1418" spans="2:14" x14ac:dyDescent="0.25">
      <c r="B1418" t="s">
        <v>14</v>
      </c>
      <c r="C1418" s="1">
        <v>46174.999988425923</v>
      </c>
      <c r="D1418">
        <v>25.157484031972199</v>
      </c>
      <c r="E1418">
        <v>141726.379768454</v>
      </c>
      <c r="F1418" s="1">
        <v>46173.605520833335</v>
      </c>
      <c r="G1418">
        <v>52.875611498613097</v>
      </c>
      <c r="H1418" t="s">
        <v>23</v>
      </c>
      <c r="J1418" t="s">
        <v>16</v>
      </c>
      <c r="K1418">
        <v>577007.90534456098</v>
      </c>
      <c r="L1418" t="s">
        <v>17</v>
      </c>
      <c r="M1418">
        <v>0</v>
      </c>
      <c r="N1418">
        <v>0.24562294286734701</v>
      </c>
    </row>
    <row r="1419" spans="2:14" x14ac:dyDescent="0.25">
      <c r="B1419" t="s">
        <v>14</v>
      </c>
      <c r="C1419" s="1">
        <v>46173.999988425923</v>
      </c>
      <c r="D1419">
        <v>25.157484031972199</v>
      </c>
      <c r="E1419">
        <v>141726.379768454</v>
      </c>
      <c r="F1419" s="1">
        <v>46173.605520833335</v>
      </c>
      <c r="G1419">
        <v>52.875611498613097</v>
      </c>
      <c r="H1419" t="s">
        <v>23</v>
      </c>
      <c r="J1419" t="s">
        <v>16</v>
      </c>
      <c r="K1419">
        <v>577007.90534456098</v>
      </c>
      <c r="L1419" t="s">
        <v>17</v>
      </c>
      <c r="M1419">
        <v>0</v>
      </c>
      <c r="N1419">
        <v>0.24562294286734701</v>
      </c>
    </row>
    <row r="1420" spans="2:14" x14ac:dyDescent="0.25">
      <c r="B1420" t="s">
        <v>14</v>
      </c>
      <c r="C1420" s="1">
        <v>46172.999988425923</v>
      </c>
      <c r="D1420">
        <v>25.157484031972199</v>
      </c>
      <c r="E1420">
        <v>577007.90534456098</v>
      </c>
      <c r="F1420" s="1">
        <v>46170.099791666667</v>
      </c>
      <c r="G1420">
        <v>52.875611498613097</v>
      </c>
      <c r="H1420" t="s">
        <v>23</v>
      </c>
      <c r="J1420" t="s">
        <v>16</v>
      </c>
      <c r="K1420">
        <v>577007.90534456098</v>
      </c>
      <c r="L1420" t="s">
        <v>17</v>
      </c>
      <c r="M1420">
        <v>435281.52557610598</v>
      </c>
      <c r="N1420">
        <v>1</v>
      </c>
    </row>
    <row r="1421" spans="2:14" x14ac:dyDescent="0.25">
      <c r="B1421" t="s">
        <v>14</v>
      </c>
      <c r="C1421" s="1">
        <v>46171.999988425923</v>
      </c>
      <c r="D1421">
        <v>25.157484031972199</v>
      </c>
      <c r="E1421">
        <v>577007.90534456098</v>
      </c>
      <c r="F1421" s="1">
        <v>46170.099791666667</v>
      </c>
      <c r="G1421">
        <v>52.875611498613097</v>
      </c>
      <c r="H1421" t="s">
        <v>23</v>
      </c>
      <c r="J1421" t="s">
        <v>16</v>
      </c>
      <c r="K1421">
        <v>577007.90534456098</v>
      </c>
      <c r="L1421" t="s">
        <v>17</v>
      </c>
      <c r="M1421">
        <v>0</v>
      </c>
      <c r="N1421">
        <v>1</v>
      </c>
    </row>
    <row r="1422" spans="2:14" x14ac:dyDescent="0.25">
      <c r="B1422" t="s">
        <v>14</v>
      </c>
      <c r="C1422" s="1">
        <v>46170.999988425923</v>
      </c>
      <c r="D1422">
        <v>25.157484031972199</v>
      </c>
      <c r="E1422">
        <v>577007.90534456098</v>
      </c>
      <c r="F1422" s="1">
        <v>46170.099791666667</v>
      </c>
      <c r="G1422">
        <v>52.875611498613097</v>
      </c>
      <c r="H1422" t="s">
        <v>23</v>
      </c>
      <c r="J1422" t="s">
        <v>16</v>
      </c>
      <c r="K1422">
        <v>577007.90534456098</v>
      </c>
      <c r="L1422" t="s">
        <v>17</v>
      </c>
      <c r="M1422">
        <v>0</v>
      </c>
      <c r="N1422">
        <v>1</v>
      </c>
    </row>
    <row r="1423" spans="2:14" x14ac:dyDescent="0.25">
      <c r="B1423" t="s">
        <v>14</v>
      </c>
      <c r="C1423" s="1">
        <v>46169.999988425923</v>
      </c>
      <c r="D1423">
        <v>25.157484031972199</v>
      </c>
      <c r="E1423">
        <v>149355.57561022899</v>
      </c>
      <c r="F1423" s="1">
        <v>46167.60628472222</v>
      </c>
      <c r="G1423">
        <v>52.875611498613097</v>
      </c>
      <c r="H1423" t="s">
        <v>23</v>
      </c>
      <c r="J1423" t="s">
        <v>16</v>
      </c>
      <c r="K1423">
        <v>577007.90534456098</v>
      </c>
      <c r="L1423" t="s">
        <v>17</v>
      </c>
      <c r="M1423">
        <v>-427652.32973433199</v>
      </c>
      <c r="N1423">
        <v>0.25884493821803201</v>
      </c>
    </row>
    <row r="1424" spans="2:14" x14ac:dyDescent="0.25">
      <c r="B1424" t="s">
        <v>14</v>
      </c>
      <c r="C1424" s="1">
        <v>46168.999988425923</v>
      </c>
      <c r="D1424">
        <v>25.157484031972199</v>
      </c>
      <c r="E1424">
        <v>149355.57561022899</v>
      </c>
      <c r="F1424" s="1">
        <v>46167.60628472222</v>
      </c>
      <c r="G1424">
        <v>52.875611498613097</v>
      </c>
      <c r="H1424" t="s">
        <v>23</v>
      </c>
      <c r="J1424" t="s">
        <v>16</v>
      </c>
      <c r="K1424">
        <v>577007.90534456098</v>
      </c>
      <c r="L1424" t="s">
        <v>17</v>
      </c>
      <c r="M1424">
        <v>0</v>
      </c>
      <c r="N1424">
        <v>0.25884493821803201</v>
      </c>
    </row>
    <row r="1425" spans="2:14" x14ac:dyDescent="0.25">
      <c r="B1425" t="s">
        <v>14</v>
      </c>
      <c r="C1425" s="1">
        <v>46167.999988425923</v>
      </c>
      <c r="D1425">
        <v>25.157484031972199</v>
      </c>
      <c r="E1425">
        <v>149355.57561022899</v>
      </c>
      <c r="F1425" s="1">
        <v>46167.60628472222</v>
      </c>
      <c r="G1425">
        <v>52.875611498613097</v>
      </c>
      <c r="H1425" t="s">
        <v>23</v>
      </c>
      <c r="J1425" t="s">
        <v>16</v>
      </c>
      <c r="K1425">
        <v>577007.90534456098</v>
      </c>
      <c r="L1425" t="s">
        <v>17</v>
      </c>
      <c r="M1425">
        <v>0</v>
      </c>
      <c r="N1425">
        <v>0.25884493821803201</v>
      </c>
    </row>
    <row r="1426" spans="2:14" x14ac:dyDescent="0.25">
      <c r="B1426" t="s">
        <v>14</v>
      </c>
      <c r="C1426" s="1">
        <v>46166.999988425923</v>
      </c>
      <c r="D1426">
        <v>25.157484031972199</v>
      </c>
      <c r="E1426">
        <v>577007.90534456098</v>
      </c>
      <c r="F1426" s="1">
        <v>46165.099259259259</v>
      </c>
      <c r="G1426">
        <v>52.875611498613097</v>
      </c>
      <c r="H1426" t="s">
        <v>23</v>
      </c>
      <c r="J1426" t="s">
        <v>16</v>
      </c>
      <c r="K1426">
        <v>577007.90534456098</v>
      </c>
      <c r="L1426" t="s">
        <v>17</v>
      </c>
      <c r="M1426">
        <v>427652.32973433199</v>
      </c>
      <c r="N1426">
        <v>1</v>
      </c>
    </row>
    <row r="1427" spans="2:14" x14ac:dyDescent="0.25">
      <c r="B1427" t="s">
        <v>14</v>
      </c>
      <c r="C1427" s="1">
        <v>46165.999988425923</v>
      </c>
      <c r="D1427">
        <v>25.157484031972199</v>
      </c>
      <c r="E1427">
        <v>577007.90534456098</v>
      </c>
      <c r="F1427" s="1">
        <v>46165.099259259259</v>
      </c>
      <c r="G1427">
        <v>52.875611498613097</v>
      </c>
      <c r="H1427" t="s">
        <v>23</v>
      </c>
      <c r="J1427" t="s">
        <v>16</v>
      </c>
      <c r="K1427">
        <v>577007.90534456098</v>
      </c>
      <c r="L1427" t="s">
        <v>17</v>
      </c>
      <c r="M1427">
        <v>0</v>
      </c>
      <c r="N1427">
        <v>1</v>
      </c>
    </row>
    <row r="1428" spans="2:14" x14ac:dyDescent="0.25">
      <c r="B1428" t="s">
        <v>14</v>
      </c>
      <c r="C1428" s="1">
        <v>46164.999988425923</v>
      </c>
      <c r="D1428">
        <v>25.157484031972199</v>
      </c>
      <c r="E1428">
        <v>484220.48609647702</v>
      </c>
      <c r="F1428" s="1">
        <v>46164.099143518521</v>
      </c>
      <c r="G1428">
        <v>52.875611498613097</v>
      </c>
      <c r="H1428" t="s">
        <v>23</v>
      </c>
      <c r="J1428" t="s">
        <v>16</v>
      </c>
      <c r="K1428">
        <v>577007.90534456098</v>
      </c>
      <c r="L1428" t="s">
        <v>17</v>
      </c>
      <c r="M1428">
        <v>-92787.419248083999</v>
      </c>
      <c r="N1428">
        <v>0.83919211783991698</v>
      </c>
    </row>
    <row r="1429" spans="2:14" x14ac:dyDescent="0.25">
      <c r="B1429" t="s">
        <v>14</v>
      </c>
      <c r="C1429" s="1">
        <v>46163.999988425923</v>
      </c>
      <c r="D1429">
        <v>25.157484031972199</v>
      </c>
      <c r="E1429">
        <v>527124.47037529701</v>
      </c>
      <c r="F1429" s="1">
        <v>46162.605624999997</v>
      </c>
      <c r="G1429">
        <v>52.875611498613097</v>
      </c>
      <c r="H1429" t="s">
        <v>23</v>
      </c>
      <c r="J1429" t="s">
        <v>16</v>
      </c>
      <c r="K1429">
        <v>577007.90534456098</v>
      </c>
      <c r="L1429" t="s">
        <v>17</v>
      </c>
      <c r="M1429">
        <v>42903.984278820601</v>
      </c>
      <c r="N1429">
        <v>0.91354809092351097</v>
      </c>
    </row>
    <row r="1430" spans="2:14" x14ac:dyDescent="0.25">
      <c r="B1430" t="s">
        <v>14</v>
      </c>
      <c r="C1430" s="1">
        <v>46162.999988425923</v>
      </c>
      <c r="D1430">
        <v>25.157484031972199</v>
      </c>
      <c r="E1430">
        <v>527124.47037529701</v>
      </c>
      <c r="F1430" s="1">
        <v>46162.605624999997</v>
      </c>
      <c r="G1430">
        <v>52.875611498613097</v>
      </c>
      <c r="H1430" t="s">
        <v>23</v>
      </c>
      <c r="J1430" t="s">
        <v>16</v>
      </c>
      <c r="K1430">
        <v>577007.90534456098</v>
      </c>
      <c r="L1430" t="s">
        <v>17</v>
      </c>
      <c r="M1430">
        <v>0</v>
      </c>
      <c r="N1430">
        <v>0.91354809092351097</v>
      </c>
    </row>
    <row r="1431" spans="2:14" x14ac:dyDescent="0.25">
      <c r="B1431" t="s">
        <v>14</v>
      </c>
      <c r="C1431" s="1">
        <v>46161.999988425923</v>
      </c>
      <c r="D1431">
        <v>25.157484031972199</v>
      </c>
      <c r="E1431">
        <v>463163.01478440198</v>
      </c>
      <c r="F1431" s="1">
        <v>46161.605509259258</v>
      </c>
      <c r="G1431">
        <v>52.875611498613097</v>
      </c>
      <c r="H1431" t="s">
        <v>23</v>
      </c>
      <c r="J1431" t="s">
        <v>16</v>
      </c>
      <c r="K1431">
        <v>577007.90534456098</v>
      </c>
      <c r="L1431" t="s">
        <v>17</v>
      </c>
      <c r="M1431">
        <v>-63961.455590895697</v>
      </c>
      <c r="N1431">
        <v>0.80269786686514</v>
      </c>
    </row>
    <row r="1432" spans="2:14" x14ac:dyDescent="0.25">
      <c r="B1432" t="s">
        <v>14</v>
      </c>
      <c r="C1432" s="1">
        <v>46160.999988425923</v>
      </c>
      <c r="D1432">
        <v>25.157484031972199</v>
      </c>
      <c r="E1432">
        <v>148505.71548905599</v>
      </c>
      <c r="F1432" s="1">
        <v>46158.099791666667</v>
      </c>
      <c r="G1432">
        <v>52.875611498613097</v>
      </c>
      <c r="H1432" t="s">
        <v>23</v>
      </c>
      <c r="J1432" t="s">
        <v>16</v>
      </c>
      <c r="K1432">
        <v>577007.90534456098</v>
      </c>
      <c r="L1432" t="s">
        <v>17</v>
      </c>
      <c r="M1432">
        <v>-314657.29929534497</v>
      </c>
      <c r="N1432">
        <v>0.25737206390677703</v>
      </c>
    </row>
    <row r="1433" spans="2:14" x14ac:dyDescent="0.25">
      <c r="B1433" t="s">
        <v>14</v>
      </c>
      <c r="C1433" s="1">
        <v>46159.999988425923</v>
      </c>
      <c r="D1433">
        <v>25.157484031972199</v>
      </c>
      <c r="E1433">
        <v>148505.71548905599</v>
      </c>
      <c r="F1433" s="1">
        <v>46158.099791666667</v>
      </c>
      <c r="G1433">
        <v>52.875611498613097</v>
      </c>
      <c r="H1433" t="s">
        <v>23</v>
      </c>
      <c r="J1433" t="s">
        <v>16</v>
      </c>
      <c r="K1433">
        <v>577007.90534456098</v>
      </c>
      <c r="L1433" t="s">
        <v>17</v>
      </c>
      <c r="M1433">
        <v>0</v>
      </c>
      <c r="N1433">
        <v>0.25737206390677703</v>
      </c>
    </row>
    <row r="1434" spans="2:14" x14ac:dyDescent="0.25">
      <c r="B1434" t="s">
        <v>14</v>
      </c>
      <c r="C1434" s="1">
        <v>46158.999988425923</v>
      </c>
      <c r="D1434">
        <v>25.157484031972199</v>
      </c>
      <c r="E1434">
        <v>148505.71548905599</v>
      </c>
      <c r="F1434" s="1">
        <v>46158.099791666667</v>
      </c>
      <c r="G1434">
        <v>52.875611498613097</v>
      </c>
      <c r="H1434" t="s">
        <v>23</v>
      </c>
      <c r="J1434" t="s">
        <v>16</v>
      </c>
      <c r="K1434">
        <v>577007.90534456098</v>
      </c>
      <c r="L1434" t="s">
        <v>17</v>
      </c>
      <c r="M1434">
        <v>0</v>
      </c>
      <c r="N1434">
        <v>0.25737206390677703</v>
      </c>
    </row>
    <row r="1435" spans="2:14" x14ac:dyDescent="0.25">
      <c r="B1435" t="s">
        <v>14</v>
      </c>
      <c r="C1435" s="1">
        <v>46157.999988425923</v>
      </c>
      <c r="D1435">
        <v>25.157484031972199</v>
      </c>
      <c r="E1435">
        <v>161025.18785584701</v>
      </c>
      <c r="F1435" s="1">
        <v>46155.60628472222</v>
      </c>
      <c r="G1435">
        <v>52.875611498613097</v>
      </c>
      <c r="H1435" t="s">
        <v>23</v>
      </c>
      <c r="J1435" t="s">
        <v>16</v>
      </c>
      <c r="K1435">
        <v>577007.90534456098</v>
      </c>
      <c r="L1435" t="s">
        <v>17</v>
      </c>
      <c r="M1435">
        <v>12519.4723667906</v>
      </c>
      <c r="N1435">
        <v>0.27906929240369799</v>
      </c>
    </row>
    <row r="1436" spans="2:14" x14ac:dyDescent="0.25">
      <c r="B1436" t="s">
        <v>14</v>
      </c>
      <c r="C1436" s="1">
        <v>46156.999988425923</v>
      </c>
      <c r="D1436">
        <v>25.157484031972199</v>
      </c>
      <c r="E1436">
        <v>161025.18785584701</v>
      </c>
      <c r="F1436" s="1">
        <v>46155.60628472222</v>
      </c>
      <c r="G1436">
        <v>52.875611498613097</v>
      </c>
      <c r="H1436" t="s">
        <v>23</v>
      </c>
      <c r="J1436" t="s">
        <v>16</v>
      </c>
      <c r="K1436">
        <v>577007.90534456098</v>
      </c>
      <c r="L1436" t="s">
        <v>17</v>
      </c>
      <c r="M1436">
        <v>0</v>
      </c>
      <c r="N1436">
        <v>0.27906929240369799</v>
      </c>
    </row>
    <row r="1437" spans="2:14" x14ac:dyDescent="0.25">
      <c r="B1437" t="s">
        <v>14</v>
      </c>
      <c r="C1437" s="1">
        <v>46155.999988425923</v>
      </c>
      <c r="D1437">
        <v>25.157484031972199</v>
      </c>
      <c r="E1437">
        <v>161025.18785584701</v>
      </c>
      <c r="F1437" s="1">
        <v>46155.60628472222</v>
      </c>
      <c r="G1437">
        <v>52.875611498613097</v>
      </c>
      <c r="H1437" t="s">
        <v>23</v>
      </c>
      <c r="J1437" t="s">
        <v>16</v>
      </c>
      <c r="K1437">
        <v>577007.90534456098</v>
      </c>
      <c r="L1437" t="s">
        <v>17</v>
      </c>
      <c r="M1437">
        <v>0</v>
      </c>
      <c r="N1437">
        <v>0.27906929240369799</v>
      </c>
    </row>
    <row r="1438" spans="2:14" x14ac:dyDescent="0.25">
      <c r="B1438" t="s">
        <v>14</v>
      </c>
      <c r="C1438" s="1">
        <v>46154.999988425923</v>
      </c>
      <c r="D1438">
        <v>25.157484031972199</v>
      </c>
      <c r="E1438">
        <v>576684.78353840206</v>
      </c>
      <c r="F1438" s="1">
        <v>46153.099247685182</v>
      </c>
      <c r="G1438">
        <v>52.875611498613097</v>
      </c>
      <c r="H1438" t="s">
        <v>23</v>
      </c>
      <c r="J1438" t="s">
        <v>16</v>
      </c>
      <c r="K1438">
        <v>577007.90534456098</v>
      </c>
      <c r="L1438" t="s">
        <v>17</v>
      </c>
      <c r="M1438">
        <v>415659.59568255499</v>
      </c>
      <c r="N1438">
        <v>0.99944000454211002</v>
      </c>
    </row>
    <row r="1439" spans="2:14" x14ac:dyDescent="0.25">
      <c r="B1439" t="s">
        <v>14</v>
      </c>
      <c r="C1439" s="1">
        <v>46153.999988425923</v>
      </c>
      <c r="D1439">
        <v>25.157484031972199</v>
      </c>
      <c r="E1439">
        <v>576684.78353840206</v>
      </c>
      <c r="F1439" s="1">
        <v>46153.099247685182</v>
      </c>
      <c r="G1439">
        <v>52.875611498613097</v>
      </c>
      <c r="H1439" t="s">
        <v>23</v>
      </c>
      <c r="J1439" t="s">
        <v>16</v>
      </c>
      <c r="K1439">
        <v>577007.90534456098</v>
      </c>
      <c r="L1439" t="s">
        <v>17</v>
      </c>
      <c r="M1439">
        <v>0</v>
      </c>
      <c r="N1439">
        <v>0.99944000454211002</v>
      </c>
    </row>
    <row r="1440" spans="2:14" x14ac:dyDescent="0.25">
      <c r="B1440" t="s">
        <v>14</v>
      </c>
      <c r="C1440" s="1">
        <v>46152.999988425923</v>
      </c>
      <c r="D1440">
        <v>25.157484031972199</v>
      </c>
      <c r="E1440">
        <v>558697.01709792798</v>
      </c>
      <c r="F1440" s="1">
        <v>46150.605613425927</v>
      </c>
      <c r="G1440">
        <v>52.875611498613097</v>
      </c>
      <c r="H1440" t="s">
        <v>23</v>
      </c>
      <c r="J1440" t="s">
        <v>16</v>
      </c>
      <c r="K1440">
        <v>577007.90534456098</v>
      </c>
      <c r="L1440" t="s">
        <v>17</v>
      </c>
      <c r="M1440">
        <v>-17987.7664404733</v>
      </c>
      <c r="N1440">
        <v>0.96826579310781102</v>
      </c>
    </row>
    <row r="1441" spans="2:14" x14ac:dyDescent="0.25">
      <c r="B1441" t="s">
        <v>14</v>
      </c>
      <c r="C1441" s="1">
        <v>46151.999988425923</v>
      </c>
      <c r="D1441">
        <v>25.157484031972199</v>
      </c>
      <c r="E1441">
        <v>558697.01709792798</v>
      </c>
      <c r="F1441" s="1">
        <v>46150.605613425927</v>
      </c>
      <c r="G1441">
        <v>52.875611498613097</v>
      </c>
      <c r="H1441" t="s">
        <v>23</v>
      </c>
      <c r="J1441" t="s">
        <v>16</v>
      </c>
      <c r="K1441">
        <v>577007.90534456098</v>
      </c>
      <c r="L1441" t="s">
        <v>17</v>
      </c>
      <c r="M1441">
        <v>0</v>
      </c>
      <c r="N1441">
        <v>0.96826579310781102</v>
      </c>
    </row>
    <row r="1442" spans="2:14" x14ac:dyDescent="0.25">
      <c r="B1442" t="s">
        <v>14</v>
      </c>
      <c r="C1442" s="1">
        <v>46150.999988425923</v>
      </c>
      <c r="D1442">
        <v>25.157484031972199</v>
      </c>
      <c r="E1442">
        <v>558697.01709792798</v>
      </c>
      <c r="F1442" s="1">
        <v>46150.605613425927</v>
      </c>
      <c r="G1442">
        <v>52.875611498613097</v>
      </c>
      <c r="H1442" t="s">
        <v>23</v>
      </c>
      <c r="J1442" t="s">
        <v>16</v>
      </c>
      <c r="K1442">
        <v>577007.90534456098</v>
      </c>
      <c r="L1442" t="s">
        <v>17</v>
      </c>
      <c r="M1442">
        <v>0</v>
      </c>
      <c r="N1442">
        <v>0.96826579310781102</v>
      </c>
    </row>
    <row r="1443" spans="2:14" x14ac:dyDescent="0.25">
      <c r="B1443" t="s">
        <v>14</v>
      </c>
      <c r="C1443" s="1">
        <v>46149.999988425923</v>
      </c>
      <c r="D1443">
        <v>25.157484031972199</v>
      </c>
      <c r="E1443">
        <v>560333.35105083894</v>
      </c>
      <c r="F1443" s="1">
        <v>46149.605497685188</v>
      </c>
      <c r="G1443">
        <v>52.875611498613097</v>
      </c>
      <c r="H1443" t="s">
        <v>23</v>
      </c>
      <c r="J1443" t="s">
        <v>16</v>
      </c>
      <c r="K1443">
        <v>577007.90534456098</v>
      </c>
      <c r="L1443" t="s">
        <v>17</v>
      </c>
      <c r="M1443">
        <v>1636.3339529100299</v>
      </c>
      <c r="N1443">
        <v>0.97110168831436505</v>
      </c>
    </row>
    <row r="1444" spans="2:14" x14ac:dyDescent="0.25">
      <c r="B1444" t="s">
        <v>14</v>
      </c>
      <c r="C1444" s="1">
        <v>46148.999988425923</v>
      </c>
      <c r="D1444">
        <v>25.157484031972199</v>
      </c>
      <c r="E1444">
        <v>510811.24346660398</v>
      </c>
      <c r="F1444" s="1">
        <v>46146.099803240744</v>
      </c>
      <c r="G1444">
        <v>52.875611498613097</v>
      </c>
      <c r="H1444" t="s">
        <v>23</v>
      </c>
      <c r="J1444" t="s">
        <v>16</v>
      </c>
      <c r="K1444">
        <v>577007.90534456098</v>
      </c>
      <c r="L1444" t="s">
        <v>17</v>
      </c>
      <c r="M1444">
        <v>-49522.107584234698</v>
      </c>
      <c r="N1444">
        <v>0.88527598796340901</v>
      </c>
    </row>
    <row r="1445" spans="2:14" x14ac:dyDescent="0.25">
      <c r="B1445" t="s">
        <v>14</v>
      </c>
      <c r="C1445" s="1">
        <v>46147.999988425923</v>
      </c>
      <c r="D1445">
        <v>25.157484031972199</v>
      </c>
      <c r="E1445">
        <v>510811.24346660398</v>
      </c>
      <c r="F1445" s="1">
        <v>46146.099803240744</v>
      </c>
      <c r="G1445">
        <v>52.875611498613097</v>
      </c>
      <c r="H1445" t="s">
        <v>23</v>
      </c>
      <c r="J1445" t="s">
        <v>16</v>
      </c>
      <c r="K1445">
        <v>577007.90534456098</v>
      </c>
      <c r="L1445" t="s">
        <v>17</v>
      </c>
      <c r="M1445">
        <v>0</v>
      </c>
      <c r="N1445">
        <v>0.88527598796340901</v>
      </c>
    </row>
    <row r="1446" spans="2:14" x14ac:dyDescent="0.25">
      <c r="B1446" t="s">
        <v>14</v>
      </c>
      <c r="C1446" s="1">
        <v>46146.999988425923</v>
      </c>
      <c r="D1446">
        <v>25.157484031972199</v>
      </c>
      <c r="E1446">
        <v>510811.24346660398</v>
      </c>
      <c r="F1446" s="1">
        <v>46146.099803240744</v>
      </c>
      <c r="G1446">
        <v>52.875611498613097</v>
      </c>
      <c r="H1446" t="s">
        <v>23</v>
      </c>
      <c r="J1446" t="s">
        <v>16</v>
      </c>
      <c r="K1446">
        <v>577007.90534456098</v>
      </c>
      <c r="L1446" t="s">
        <v>17</v>
      </c>
      <c r="M1446">
        <v>0</v>
      </c>
      <c r="N1446">
        <v>0.88527598796340901</v>
      </c>
    </row>
    <row r="1447" spans="2:14" x14ac:dyDescent="0.25">
      <c r="B1447" t="s">
        <v>14</v>
      </c>
      <c r="C1447" s="1">
        <v>46145.999988425923</v>
      </c>
      <c r="D1447">
        <v>25.157484031972199</v>
      </c>
      <c r="E1447">
        <v>418919.46965175599</v>
      </c>
      <c r="F1447" s="1">
        <v>46143.606296296297</v>
      </c>
      <c r="G1447">
        <v>52.875611498613097</v>
      </c>
      <c r="H1447" t="s">
        <v>23</v>
      </c>
      <c r="J1447" t="s">
        <v>16</v>
      </c>
      <c r="K1447">
        <v>577007.90534456098</v>
      </c>
      <c r="L1447" t="s">
        <v>17</v>
      </c>
      <c r="M1447">
        <v>-91891.7738148473</v>
      </c>
      <c r="N1447">
        <v>0.72602032965492602</v>
      </c>
    </row>
    <row r="1448" spans="2:14" x14ac:dyDescent="0.25">
      <c r="B1448" t="s">
        <v>14</v>
      </c>
      <c r="C1448" s="1">
        <v>46144.999988425923</v>
      </c>
      <c r="D1448">
        <v>25.157484031972199</v>
      </c>
      <c r="E1448">
        <v>418919.46965175599</v>
      </c>
      <c r="F1448" s="1">
        <v>46143.606296296297</v>
      </c>
      <c r="G1448">
        <v>52.875611498613097</v>
      </c>
      <c r="H1448" t="s">
        <v>23</v>
      </c>
      <c r="J1448" t="s">
        <v>16</v>
      </c>
      <c r="K1448">
        <v>577007.90534456098</v>
      </c>
      <c r="L1448" t="s">
        <v>17</v>
      </c>
      <c r="M1448">
        <v>0</v>
      </c>
      <c r="N1448">
        <v>0.72602032965492602</v>
      </c>
    </row>
    <row r="1449" spans="2:14" x14ac:dyDescent="0.25">
      <c r="B1449" t="s">
        <v>14</v>
      </c>
      <c r="C1449" s="1">
        <v>46143.999988425923</v>
      </c>
      <c r="D1449">
        <v>25.157484031972199</v>
      </c>
      <c r="E1449">
        <v>418919.46965175599</v>
      </c>
      <c r="F1449" s="1">
        <v>46143.606296296297</v>
      </c>
      <c r="G1449">
        <v>52.875611498613097</v>
      </c>
      <c r="H1449" t="s">
        <v>23</v>
      </c>
      <c r="J1449" t="s">
        <v>16</v>
      </c>
      <c r="K1449">
        <v>577007.90534456098</v>
      </c>
      <c r="L1449" t="s">
        <v>17</v>
      </c>
      <c r="M1449">
        <v>0</v>
      </c>
      <c r="N1449">
        <v>0.72602032965492602</v>
      </c>
    </row>
    <row r="1450" spans="2:14" x14ac:dyDescent="0.25">
      <c r="B1450" t="s">
        <v>14</v>
      </c>
      <c r="C1450" s="1">
        <v>46142.999988425923</v>
      </c>
      <c r="D1450">
        <v>25.157484031972199</v>
      </c>
      <c r="E1450">
        <v>575138.37378918601</v>
      </c>
      <c r="F1450" s="1">
        <v>46140.099120370367</v>
      </c>
      <c r="G1450">
        <v>52.875611498613097</v>
      </c>
      <c r="H1450" t="s">
        <v>23</v>
      </c>
      <c r="J1450" t="s">
        <v>16</v>
      </c>
      <c r="K1450">
        <v>577007.90534456098</v>
      </c>
      <c r="L1450" t="s">
        <v>17</v>
      </c>
      <c r="M1450">
        <v>156218.904137429</v>
      </c>
      <c r="N1450">
        <v>0.99675995504037496</v>
      </c>
    </row>
    <row r="1451" spans="2:14" x14ac:dyDescent="0.25">
      <c r="B1451" t="s">
        <v>14</v>
      </c>
      <c r="C1451" s="1">
        <v>46141.999988425923</v>
      </c>
      <c r="D1451">
        <v>25.157484031972199</v>
      </c>
      <c r="E1451">
        <v>575138.37378918601</v>
      </c>
      <c r="F1451" s="1">
        <v>46140.099120370367</v>
      </c>
      <c r="G1451">
        <v>52.875611498613097</v>
      </c>
      <c r="H1451" t="s">
        <v>23</v>
      </c>
      <c r="J1451" t="s">
        <v>16</v>
      </c>
      <c r="K1451">
        <v>577007.90534456098</v>
      </c>
      <c r="L1451" t="s">
        <v>17</v>
      </c>
      <c r="M1451">
        <v>0</v>
      </c>
      <c r="N1451">
        <v>0.99675995504037496</v>
      </c>
    </row>
    <row r="1452" spans="2:14" x14ac:dyDescent="0.25">
      <c r="B1452" t="s">
        <v>14</v>
      </c>
      <c r="C1452" s="1">
        <v>46140.999988425923</v>
      </c>
      <c r="D1452">
        <v>25.157484031972199</v>
      </c>
      <c r="E1452">
        <v>575138.37378918601</v>
      </c>
      <c r="F1452" s="1">
        <v>46140.099120370367</v>
      </c>
      <c r="G1452">
        <v>52.875611498613097</v>
      </c>
      <c r="H1452" t="s">
        <v>23</v>
      </c>
      <c r="J1452" t="s">
        <v>16</v>
      </c>
      <c r="K1452">
        <v>577007.90534456098</v>
      </c>
      <c r="L1452" t="s">
        <v>17</v>
      </c>
      <c r="M1452">
        <v>0</v>
      </c>
      <c r="N1452">
        <v>0.99675995504037496</v>
      </c>
    </row>
    <row r="1453" spans="2:14" x14ac:dyDescent="0.25">
      <c r="B1453" t="s">
        <v>14</v>
      </c>
      <c r="C1453" s="1">
        <v>46139.999988425923</v>
      </c>
      <c r="D1453">
        <v>25.157484031972199</v>
      </c>
      <c r="E1453">
        <v>577007.90534456098</v>
      </c>
      <c r="F1453" s="1">
        <v>46137.605486111112</v>
      </c>
      <c r="G1453">
        <v>52.875611498613097</v>
      </c>
      <c r="H1453" t="s">
        <v>23</v>
      </c>
      <c r="J1453" t="s">
        <v>16</v>
      </c>
      <c r="K1453">
        <v>577007.90534456098</v>
      </c>
      <c r="L1453" t="s">
        <v>17</v>
      </c>
      <c r="M1453">
        <v>1869.5315553752</v>
      </c>
      <c r="N1453">
        <v>1</v>
      </c>
    </row>
    <row r="1454" spans="2:14" x14ac:dyDescent="0.25">
      <c r="B1454" t="s">
        <v>14</v>
      </c>
      <c r="C1454" s="1">
        <v>46138.999988425923</v>
      </c>
      <c r="D1454">
        <v>25.157484031972199</v>
      </c>
      <c r="E1454">
        <v>577007.90534456098</v>
      </c>
      <c r="F1454" s="1">
        <v>46137.605486111112</v>
      </c>
      <c r="G1454">
        <v>52.875611498613097</v>
      </c>
      <c r="H1454" t="s">
        <v>23</v>
      </c>
      <c r="J1454" t="s">
        <v>16</v>
      </c>
      <c r="K1454">
        <v>577007.90534456098</v>
      </c>
      <c r="L1454" t="s">
        <v>17</v>
      </c>
      <c r="M1454">
        <v>0</v>
      </c>
      <c r="N1454">
        <v>1</v>
      </c>
    </row>
    <row r="1455" spans="2:14" x14ac:dyDescent="0.25">
      <c r="B1455" t="s">
        <v>14</v>
      </c>
      <c r="C1455" s="1">
        <v>46137.999988425923</v>
      </c>
      <c r="D1455">
        <v>25.157484031972199</v>
      </c>
      <c r="E1455">
        <v>577007.90534456098</v>
      </c>
      <c r="F1455" s="1">
        <v>46137.605486111112</v>
      </c>
      <c r="G1455">
        <v>52.875611498613097</v>
      </c>
      <c r="H1455" t="s">
        <v>23</v>
      </c>
      <c r="J1455" t="s">
        <v>16</v>
      </c>
      <c r="K1455">
        <v>577007.90534456098</v>
      </c>
      <c r="L1455" t="s">
        <v>17</v>
      </c>
      <c r="M1455">
        <v>0</v>
      </c>
      <c r="N1455">
        <v>1</v>
      </c>
    </row>
    <row r="1456" spans="2:14" x14ac:dyDescent="0.25">
      <c r="B1456" t="s">
        <v>14</v>
      </c>
      <c r="C1456" s="1">
        <v>46136.999988425923</v>
      </c>
      <c r="D1456">
        <v>25.157484031972199</v>
      </c>
      <c r="E1456">
        <v>577007.90534456098</v>
      </c>
      <c r="F1456" s="1">
        <v>46134.099803240744</v>
      </c>
      <c r="G1456">
        <v>52.875611498613097</v>
      </c>
      <c r="H1456" t="s">
        <v>23</v>
      </c>
      <c r="J1456" t="s">
        <v>16</v>
      </c>
      <c r="K1456">
        <v>577007.90534456098</v>
      </c>
      <c r="L1456" t="s">
        <v>17</v>
      </c>
      <c r="M1456">
        <v>0</v>
      </c>
      <c r="N1456">
        <v>1</v>
      </c>
    </row>
    <row r="1457" spans="1:14" x14ac:dyDescent="0.25">
      <c r="B1457" t="s">
        <v>14</v>
      </c>
      <c r="C1457" s="1">
        <v>46135.999988425923</v>
      </c>
      <c r="D1457">
        <v>25.157484031972199</v>
      </c>
      <c r="E1457">
        <v>577007.90534456098</v>
      </c>
      <c r="F1457" s="1">
        <v>46134.099803240744</v>
      </c>
      <c r="G1457">
        <v>52.875611498613097</v>
      </c>
      <c r="H1457" t="s">
        <v>23</v>
      </c>
      <c r="J1457" t="s">
        <v>16</v>
      </c>
      <c r="K1457">
        <v>577007.90534456098</v>
      </c>
      <c r="L1457" t="s">
        <v>17</v>
      </c>
      <c r="M1457">
        <v>0</v>
      </c>
      <c r="N1457">
        <v>1</v>
      </c>
    </row>
    <row r="1458" spans="1:14" x14ac:dyDescent="0.25">
      <c r="B1458" t="s">
        <v>14</v>
      </c>
      <c r="C1458" s="1">
        <v>46134.999988425923</v>
      </c>
      <c r="D1458">
        <v>25.157484031972199</v>
      </c>
      <c r="E1458">
        <v>577007.90534456098</v>
      </c>
      <c r="F1458" s="1">
        <v>46134.099803240744</v>
      </c>
      <c r="G1458">
        <v>52.875611498613097</v>
      </c>
      <c r="H1458" t="s">
        <v>23</v>
      </c>
      <c r="J1458" t="s">
        <v>16</v>
      </c>
      <c r="K1458">
        <v>577007.90534456098</v>
      </c>
      <c r="L1458" t="s">
        <v>17</v>
      </c>
      <c r="M1458">
        <v>0</v>
      </c>
      <c r="N1458">
        <v>1</v>
      </c>
    </row>
    <row r="1459" spans="1:14" x14ac:dyDescent="0.25">
      <c r="B1459" t="s">
        <v>14</v>
      </c>
      <c r="C1459" s="1">
        <v>46133.999988425923</v>
      </c>
      <c r="D1459">
        <v>25.157484031972199</v>
      </c>
      <c r="E1459">
        <v>248111.97564821999</v>
      </c>
      <c r="F1459" s="1">
        <v>46131.606296296297</v>
      </c>
      <c r="G1459">
        <v>52.875611498613097</v>
      </c>
      <c r="H1459" t="s">
        <v>23</v>
      </c>
      <c r="J1459" t="s">
        <v>16</v>
      </c>
      <c r="K1459">
        <v>577007.90534456098</v>
      </c>
      <c r="L1459" t="s">
        <v>17</v>
      </c>
      <c r="M1459">
        <v>-328895.92969634</v>
      </c>
      <c r="N1459">
        <v>0.42999753270288299</v>
      </c>
    </row>
    <row r="1460" spans="1:14" x14ac:dyDescent="0.25">
      <c r="B1460" t="s">
        <v>14</v>
      </c>
      <c r="C1460" s="1">
        <v>46132.999988425923</v>
      </c>
      <c r="D1460">
        <v>25.157484031972199</v>
      </c>
      <c r="E1460">
        <v>248111.97564821999</v>
      </c>
      <c r="F1460" s="1">
        <v>46131.606296296297</v>
      </c>
      <c r="G1460">
        <v>52.875611498613097</v>
      </c>
      <c r="H1460" t="s">
        <v>23</v>
      </c>
      <c r="J1460" t="s">
        <v>16</v>
      </c>
      <c r="K1460">
        <v>577007.90534456098</v>
      </c>
      <c r="L1460" t="s">
        <v>17</v>
      </c>
      <c r="M1460">
        <v>0</v>
      </c>
      <c r="N1460">
        <v>0.42999753270288299</v>
      </c>
    </row>
    <row r="1461" spans="1:14" x14ac:dyDescent="0.25">
      <c r="B1461" t="s">
        <v>14</v>
      </c>
      <c r="C1461" s="1">
        <v>46131.999988425923</v>
      </c>
      <c r="D1461">
        <v>25.157484031972199</v>
      </c>
      <c r="E1461">
        <v>248111.97564821999</v>
      </c>
      <c r="F1461" s="1">
        <v>46131.606296296297</v>
      </c>
      <c r="G1461">
        <v>52.875611498613097</v>
      </c>
      <c r="H1461" t="s">
        <v>23</v>
      </c>
      <c r="J1461" t="s">
        <v>16</v>
      </c>
      <c r="K1461">
        <v>577007.90534456098</v>
      </c>
      <c r="L1461" t="s">
        <v>17</v>
      </c>
      <c r="M1461">
        <v>0</v>
      </c>
      <c r="N1461">
        <v>0.42999753270288299</v>
      </c>
    </row>
    <row r="1462" spans="1:14" x14ac:dyDescent="0.25">
      <c r="A1462" s="2"/>
      <c r="B1462" t="s">
        <v>14</v>
      </c>
      <c r="C1462" s="1">
        <v>46130.999988425923</v>
      </c>
      <c r="D1462">
        <v>25.157484031972199</v>
      </c>
      <c r="E1462">
        <v>185334.04853491799</v>
      </c>
      <c r="F1462" s="1">
        <v>46128.099108796298</v>
      </c>
      <c r="G1462">
        <v>52.875611498613097</v>
      </c>
      <c r="H1462" t="s">
        <v>23</v>
      </c>
      <c r="J1462" t="s">
        <v>16</v>
      </c>
      <c r="K1462">
        <v>577007.90534456098</v>
      </c>
      <c r="L1462" t="s">
        <v>17</v>
      </c>
      <c r="M1462">
        <v>-62777.927113302401</v>
      </c>
      <c r="N1462">
        <v>0.32119845641325301</v>
      </c>
    </row>
    <row r="1463" spans="1:14" x14ac:dyDescent="0.25">
      <c r="A1463" s="2"/>
      <c r="B1463" t="s">
        <v>14</v>
      </c>
      <c r="C1463" s="1">
        <v>46129.999988425923</v>
      </c>
      <c r="D1463">
        <v>25.157484031972199</v>
      </c>
      <c r="E1463">
        <v>185334.04853491799</v>
      </c>
      <c r="F1463" s="1">
        <v>46128.099108796298</v>
      </c>
      <c r="G1463">
        <v>52.875611498613097</v>
      </c>
      <c r="H1463" t="s">
        <v>23</v>
      </c>
      <c r="J1463" t="s">
        <v>16</v>
      </c>
      <c r="K1463">
        <v>577007.90534456098</v>
      </c>
      <c r="L1463" t="s">
        <v>17</v>
      </c>
      <c r="M1463">
        <v>0</v>
      </c>
      <c r="N1463">
        <v>0.32119845641325301</v>
      </c>
    </row>
    <row r="1464" spans="1:14" x14ac:dyDescent="0.25">
      <c r="A1464" s="2"/>
      <c r="B1464" t="s">
        <v>14</v>
      </c>
      <c r="C1464" s="1">
        <v>46128.999988425923</v>
      </c>
      <c r="D1464">
        <v>25.157484031972199</v>
      </c>
      <c r="E1464">
        <v>185334.04853491799</v>
      </c>
      <c r="F1464" s="1">
        <v>46128.099108796298</v>
      </c>
      <c r="G1464">
        <v>52.875611498613097</v>
      </c>
      <c r="H1464" t="s">
        <v>23</v>
      </c>
      <c r="J1464" t="s">
        <v>16</v>
      </c>
      <c r="K1464">
        <v>577007.90534456098</v>
      </c>
      <c r="L1464" t="s">
        <v>17</v>
      </c>
      <c r="M1464">
        <v>0</v>
      </c>
      <c r="N1464">
        <v>0.32119845641325301</v>
      </c>
    </row>
    <row r="1465" spans="1:14" x14ac:dyDescent="0.25">
      <c r="A1465" s="2"/>
      <c r="B1465" t="s">
        <v>14</v>
      </c>
      <c r="C1465" s="1">
        <v>46127.999988425923</v>
      </c>
      <c r="D1465">
        <v>25.157484031972199</v>
      </c>
      <c r="E1465">
        <v>445374.97398998</v>
      </c>
      <c r="F1465" s="1">
        <v>46125.605486111112</v>
      </c>
      <c r="G1465">
        <v>52.875611498613097</v>
      </c>
      <c r="H1465" t="s">
        <v>23</v>
      </c>
      <c r="J1465" t="s">
        <v>16</v>
      </c>
      <c r="K1465">
        <v>577007.90534456098</v>
      </c>
      <c r="L1465" t="s">
        <v>17</v>
      </c>
      <c r="M1465">
        <v>260040.92545506201</v>
      </c>
      <c r="N1465">
        <v>0.77186979565561298</v>
      </c>
    </row>
    <row r="1466" spans="1:14" x14ac:dyDescent="0.25">
      <c r="A1466" s="2"/>
      <c r="B1466" t="s">
        <v>14</v>
      </c>
      <c r="C1466" s="1">
        <v>46126.999988425923</v>
      </c>
      <c r="D1466">
        <v>25.157484031972199</v>
      </c>
      <c r="E1466">
        <v>445374.97398998</v>
      </c>
      <c r="F1466" s="1">
        <v>46125.605486111112</v>
      </c>
      <c r="G1466">
        <v>52.875611498613097</v>
      </c>
      <c r="H1466" t="s">
        <v>23</v>
      </c>
      <c r="J1466" t="s">
        <v>16</v>
      </c>
      <c r="K1466">
        <v>577007.90534456098</v>
      </c>
      <c r="L1466" t="s">
        <v>17</v>
      </c>
      <c r="M1466">
        <v>0</v>
      </c>
      <c r="N1466">
        <v>0.77186979565561298</v>
      </c>
    </row>
    <row r="1467" spans="1:14" x14ac:dyDescent="0.25">
      <c r="A1467" s="2"/>
      <c r="B1467" t="s">
        <v>14</v>
      </c>
      <c r="C1467" s="1">
        <v>46125.999988425923</v>
      </c>
      <c r="D1467">
        <v>25.157484031972199</v>
      </c>
      <c r="E1467">
        <v>445374.97398998</v>
      </c>
      <c r="F1467" s="1">
        <v>46125.605486111112</v>
      </c>
      <c r="G1467">
        <v>52.875611498613097</v>
      </c>
      <c r="H1467" t="s">
        <v>23</v>
      </c>
      <c r="J1467" t="s">
        <v>16</v>
      </c>
      <c r="K1467">
        <v>577007.90534456098</v>
      </c>
      <c r="L1467" t="s">
        <v>17</v>
      </c>
      <c r="M1467">
        <v>0</v>
      </c>
      <c r="N1467">
        <v>0.77186979565561298</v>
      </c>
    </row>
    <row r="1468" spans="1:14" x14ac:dyDescent="0.25">
      <c r="A1468" s="2"/>
      <c r="B1468" t="s">
        <v>14</v>
      </c>
      <c r="C1468" s="1">
        <v>46124.999988425923</v>
      </c>
      <c r="D1468">
        <v>25.157484031972199</v>
      </c>
      <c r="E1468">
        <v>448310.83714343002</v>
      </c>
      <c r="F1468" s="1">
        <v>46122.099803240744</v>
      </c>
      <c r="G1468">
        <v>52.875611498613097</v>
      </c>
      <c r="H1468" t="s">
        <v>23</v>
      </c>
      <c r="J1468" t="s">
        <v>16</v>
      </c>
      <c r="K1468">
        <v>577007.90534456098</v>
      </c>
      <c r="L1468" t="s">
        <v>17</v>
      </c>
      <c r="M1468">
        <v>2935.8631534508299</v>
      </c>
      <c r="N1468">
        <v>0.77695787699082097</v>
      </c>
    </row>
    <row r="1469" spans="1:14" x14ac:dyDescent="0.25">
      <c r="A1469" s="2"/>
      <c r="B1469" t="s">
        <v>14</v>
      </c>
      <c r="C1469" s="1">
        <v>46123.999988425923</v>
      </c>
      <c r="D1469">
        <v>25.157484031972199</v>
      </c>
      <c r="E1469">
        <v>448310.83714343002</v>
      </c>
      <c r="F1469" s="1">
        <v>46122.099803240744</v>
      </c>
      <c r="G1469">
        <v>52.875611498613097</v>
      </c>
      <c r="H1469" t="s">
        <v>23</v>
      </c>
      <c r="J1469" t="s">
        <v>16</v>
      </c>
      <c r="K1469">
        <v>577007.90534456098</v>
      </c>
      <c r="L1469" t="s">
        <v>17</v>
      </c>
      <c r="M1469">
        <v>0</v>
      </c>
      <c r="N1469">
        <v>0.77695787699082097</v>
      </c>
    </row>
    <row r="1470" spans="1:14" x14ac:dyDescent="0.25">
      <c r="A1470" s="2"/>
      <c r="B1470" t="s">
        <v>14</v>
      </c>
      <c r="C1470" s="1">
        <v>46122.999988425923</v>
      </c>
      <c r="D1470">
        <v>25.157484031972199</v>
      </c>
      <c r="E1470">
        <v>448310.83714343002</v>
      </c>
      <c r="F1470" s="1">
        <v>46122.099803240744</v>
      </c>
      <c r="G1470">
        <v>52.875611498613097</v>
      </c>
      <c r="H1470" t="s">
        <v>23</v>
      </c>
      <c r="J1470" t="s">
        <v>16</v>
      </c>
      <c r="K1470">
        <v>577007.90534456098</v>
      </c>
      <c r="L1470" t="s">
        <v>17</v>
      </c>
      <c r="M1470">
        <v>0</v>
      </c>
      <c r="N1470">
        <v>0.77695787699082097</v>
      </c>
    </row>
    <row r="1471" spans="1:14" x14ac:dyDescent="0.25">
      <c r="A1471" s="2"/>
      <c r="B1471" t="s">
        <v>14</v>
      </c>
      <c r="C1471" s="1">
        <v>46121.999988425923</v>
      </c>
      <c r="D1471">
        <v>25.157484031972199</v>
      </c>
      <c r="E1471">
        <v>338157.38612351601</v>
      </c>
      <c r="F1471" s="1">
        <v>46119.606296296297</v>
      </c>
      <c r="G1471">
        <v>52.875611498613097</v>
      </c>
      <c r="H1471" t="s">
        <v>23</v>
      </c>
      <c r="J1471" t="s">
        <v>16</v>
      </c>
      <c r="K1471">
        <v>577007.90534456098</v>
      </c>
      <c r="L1471" t="s">
        <v>17</v>
      </c>
      <c r="M1471">
        <v>-110153.45101991401</v>
      </c>
      <c r="N1471">
        <v>0.58605329838866704</v>
      </c>
    </row>
    <row r="1472" spans="1:14" x14ac:dyDescent="0.25">
      <c r="A1472" s="2"/>
      <c r="B1472" t="s">
        <v>14</v>
      </c>
      <c r="C1472" s="1">
        <v>46120.999988425923</v>
      </c>
      <c r="D1472">
        <v>25.157484031972199</v>
      </c>
      <c r="E1472">
        <v>338157.38612351601</v>
      </c>
      <c r="F1472" s="1">
        <v>46119.606296296297</v>
      </c>
      <c r="G1472">
        <v>52.875611498613097</v>
      </c>
      <c r="H1472" t="s">
        <v>23</v>
      </c>
      <c r="J1472" t="s">
        <v>16</v>
      </c>
      <c r="K1472">
        <v>577007.90534456098</v>
      </c>
      <c r="L1472" t="s">
        <v>17</v>
      </c>
      <c r="M1472">
        <v>0</v>
      </c>
      <c r="N1472">
        <v>0.58605329838866704</v>
      </c>
    </row>
    <row r="1473" spans="1:14" x14ac:dyDescent="0.25">
      <c r="A1473" s="2"/>
      <c r="B1473" t="s">
        <v>14</v>
      </c>
      <c r="C1473" s="1">
        <v>46119.999988425923</v>
      </c>
      <c r="D1473">
        <v>25.157484031972199</v>
      </c>
      <c r="E1473">
        <v>338157.38612351601</v>
      </c>
      <c r="F1473" s="1">
        <v>46119.606296296297</v>
      </c>
      <c r="G1473">
        <v>52.875611498613097</v>
      </c>
      <c r="H1473" t="s">
        <v>23</v>
      </c>
      <c r="J1473" t="s">
        <v>16</v>
      </c>
      <c r="K1473">
        <v>577007.90534456098</v>
      </c>
      <c r="L1473" t="s">
        <v>17</v>
      </c>
      <c r="M1473">
        <v>0</v>
      </c>
      <c r="N1473">
        <v>0.58605329838866704</v>
      </c>
    </row>
    <row r="1474" spans="1:14" x14ac:dyDescent="0.25">
      <c r="A1474" s="2"/>
      <c r="B1474" t="s">
        <v>14</v>
      </c>
      <c r="C1474" s="1">
        <v>46118.999988425923</v>
      </c>
      <c r="D1474">
        <v>25.157484031972199</v>
      </c>
      <c r="E1474">
        <v>359823.82348316902</v>
      </c>
      <c r="F1474" s="1">
        <v>46116.099108796298</v>
      </c>
      <c r="G1474">
        <v>52.875611498613097</v>
      </c>
      <c r="H1474" t="s">
        <v>23</v>
      </c>
      <c r="J1474" t="s">
        <v>16</v>
      </c>
      <c r="K1474">
        <v>577007.90534456098</v>
      </c>
      <c r="L1474" t="s">
        <v>17</v>
      </c>
      <c r="M1474">
        <v>21666.4373596529</v>
      </c>
      <c r="N1474">
        <v>0.62360293533292199</v>
      </c>
    </row>
    <row r="1475" spans="1:14" x14ac:dyDescent="0.25">
      <c r="A1475" s="2"/>
      <c r="B1475" t="s">
        <v>14</v>
      </c>
      <c r="C1475" s="1">
        <v>46117.999988425923</v>
      </c>
      <c r="D1475">
        <v>25.157484031972199</v>
      </c>
      <c r="E1475">
        <v>359823.82348316902</v>
      </c>
      <c r="F1475" s="1">
        <v>46116.099108796298</v>
      </c>
      <c r="G1475">
        <v>52.875611498613097</v>
      </c>
      <c r="H1475" t="s">
        <v>23</v>
      </c>
      <c r="J1475" t="s">
        <v>16</v>
      </c>
      <c r="K1475">
        <v>577007.90534456098</v>
      </c>
      <c r="L1475" t="s">
        <v>17</v>
      </c>
      <c r="M1475">
        <v>0</v>
      </c>
      <c r="N1475">
        <v>0.62360293533292199</v>
      </c>
    </row>
    <row r="1476" spans="1:14" x14ac:dyDescent="0.25">
      <c r="A1476" s="2"/>
      <c r="B1476" t="s">
        <v>14</v>
      </c>
      <c r="C1476" s="1">
        <v>46116.999988425923</v>
      </c>
      <c r="D1476">
        <v>25.157484031972199</v>
      </c>
      <c r="E1476">
        <v>359823.82348316902</v>
      </c>
      <c r="F1476" s="1">
        <v>46116.099108796298</v>
      </c>
      <c r="G1476">
        <v>52.875611498613097</v>
      </c>
      <c r="H1476" t="s">
        <v>23</v>
      </c>
      <c r="J1476" t="s">
        <v>16</v>
      </c>
      <c r="K1476">
        <v>577007.90534456098</v>
      </c>
      <c r="L1476" t="s">
        <v>17</v>
      </c>
      <c r="M1476">
        <v>0</v>
      </c>
      <c r="N1476">
        <v>0.62360293533292199</v>
      </c>
    </row>
    <row r="1477" spans="1:14" x14ac:dyDescent="0.25">
      <c r="A1477" s="2"/>
      <c r="B1477" t="s">
        <v>14</v>
      </c>
      <c r="C1477" s="1">
        <v>46115.999988425923</v>
      </c>
      <c r="D1477">
        <v>25.157484031972199</v>
      </c>
      <c r="E1477">
        <v>577007.90534456098</v>
      </c>
      <c r="F1477" s="1">
        <v>46113.605474537035</v>
      </c>
      <c r="G1477">
        <v>52.875611498613097</v>
      </c>
      <c r="H1477" t="s">
        <v>23</v>
      </c>
      <c r="J1477" t="s">
        <v>16</v>
      </c>
      <c r="K1477">
        <v>577007.90534456098</v>
      </c>
      <c r="L1477" t="s">
        <v>17</v>
      </c>
      <c r="M1477">
        <v>217184.08186139201</v>
      </c>
      <c r="N1477">
        <v>1</v>
      </c>
    </row>
    <row r="1478" spans="1:14" x14ac:dyDescent="0.25">
      <c r="A1478" s="2"/>
      <c r="B1478" t="s">
        <v>14</v>
      </c>
      <c r="C1478" s="1">
        <v>46114.999988425923</v>
      </c>
      <c r="D1478">
        <v>25.157484031972199</v>
      </c>
      <c r="E1478">
        <v>577007.90534456098</v>
      </c>
      <c r="F1478" s="1">
        <v>46113.605474537035</v>
      </c>
      <c r="G1478">
        <v>52.875611498613097</v>
      </c>
      <c r="H1478" t="s">
        <v>23</v>
      </c>
      <c r="J1478" t="s">
        <v>16</v>
      </c>
      <c r="K1478">
        <v>577007.90534456098</v>
      </c>
      <c r="L1478" t="s">
        <v>17</v>
      </c>
      <c r="M1478">
        <v>0</v>
      </c>
      <c r="N1478">
        <v>1</v>
      </c>
    </row>
    <row r="1479" spans="1:14" x14ac:dyDescent="0.25">
      <c r="A1479" s="2"/>
      <c r="B1479" t="s">
        <v>14</v>
      </c>
      <c r="C1479" s="1">
        <v>46113.999988425923</v>
      </c>
      <c r="D1479">
        <v>25.157484031972199</v>
      </c>
      <c r="E1479">
        <v>577007.90534456098</v>
      </c>
      <c r="F1479" s="1">
        <v>46113.605474537035</v>
      </c>
      <c r="G1479">
        <v>52.875611498613097</v>
      </c>
      <c r="H1479" t="s">
        <v>23</v>
      </c>
      <c r="J1479" t="s">
        <v>16</v>
      </c>
      <c r="K1479">
        <v>577007.90534456098</v>
      </c>
      <c r="L1479" t="s">
        <v>17</v>
      </c>
      <c r="M1479">
        <v>0</v>
      </c>
      <c r="N1479">
        <v>1</v>
      </c>
    </row>
    <row r="1480" spans="1:14" x14ac:dyDescent="0.25">
      <c r="A1480" s="2"/>
      <c r="B1480" t="s">
        <v>14</v>
      </c>
      <c r="C1480" s="1">
        <v>46112.999988425923</v>
      </c>
      <c r="D1480">
        <v>25.157484031972199</v>
      </c>
      <c r="E1480">
        <v>273271.65652610402</v>
      </c>
      <c r="F1480" s="1">
        <v>46110.099803240744</v>
      </c>
      <c r="G1480">
        <v>52.875611498613097</v>
      </c>
      <c r="H1480" t="s">
        <v>23</v>
      </c>
      <c r="J1480" t="s">
        <v>16</v>
      </c>
      <c r="K1480">
        <v>577007.90534456098</v>
      </c>
      <c r="L1480" t="s">
        <v>17</v>
      </c>
      <c r="M1480">
        <v>-303736.24881845701</v>
      </c>
      <c r="N1480">
        <v>0.473601234913617</v>
      </c>
    </row>
    <row r="1481" spans="1:14" x14ac:dyDescent="0.25">
      <c r="A1481" s="2"/>
      <c r="B1481" t="s">
        <v>14</v>
      </c>
      <c r="C1481" s="1">
        <v>46111.999988425923</v>
      </c>
      <c r="D1481">
        <v>25.157484031972199</v>
      </c>
      <c r="E1481">
        <v>273271.65652610402</v>
      </c>
      <c r="F1481" s="1">
        <v>46110.099803240744</v>
      </c>
      <c r="G1481">
        <v>52.875611498613097</v>
      </c>
      <c r="H1481" t="s">
        <v>23</v>
      </c>
      <c r="J1481" t="s">
        <v>16</v>
      </c>
      <c r="K1481">
        <v>577007.90534456098</v>
      </c>
      <c r="L1481" t="s">
        <v>17</v>
      </c>
      <c r="M1481">
        <v>0</v>
      </c>
      <c r="N1481">
        <v>0.473601234913617</v>
      </c>
    </row>
    <row r="1482" spans="1:14" x14ac:dyDescent="0.25">
      <c r="A1482" s="2"/>
      <c r="B1482" t="s">
        <v>14</v>
      </c>
      <c r="C1482" s="1">
        <v>46110.999988425923</v>
      </c>
      <c r="D1482">
        <v>25.157484031972199</v>
      </c>
      <c r="E1482">
        <v>273271.65652610402</v>
      </c>
      <c r="F1482" s="1">
        <v>46110.099803240744</v>
      </c>
      <c r="G1482">
        <v>52.875611498613097</v>
      </c>
      <c r="H1482" t="s">
        <v>23</v>
      </c>
      <c r="J1482" t="s">
        <v>16</v>
      </c>
      <c r="K1482">
        <v>577007.90534456098</v>
      </c>
      <c r="L1482" t="s">
        <v>17</v>
      </c>
      <c r="M1482">
        <v>0</v>
      </c>
      <c r="N1482">
        <v>0.473601234913617</v>
      </c>
    </row>
    <row r="1483" spans="1:14" x14ac:dyDescent="0.25">
      <c r="A1483" s="2"/>
      <c r="B1483" t="s">
        <v>14</v>
      </c>
      <c r="C1483" s="1">
        <v>46109.999988425923</v>
      </c>
      <c r="D1483">
        <v>25.157484031972199</v>
      </c>
      <c r="E1483">
        <v>255037.666595927</v>
      </c>
      <c r="F1483" s="1">
        <v>46107.606296296297</v>
      </c>
      <c r="G1483">
        <v>52.875611498613097</v>
      </c>
      <c r="H1483" t="s">
        <v>23</v>
      </c>
      <c r="J1483" t="s">
        <v>16</v>
      </c>
      <c r="K1483">
        <v>577007.90534456098</v>
      </c>
      <c r="L1483" t="s">
        <v>17</v>
      </c>
      <c r="M1483">
        <v>-18233.989930176202</v>
      </c>
      <c r="N1483">
        <v>0.44200029884102099</v>
      </c>
    </row>
    <row r="1484" spans="1:14" x14ac:dyDescent="0.25">
      <c r="A1484" s="2"/>
      <c r="B1484" t="s">
        <v>14</v>
      </c>
      <c r="C1484" s="1">
        <v>46108.999988425923</v>
      </c>
      <c r="D1484">
        <v>25.157484031972199</v>
      </c>
      <c r="E1484">
        <v>255037.666595927</v>
      </c>
      <c r="F1484" s="1">
        <v>46107.606296296297</v>
      </c>
      <c r="G1484">
        <v>52.875611498613097</v>
      </c>
      <c r="H1484" t="s">
        <v>23</v>
      </c>
      <c r="J1484" t="s">
        <v>16</v>
      </c>
      <c r="K1484">
        <v>577007.90534456098</v>
      </c>
      <c r="L1484" t="s">
        <v>17</v>
      </c>
      <c r="M1484">
        <v>0</v>
      </c>
      <c r="N1484">
        <v>0.44200029884102099</v>
      </c>
    </row>
    <row r="1485" spans="1:14" x14ac:dyDescent="0.25">
      <c r="A1485" s="2"/>
      <c r="B1485" t="s">
        <v>14</v>
      </c>
      <c r="C1485" s="1">
        <v>46107.999988425923</v>
      </c>
      <c r="D1485">
        <v>25.157484031972199</v>
      </c>
      <c r="E1485">
        <v>255037.666595927</v>
      </c>
      <c r="F1485" s="1">
        <v>46107.606296296297</v>
      </c>
      <c r="G1485">
        <v>52.875611498613097</v>
      </c>
      <c r="H1485" t="s">
        <v>23</v>
      </c>
      <c r="J1485" t="s">
        <v>16</v>
      </c>
      <c r="K1485">
        <v>577007.90534456098</v>
      </c>
      <c r="L1485" t="s">
        <v>17</v>
      </c>
      <c r="M1485">
        <v>0</v>
      </c>
      <c r="N1485">
        <v>0.44200029884102099</v>
      </c>
    </row>
    <row r="1486" spans="1:14" x14ac:dyDescent="0.25">
      <c r="A1486" s="2"/>
      <c r="B1486" t="s">
        <v>14</v>
      </c>
      <c r="C1486" s="1">
        <v>46106.999988425923</v>
      </c>
      <c r="D1486">
        <v>25.157484031972199</v>
      </c>
      <c r="E1486">
        <v>264983.21459777799</v>
      </c>
      <c r="F1486" s="1">
        <v>46104.099108796298</v>
      </c>
      <c r="G1486">
        <v>52.875611498613097</v>
      </c>
      <c r="H1486" t="s">
        <v>23</v>
      </c>
      <c r="J1486" t="s">
        <v>16</v>
      </c>
      <c r="K1486">
        <v>577007.90534456098</v>
      </c>
      <c r="L1486" t="s">
        <v>17</v>
      </c>
      <c r="M1486">
        <v>9945.5480018504295</v>
      </c>
      <c r="N1486">
        <v>0.45923671433850299</v>
      </c>
    </row>
    <row r="1487" spans="1:14" x14ac:dyDescent="0.25">
      <c r="A1487" s="2"/>
      <c r="B1487" t="s">
        <v>14</v>
      </c>
      <c r="C1487" s="1">
        <v>46105.999988425923</v>
      </c>
      <c r="D1487">
        <v>25.157484031972199</v>
      </c>
      <c r="E1487">
        <v>264983.21459777799</v>
      </c>
      <c r="F1487" s="1">
        <v>46104.099108796298</v>
      </c>
      <c r="G1487">
        <v>52.875611498613097</v>
      </c>
      <c r="H1487" t="s">
        <v>23</v>
      </c>
      <c r="J1487" t="s">
        <v>16</v>
      </c>
      <c r="K1487">
        <v>577007.90534456098</v>
      </c>
      <c r="L1487" t="s">
        <v>17</v>
      </c>
      <c r="M1487">
        <v>0</v>
      </c>
      <c r="N1487">
        <v>0.45923671433850299</v>
      </c>
    </row>
    <row r="1488" spans="1:14" x14ac:dyDescent="0.25">
      <c r="A1488" s="2"/>
      <c r="B1488" t="s">
        <v>14</v>
      </c>
      <c r="C1488" s="1">
        <v>46104.999988425923</v>
      </c>
      <c r="D1488">
        <v>25.157484031972199</v>
      </c>
      <c r="E1488">
        <v>264983.21459777799</v>
      </c>
      <c r="F1488" s="1">
        <v>46104.099108796298</v>
      </c>
      <c r="G1488">
        <v>52.875611498613097</v>
      </c>
      <c r="H1488" t="s">
        <v>23</v>
      </c>
      <c r="J1488" t="s">
        <v>16</v>
      </c>
      <c r="K1488">
        <v>577007.90534456098</v>
      </c>
      <c r="L1488" t="s">
        <v>17</v>
      </c>
      <c r="M1488">
        <v>0</v>
      </c>
      <c r="N1488">
        <v>0.45923671433850299</v>
      </c>
    </row>
    <row r="1489" spans="1:14" x14ac:dyDescent="0.25">
      <c r="A1489" s="2"/>
      <c r="B1489" t="s">
        <v>14</v>
      </c>
      <c r="C1489" s="1">
        <v>46103.999988425923</v>
      </c>
      <c r="D1489">
        <v>25.157484031972199</v>
      </c>
      <c r="E1489">
        <v>248811.995877318</v>
      </c>
      <c r="F1489" s="1">
        <v>46101.605474537035</v>
      </c>
      <c r="G1489">
        <v>52.875611498613097</v>
      </c>
      <c r="H1489" t="s">
        <v>23</v>
      </c>
      <c r="J1489" t="s">
        <v>16</v>
      </c>
      <c r="K1489">
        <v>577007.90534456098</v>
      </c>
      <c r="L1489" t="s">
        <v>17</v>
      </c>
      <c r="M1489">
        <v>-16171.2187204601</v>
      </c>
      <c r="N1489">
        <v>0.43121072271746302</v>
      </c>
    </row>
    <row r="1490" spans="1:14" x14ac:dyDescent="0.25">
      <c r="A1490" s="2"/>
      <c r="B1490" t="s">
        <v>14</v>
      </c>
      <c r="C1490" s="1">
        <v>46102.999988425923</v>
      </c>
      <c r="D1490">
        <v>25.157484031972199</v>
      </c>
      <c r="E1490">
        <v>248811.995877318</v>
      </c>
      <c r="F1490" s="1">
        <v>46101.605474537035</v>
      </c>
      <c r="G1490">
        <v>52.875611498613097</v>
      </c>
      <c r="H1490" t="s">
        <v>23</v>
      </c>
      <c r="J1490" t="s">
        <v>16</v>
      </c>
      <c r="K1490">
        <v>577007.90534456098</v>
      </c>
      <c r="L1490" t="s">
        <v>17</v>
      </c>
      <c r="M1490">
        <v>0</v>
      </c>
      <c r="N1490">
        <v>0.43121072271746302</v>
      </c>
    </row>
    <row r="1491" spans="1:14" x14ac:dyDescent="0.25">
      <c r="A1491" s="2"/>
      <c r="B1491" t="s">
        <v>14</v>
      </c>
      <c r="C1491" s="1">
        <v>46101.999988425923</v>
      </c>
      <c r="D1491">
        <v>25.157484031972199</v>
      </c>
      <c r="E1491">
        <v>248811.995877318</v>
      </c>
      <c r="F1491" s="1">
        <v>46101.605474537035</v>
      </c>
      <c r="G1491">
        <v>52.875611498613097</v>
      </c>
      <c r="H1491" t="s">
        <v>23</v>
      </c>
      <c r="J1491" t="s">
        <v>16</v>
      </c>
      <c r="K1491">
        <v>577007.90534456098</v>
      </c>
      <c r="L1491" t="s">
        <v>17</v>
      </c>
      <c r="M1491">
        <v>0</v>
      </c>
      <c r="N1491">
        <v>0.43121072271746302</v>
      </c>
    </row>
    <row r="1492" spans="1:14" x14ac:dyDescent="0.25">
      <c r="A1492" s="2"/>
      <c r="B1492" t="s">
        <v>14</v>
      </c>
      <c r="C1492" s="1">
        <v>46100.999988425923</v>
      </c>
      <c r="D1492">
        <v>25.157484031972199</v>
      </c>
      <c r="E1492">
        <v>201797.81444706701</v>
      </c>
      <c r="F1492" s="1">
        <v>46098.099803240744</v>
      </c>
      <c r="G1492">
        <v>52.875611498613097</v>
      </c>
      <c r="H1492" t="s">
        <v>23</v>
      </c>
      <c r="J1492" t="s">
        <v>16</v>
      </c>
      <c r="K1492">
        <v>577007.90534456098</v>
      </c>
      <c r="L1492" t="s">
        <v>17</v>
      </c>
      <c r="M1492">
        <v>-47014.181430250603</v>
      </c>
      <c r="N1492">
        <v>0.34973145528493799</v>
      </c>
    </row>
    <row r="1493" spans="1:14" x14ac:dyDescent="0.25">
      <c r="A1493" s="2"/>
      <c r="B1493" t="s">
        <v>14</v>
      </c>
      <c r="C1493" s="1">
        <v>46099.999988425923</v>
      </c>
      <c r="D1493">
        <v>25.157484031972199</v>
      </c>
      <c r="E1493">
        <v>201797.81444706701</v>
      </c>
      <c r="F1493" s="1">
        <v>46098.099803240744</v>
      </c>
      <c r="G1493">
        <v>52.875611498613097</v>
      </c>
      <c r="H1493" t="s">
        <v>23</v>
      </c>
      <c r="J1493" t="s">
        <v>16</v>
      </c>
      <c r="K1493">
        <v>577007.90534456098</v>
      </c>
      <c r="L1493" t="s">
        <v>17</v>
      </c>
      <c r="M1493">
        <v>0</v>
      </c>
      <c r="N1493">
        <v>0.34973145528493799</v>
      </c>
    </row>
    <row r="1494" spans="1:14" x14ac:dyDescent="0.25">
      <c r="A1494" s="2"/>
      <c r="B1494" t="s">
        <v>14</v>
      </c>
      <c r="C1494" s="1">
        <v>46098.999988425923</v>
      </c>
      <c r="D1494">
        <v>25.157484031972199</v>
      </c>
      <c r="E1494">
        <v>201797.81444706701</v>
      </c>
      <c r="F1494" s="1">
        <v>46098.099803240744</v>
      </c>
      <c r="G1494">
        <v>52.875611498613097</v>
      </c>
      <c r="H1494" t="s">
        <v>23</v>
      </c>
      <c r="J1494" t="s">
        <v>16</v>
      </c>
      <c r="K1494">
        <v>577007.90534456098</v>
      </c>
      <c r="L1494" t="s">
        <v>17</v>
      </c>
      <c r="M1494">
        <v>0</v>
      </c>
      <c r="N1494">
        <v>0.34973145528493799</v>
      </c>
    </row>
    <row r="1495" spans="1:14" x14ac:dyDescent="0.25">
      <c r="A1495" s="2"/>
      <c r="B1495" t="s">
        <v>14</v>
      </c>
      <c r="C1495" s="1">
        <v>46097.999988425923</v>
      </c>
      <c r="D1495">
        <v>25.157484031972199</v>
      </c>
      <c r="E1495">
        <v>132690.050630101</v>
      </c>
      <c r="F1495" s="1">
        <v>46095.606296296297</v>
      </c>
      <c r="G1495">
        <v>52.875611498613097</v>
      </c>
      <c r="H1495" t="s">
        <v>23</v>
      </c>
      <c r="J1495" t="s">
        <v>16</v>
      </c>
      <c r="K1495">
        <v>577007.90534456098</v>
      </c>
      <c r="L1495" t="s">
        <v>17</v>
      </c>
      <c r="M1495">
        <v>-69107.763816966297</v>
      </c>
      <c r="N1495">
        <v>0.229962275041734</v>
      </c>
    </row>
    <row r="1496" spans="1:14" x14ac:dyDescent="0.25">
      <c r="A1496" s="2"/>
      <c r="B1496" t="s">
        <v>14</v>
      </c>
      <c r="C1496" s="1">
        <v>46096.999988425923</v>
      </c>
      <c r="D1496">
        <v>25.157484031972199</v>
      </c>
      <c r="E1496">
        <v>132690.050630101</v>
      </c>
      <c r="F1496" s="1">
        <v>46095.606296296297</v>
      </c>
      <c r="G1496">
        <v>52.875611498613097</v>
      </c>
      <c r="H1496" t="s">
        <v>23</v>
      </c>
      <c r="J1496" t="s">
        <v>16</v>
      </c>
      <c r="K1496">
        <v>577007.90534456098</v>
      </c>
      <c r="L1496" t="s">
        <v>17</v>
      </c>
      <c r="M1496">
        <v>0</v>
      </c>
      <c r="N1496">
        <v>0.229962275041734</v>
      </c>
    </row>
    <row r="1497" spans="1:14" x14ac:dyDescent="0.25">
      <c r="A1497" s="2"/>
      <c r="B1497" t="s">
        <v>14</v>
      </c>
      <c r="C1497" s="1">
        <v>46095.999988425923</v>
      </c>
      <c r="D1497">
        <v>25.157484031972199</v>
      </c>
      <c r="E1497">
        <v>132690.050630101</v>
      </c>
      <c r="F1497" s="1">
        <v>46095.606296296297</v>
      </c>
      <c r="G1497">
        <v>52.875611498613097</v>
      </c>
      <c r="H1497" t="s">
        <v>23</v>
      </c>
      <c r="J1497" t="s">
        <v>16</v>
      </c>
      <c r="K1497">
        <v>577007.90534456098</v>
      </c>
      <c r="L1497" t="s">
        <v>17</v>
      </c>
      <c r="M1497">
        <v>0</v>
      </c>
      <c r="N1497">
        <v>0.229962275041734</v>
      </c>
    </row>
    <row r="1498" spans="1:14" x14ac:dyDescent="0.25">
      <c r="A1498" s="2"/>
      <c r="B1498" t="s">
        <v>14</v>
      </c>
      <c r="C1498" s="1">
        <v>46094.999988425923</v>
      </c>
      <c r="D1498">
        <v>25.157484031972199</v>
      </c>
      <c r="E1498">
        <v>152966.49662599701</v>
      </c>
      <c r="F1498" s="1">
        <v>46092.099097222221</v>
      </c>
      <c r="G1498">
        <v>52.875611498613097</v>
      </c>
      <c r="H1498" t="s">
        <v>23</v>
      </c>
      <c r="J1498" t="s">
        <v>16</v>
      </c>
      <c r="K1498">
        <v>577007.90534456098</v>
      </c>
      <c r="L1498" t="s">
        <v>17</v>
      </c>
      <c r="M1498">
        <v>20276.4459958962</v>
      </c>
      <c r="N1498">
        <v>0.26510294782643001</v>
      </c>
    </row>
    <row r="1499" spans="1:14" x14ac:dyDescent="0.25">
      <c r="A1499" s="2"/>
      <c r="B1499" t="s">
        <v>14</v>
      </c>
      <c r="C1499" s="1">
        <v>46093.999988425923</v>
      </c>
      <c r="D1499">
        <v>25.157484031972199</v>
      </c>
      <c r="E1499">
        <v>152966.49662599701</v>
      </c>
      <c r="F1499" s="1">
        <v>46092.099097222221</v>
      </c>
      <c r="G1499">
        <v>52.875611498613097</v>
      </c>
      <c r="H1499" t="s">
        <v>23</v>
      </c>
      <c r="J1499" t="s">
        <v>16</v>
      </c>
      <c r="K1499">
        <v>577007.90534456098</v>
      </c>
      <c r="L1499" t="s">
        <v>17</v>
      </c>
      <c r="M1499">
        <v>0</v>
      </c>
      <c r="N1499">
        <v>0.26510294782643001</v>
      </c>
    </row>
    <row r="1500" spans="1:14" x14ac:dyDescent="0.25">
      <c r="A1500" s="2"/>
      <c r="B1500" t="s">
        <v>14</v>
      </c>
      <c r="C1500" s="1">
        <v>46092.999988425923</v>
      </c>
      <c r="D1500">
        <v>25.157484031972199</v>
      </c>
      <c r="E1500">
        <v>152966.49662599701</v>
      </c>
      <c r="F1500" s="1">
        <v>46092.099097222221</v>
      </c>
      <c r="G1500">
        <v>52.875611498613097</v>
      </c>
      <c r="H1500" t="s">
        <v>23</v>
      </c>
      <c r="J1500" t="s">
        <v>16</v>
      </c>
      <c r="K1500">
        <v>577007.90534456098</v>
      </c>
      <c r="L1500" t="s">
        <v>17</v>
      </c>
      <c r="M1500">
        <v>0</v>
      </c>
      <c r="N1500">
        <v>0.26510294782643001</v>
      </c>
    </row>
    <row r="1501" spans="1:14" x14ac:dyDescent="0.25">
      <c r="A1501" s="2"/>
      <c r="B1501" t="s">
        <v>14</v>
      </c>
      <c r="C1501" s="1">
        <v>46091.999988425923</v>
      </c>
      <c r="D1501">
        <v>25.157484031972199</v>
      </c>
      <c r="E1501">
        <v>140837.61477658901</v>
      </c>
      <c r="F1501" s="1">
        <v>46089.605474537035</v>
      </c>
      <c r="G1501">
        <v>52.875611498613097</v>
      </c>
      <c r="H1501" t="s">
        <v>23</v>
      </c>
      <c r="J1501" t="s">
        <v>16</v>
      </c>
      <c r="K1501">
        <v>577007.90534456098</v>
      </c>
      <c r="L1501" t="s">
        <v>17</v>
      </c>
      <c r="M1501">
        <v>-12128.8818494077</v>
      </c>
      <c r="N1501">
        <v>0.244082643360818</v>
      </c>
    </row>
    <row r="1502" spans="1:14" x14ac:dyDescent="0.25">
      <c r="A1502" s="2"/>
      <c r="B1502" t="s">
        <v>14</v>
      </c>
      <c r="C1502" s="1">
        <v>46090.999988425923</v>
      </c>
      <c r="D1502">
        <v>25.157484031972199</v>
      </c>
      <c r="E1502">
        <v>140837.61477658901</v>
      </c>
      <c r="F1502" s="1">
        <v>46089.605474537035</v>
      </c>
      <c r="G1502">
        <v>52.875611498613097</v>
      </c>
      <c r="H1502" t="s">
        <v>23</v>
      </c>
      <c r="J1502" t="s">
        <v>16</v>
      </c>
      <c r="K1502">
        <v>577007.90534456098</v>
      </c>
      <c r="L1502" t="s">
        <v>17</v>
      </c>
      <c r="M1502">
        <v>0</v>
      </c>
      <c r="N1502">
        <v>0.244082643360818</v>
      </c>
    </row>
    <row r="1503" spans="1:14" x14ac:dyDescent="0.25">
      <c r="A1503" s="2"/>
      <c r="B1503" t="s">
        <v>14</v>
      </c>
      <c r="C1503" s="1">
        <v>46089.999988425923</v>
      </c>
      <c r="D1503">
        <v>25.157484031972199</v>
      </c>
      <c r="E1503">
        <v>140837.61477658901</v>
      </c>
      <c r="F1503" s="1">
        <v>46089.605474537035</v>
      </c>
      <c r="G1503">
        <v>52.875611498613097</v>
      </c>
      <c r="H1503" t="s">
        <v>23</v>
      </c>
      <c r="J1503" t="s">
        <v>16</v>
      </c>
      <c r="K1503">
        <v>577007.90534456098</v>
      </c>
      <c r="L1503" t="s">
        <v>17</v>
      </c>
      <c r="M1503">
        <v>0</v>
      </c>
      <c r="N1503">
        <v>0.244082643360818</v>
      </c>
    </row>
    <row r="1504" spans="1:14" x14ac:dyDescent="0.25">
      <c r="A1504" s="2"/>
      <c r="B1504" t="s">
        <v>14</v>
      </c>
      <c r="C1504" s="1">
        <v>46088.999988425923</v>
      </c>
      <c r="D1504">
        <v>25.157484031972199</v>
      </c>
      <c r="E1504">
        <v>496123.41929506999</v>
      </c>
      <c r="F1504" s="1">
        <v>46086.099803240744</v>
      </c>
      <c r="G1504">
        <v>52.875611498613097</v>
      </c>
      <c r="H1504" t="s">
        <v>23</v>
      </c>
      <c r="J1504" t="s">
        <v>16</v>
      </c>
      <c r="K1504">
        <v>577007.90534456098</v>
      </c>
      <c r="L1504" t="s">
        <v>17</v>
      </c>
      <c r="M1504">
        <v>355285.80451848003</v>
      </c>
      <c r="N1504">
        <v>0.85982083555477296</v>
      </c>
    </row>
    <row r="1505" spans="1:14" x14ac:dyDescent="0.25">
      <c r="A1505" s="2"/>
      <c r="B1505" t="s">
        <v>14</v>
      </c>
      <c r="C1505" s="1">
        <v>46087.999988425923</v>
      </c>
      <c r="D1505">
        <v>25.157484031972199</v>
      </c>
      <c r="E1505">
        <v>496123.41929506999</v>
      </c>
      <c r="F1505" s="1">
        <v>46086.099803240744</v>
      </c>
      <c r="G1505">
        <v>52.875611498613097</v>
      </c>
      <c r="H1505" t="s">
        <v>23</v>
      </c>
      <c r="J1505" t="s">
        <v>16</v>
      </c>
      <c r="K1505">
        <v>577007.90534456098</v>
      </c>
      <c r="L1505" t="s">
        <v>17</v>
      </c>
      <c r="M1505">
        <v>0</v>
      </c>
      <c r="N1505">
        <v>0.85982083555477296</v>
      </c>
    </row>
    <row r="1506" spans="1:14" x14ac:dyDescent="0.25">
      <c r="A1506" s="2"/>
      <c r="B1506" t="s">
        <v>14</v>
      </c>
      <c r="C1506" s="1">
        <v>46086.999988425923</v>
      </c>
      <c r="D1506">
        <v>25.157484031972199</v>
      </c>
      <c r="E1506">
        <v>496123.41929506999</v>
      </c>
      <c r="F1506" s="1">
        <v>46086.099803240744</v>
      </c>
      <c r="G1506">
        <v>52.875611498613097</v>
      </c>
      <c r="H1506" t="s">
        <v>23</v>
      </c>
      <c r="J1506" t="s">
        <v>16</v>
      </c>
      <c r="K1506">
        <v>577007.90534456098</v>
      </c>
      <c r="L1506" t="s">
        <v>17</v>
      </c>
      <c r="M1506">
        <v>0</v>
      </c>
      <c r="N1506">
        <v>0.85982083555477296</v>
      </c>
    </row>
    <row r="1507" spans="1:14" x14ac:dyDescent="0.25">
      <c r="A1507" s="2"/>
      <c r="B1507" t="s">
        <v>14</v>
      </c>
      <c r="C1507" s="1">
        <v>46085.999988425923</v>
      </c>
      <c r="D1507">
        <v>25.157484031972199</v>
      </c>
      <c r="E1507">
        <v>126753.584999912</v>
      </c>
      <c r="F1507" s="1">
        <v>46083.60628472222</v>
      </c>
      <c r="G1507">
        <v>52.875611498613097</v>
      </c>
      <c r="H1507" t="s">
        <v>23</v>
      </c>
      <c r="J1507" t="s">
        <v>16</v>
      </c>
      <c r="K1507">
        <v>577007.90534456098</v>
      </c>
      <c r="L1507" t="s">
        <v>17</v>
      </c>
      <c r="M1507">
        <v>-369369.83429515699</v>
      </c>
      <c r="N1507">
        <v>0.21967391404147399</v>
      </c>
    </row>
    <row r="1508" spans="1:14" x14ac:dyDescent="0.25">
      <c r="A1508" s="2"/>
      <c r="B1508" t="s">
        <v>14</v>
      </c>
      <c r="C1508" s="1">
        <v>46084.999988425923</v>
      </c>
      <c r="D1508">
        <v>25.157484031972199</v>
      </c>
      <c r="E1508">
        <v>126753.584999912</v>
      </c>
      <c r="F1508" s="1">
        <v>46083.60628472222</v>
      </c>
      <c r="G1508">
        <v>52.875611498613097</v>
      </c>
      <c r="H1508" t="s">
        <v>23</v>
      </c>
      <c r="J1508" t="s">
        <v>16</v>
      </c>
      <c r="K1508">
        <v>577007.90534456098</v>
      </c>
      <c r="L1508" t="s">
        <v>17</v>
      </c>
      <c r="M1508">
        <v>0</v>
      </c>
      <c r="N1508">
        <v>0.21967391404147399</v>
      </c>
    </row>
    <row r="1509" spans="1:14" x14ac:dyDescent="0.25">
      <c r="A1509" s="2"/>
      <c r="B1509" t="s">
        <v>14</v>
      </c>
      <c r="C1509" s="1">
        <v>46083.999988425923</v>
      </c>
      <c r="D1509">
        <v>25.157484031972199</v>
      </c>
      <c r="E1509">
        <v>126753.584999912</v>
      </c>
      <c r="F1509" s="1">
        <v>46083.60628472222</v>
      </c>
      <c r="G1509">
        <v>52.875611498613097</v>
      </c>
      <c r="H1509" t="s">
        <v>23</v>
      </c>
      <c r="J1509" t="s">
        <v>16</v>
      </c>
      <c r="K1509">
        <v>577007.90534456098</v>
      </c>
      <c r="L1509" t="s">
        <v>17</v>
      </c>
      <c r="M1509">
        <v>0</v>
      </c>
      <c r="N1509">
        <v>0.21967391404147399</v>
      </c>
    </row>
    <row r="1510" spans="1:14" x14ac:dyDescent="0.25">
      <c r="A1510" s="2"/>
      <c r="B1510" t="s">
        <v>14</v>
      </c>
      <c r="C1510" s="1">
        <v>46082.999988425923</v>
      </c>
      <c r="D1510">
        <v>25.157484031972199</v>
      </c>
      <c r="E1510">
        <v>577007.90534456098</v>
      </c>
      <c r="F1510" s="1">
        <v>46080.099097222221</v>
      </c>
      <c r="G1510">
        <v>52.875611498613097</v>
      </c>
      <c r="H1510" t="s">
        <v>23</v>
      </c>
      <c r="J1510" t="s">
        <v>16</v>
      </c>
      <c r="K1510">
        <v>577007.90534456098</v>
      </c>
      <c r="L1510" t="s">
        <v>17</v>
      </c>
      <c r="M1510">
        <v>450254.32034464797</v>
      </c>
      <c r="N1510">
        <v>1</v>
      </c>
    </row>
    <row r="1511" spans="1:14" x14ac:dyDescent="0.25">
      <c r="A1511" s="2"/>
      <c r="B1511" t="s">
        <v>14</v>
      </c>
      <c r="C1511" s="1">
        <v>46081.999988425923</v>
      </c>
      <c r="D1511">
        <v>25.157484031972199</v>
      </c>
      <c r="E1511">
        <v>577007.90534456098</v>
      </c>
      <c r="F1511" s="1">
        <v>46080.099097222221</v>
      </c>
      <c r="G1511">
        <v>52.875611498613097</v>
      </c>
      <c r="H1511" t="s">
        <v>23</v>
      </c>
      <c r="J1511" t="s">
        <v>16</v>
      </c>
      <c r="K1511">
        <v>577007.90534456098</v>
      </c>
      <c r="L1511" t="s">
        <v>17</v>
      </c>
      <c r="M1511">
        <v>0</v>
      </c>
      <c r="N1511">
        <v>1</v>
      </c>
    </row>
    <row r="1512" spans="1:14" x14ac:dyDescent="0.25">
      <c r="A1512" s="2"/>
      <c r="B1512" t="s">
        <v>14</v>
      </c>
      <c r="C1512" s="1">
        <v>46080.999988425923</v>
      </c>
      <c r="D1512">
        <v>25.157484031972199</v>
      </c>
      <c r="E1512">
        <v>577007.90534456098</v>
      </c>
      <c r="F1512" s="1">
        <v>46080.099097222221</v>
      </c>
      <c r="G1512">
        <v>52.875611498613097</v>
      </c>
      <c r="H1512" t="s">
        <v>23</v>
      </c>
      <c r="J1512" t="s">
        <v>16</v>
      </c>
      <c r="K1512">
        <v>577007.90534456098</v>
      </c>
      <c r="L1512" t="s">
        <v>17</v>
      </c>
      <c r="M1512">
        <v>0</v>
      </c>
      <c r="N1512">
        <v>1</v>
      </c>
    </row>
    <row r="1513" spans="1:14" x14ac:dyDescent="0.25">
      <c r="A1513" s="2"/>
      <c r="B1513" t="s">
        <v>14</v>
      </c>
      <c r="C1513" s="1">
        <v>46079.999988425923</v>
      </c>
      <c r="D1513">
        <v>25.157484031972199</v>
      </c>
      <c r="E1513">
        <v>528939.58720812295</v>
      </c>
      <c r="F1513" s="1">
        <v>46077.605474537035</v>
      </c>
      <c r="G1513">
        <v>52.875611498613097</v>
      </c>
      <c r="H1513" t="s">
        <v>23</v>
      </c>
      <c r="J1513" t="s">
        <v>16</v>
      </c>
      <c r="K1513">
        <v>577007.90534456098</v>
      </c>
      <c r="L1513" t="s">
        <v>17</v>
      </c>
      <c r="M1513">
        <v>-48068.318136438</v>
      </c>
      <c r="N1513">
        <v>0.91669383089693701</v>
      </c>
    </row>
    <row r="1514" spans="1:14" x14ac:dyDescent="0.25">
      <c r="A1514" s="2"/>
      <c r="B1514" t="s">
        <v>14</v>
      </c>
      <c r="C1514" s="1">
        <v>46078.999988425923</v>
      </c>
      <c r="D1514">
        <v>25.157484031972199</v>
      </c>
      <c r="E1514">
        <v>528939.58720812295</v>
      </c>
      <c r="F1514" s="1">
        <v>46077.605474537035</v>
      </c>
      <c r="G1514">
        <v>52.875611498613097</v>
      </c>
      <c r="H1514" t="s">
        <v>23</v>
      </c>
      <c r="J1514" t="s">
        <v>16</v>
      </c>
      <c r="K1514">
        <v>577007.90534456098</v>
      </c>
      <c r="L1514" t="s">
        <v>17</v>
      </c>
      <c r="M1514">
        <v>0</v>
      </c>
      <c r="N1514">
        <v>0.91669383089693701</v>
      </c>
    </row>
    <row r="1515" spans="1:14" x14ac:dyDescent="0.25">
      <c r="A1515" s="2"/>
      <c r="B1515" t="s">
        <v>14</v>
      </c>
      <c r="C1515" s="1">
        <v>46077.999988425923</v>
      </c>
      <c r="D1515">
        <v>25.157484031972199</v>
      </c>
      <c r="E1515">
        <v>528939.58720812295</v>
      </c>
      <c r="F1515" s="1">
        <v>46077.605474537035</v>
      </c>
      <c r="G1515">
        <v>52.875611498613097</v>
      </c>
      <c r="H1515" t="s">
        <v>23</v>
      </c>
      <c r="J1515" t="s">
        <v>16</v>
      </c>
      <c r="K1515">
        <v>577007.90534456098</v>
      </c>
      <c r="L1515" t="s">
        <v>17</v>
      </c>
      <c r="M1515">
        <v>0</v>
      </c>
      <c r="N1515">
        <v>0.91669383089693701</v>
      </c>
    </row>
    <row r="1516" spans="1:14" x14ac:dyDescent="0.25">
      <c r="A1516" s="2"/>
      <c r="B1516" t="s">
        <v>14</v>
      </c>
      <c r="C1516" s="1">
        <v>46076.999988425923</v>
      </c>
      <c r="D1516">
        <v>25.157484031972199</v>
      </c>
      <c r="E1516">
        <v>577007.90534456098</v>
      </c>
      <c r="F1516" s="1">
        <v>46074.099803240744</v>
      </c>
      <c r="G1516">
        <v>52.875611498613097</v>
      </c>
      <c r="H1516" t="s">
        <v>23</v>
      </c>
      <c r="J1516" t="s">
        <v>16</v>
      </c>
      <c r="K1516">
        <v>577007.90534456098</v>
      </c>
      <c r="L1516" t="s">
        <v>17</v>
      </c>
      <c r="M1516">
        <v>48068.318136438</v>
      </c>
      <c r="N1516">
        <v>1</v>
      </c>
    </row>
    <row r="1517" spans="1:14" x14ac:dyDescent="0.25">
      <c r="A1517" s="2"/>
      <c r="B1517" t="s">
        <v>14</v>
      </c>
      <c r="C1517" s="1">
        <v>46075.999988425923</v>
      </c>
      <c r="D1517">
        <v>25.157484031972199</v>
      </c>
      <c r="E1517">
        <v>577007.90534456098</v>
      </c>
      <c r="F1517" s="1">
        <v>46074.099803240744</v>
      </c>
      <c r="G1517">
        <v>52.875611498613097</v>
      </c>
      <c r="H1517" t="s">
        <v>23</v>
      </c>
      <c r="J1517" t="s">
        <v>16</v>
      </c>
      <c r="K1517">
        <v>577007.90534456098</v>
      </c>
      <c r="L1517" t="s">
        <v>17</v>
      </c>
      <c r="M1517">
        <v>0</v>
      </c>
      <c r="N1517">
        <v>1</v>
      </c>
    </row>
    <row r="1518" spans="1:14" x14ac:dyDescent="0.25">
      <c r="A1518" s="2"/>
      <c r="B1518" t="s">
        <v>14</v>
      </c>
      <c r="C1518" s="1">
        <v>46074.999988425923</v>
      </c>
      <c r="D1518">
        <v>25.157484031972199</v>
      </c>
      <c r="E1518">
        <v>577007.90534456098</v>
      </c>
      <c r="F1518" s="1">
        <v>46074.099803240744</v>
      </c>
      <c r="G1518">
        <v>52.875611498613097</v>
      </c>
      <c r="H1518" t="s">
        <v>23</v>
      </c>
      <c r="J1518" t="s">
        <v>16</v>
      </c>
      <c r="K1518">
        <v>577007.90534456098</v>
      </c>
      <c r="L1518" t="s">
        <v>17</v>
      </c>
      <c r="M1518">
        <v>0</v>
      </c>
      <c r="N1518">
        <v>1</v>
      </c>
    </row>
    <row r="1519" spans="1:14" x14ac:dyDescent="0.25">
      <c r="A1519" s="2"/>
      <c r="B1519" t="s">
        <v>14</v>
      </c>
      <c r="C1519" s="1">
        <v>46073.999988425923</v>
      </c>
      <c r="D1519">
        <v>25.157484031972199</v>
      </c>
      <c r="E1519">
        <v>406079.16527193598</v>
      </c>
      <c r="F1519" s="1">
        <v>46071.606296296297</v>
      </c>
      <c r="G1519">
        <v>52.875611498613097</v>
      </c>
      <c r="H1519" t="s">
        <v>23</v>
      </c>
      <c r="J1519" t="s">
        <v>16</v>
      </c>
      <c r="K1519">
        <v>577007.90534456098</v>
      </c>
      <c r="L1519" t="s">
        <v>17</v>
      </c>
      <c r="M1519">
        <v>-170928.74007262499</v>
      </c>
      <c r="N1519">
        <v>0.70376707409137695</v>
      </c>
    </row>
    <row r="1520" spans="1:14" x14ac:dyDescent="0.25">
      <c r="A1520" s="2"/>
      <c r="B1520" t="s">
        <v>14</v>
      </c>
      <c r="C1520" s="1">
        <v>46072.999988425923</v>
      </c>
      <c r="D1520">
        <v>25.157484031972199</v>
      </c>
      <c r="E1520">
        <v>406079.16527193598</v>
      </c>
      <c r="F1520" s="1">
        <v>46071.606296296297</v>
      </c>
      <c r="G1520">
        <v>52.875611498613097</v>
      </c>
      <c r="H1520" t="s">
        <v>23</v>
      </c>
      <c r="J1520" t="s">
        <v>16</v>
      </c>
      <c r="K1520">
        <v>577007.90534456098</v>
      </c>
      <c r="L1520" t="s">
        <v>17</v>
      </c>
      <c r="M1520">
        <v>0</v>
      </c>
      <c r="N1520">
        <v>0.70376707409137695</v>
      </c>
    </row>
    <row r="1521" spans="1:14" x14ac:dyDescent="0.25">
      <c r="A1521" s="2"/>
      <c r="B1521" t="s">
        <v>14</v>
      </c>
      <c r="C1521" s="1">
        <v>46071.999988425923</v>
      </c>
      <c r="D1521">
        <v>25.157484031972199</v>
      </c>
      <c r="E1521">
        <v>406079.16527193598</v>
      </c>
      <c r="F1521" s="1">
        <v>46071.606296296297</v>
      </c>
      <c r="G1521">
        <v>52.875611498613097</v>
      </c>
      <c r="H1521" t="s">
        <v>23</v>
      </c>
      <c r="J1521" t="s">
        <v>16</v>
      </c>
      <c r="K1521">
        <v>577007.90534456098</v>
      </c>
      <c r="L1521" t="s">
        <v>17</v>
      </c>
      <c r="M1521">
        <v>0</v>
      </c>
      <c r="N1521">
        <v>0.70376707409137695</v>
      </c>
    </row>
    <row r="1522" spans="1:14" x14ac:dyDescent="0.25">
      <c r="A1522" s="2"/>
      <c r="B1522" t="s">
        <v>14</v>
      </c>
      <c r="C1522" s="1">
        <v>46070.999988425923</v>
      </c>
      <c r="D1522">
        <v>25.157484031972199</v>
      </c>
      <c r="E1522">
        <v>577007.90534456098</v>
      </c>
      <c r="F1522" s="1">
        <v>46068.099097222221</v>
      </c>
      <c r="G1522">
        <v>52.875611498613097</v>
      </c>
      <c r="H1522" t="s">
        <v>23</v>
      </c>
      <c r="J1522" t="s">
        <v>16</v>
      </c>
      <c r="K1522">
        <v>577007.90534456098</v>
      </c>
      <c r="L1522" t="s">
        <v>17</v>
      </c>
      <c r="M1522">
        <v>170928.74007262499</v>
      </c>
      <c r="N1522">
        <v>1</v>
      </c>
    </row>
    <row r="1523" spans="1:14" x14ac:dyDescent="0.25">
      <c r="A1523" s="2"/>
      <c r="B1523" t="s">
        <v>14</v>
      </c>
      <c r="C1523" s="1">
        <v>46069.999988425923</v>
      </c>
      <c r="D1523">
        <v>25.157484031972199</v>
      </c>
      <c r="E1523">
        <v>577007.90534456098</v>
      </c>
      <c r="F1523" s="1">
        <v>46068.099097222221</v>
      </c>
      <c r="G1523">
        <v>52.875611498613097</v>
      </c>
      <c r="H1523" t="s">
        <v>23</v>
      </c>
      <c r="J1523" t="s">
        <v>16</v>
      </c>
      <c r="K1523">
        <v>577007.90534456098</v>
      </c>
      <c r="L1523" t="s">
        <v>17</v>
      </c>
      <c r="M1523">
        <v>0</v>
      </c>
      <c r="N1523">
        <v>1</v>
      </c>
    </row>
    <row r="1524" spans="1:14" x14ac:dyDescent="0.25">
      <c r="A1524" s="2"/>
      <c r="B1524" t="s">
        <v>14</v>
      </c>
      <c r="C1524" s="1">
        <v>46068.999988425923</v>
      </c>
      <c r="D1524">
        <v>25.157484031972199</v>
      </c>
      <c r="E1524">
        <v>577007.90534456098</v>
      </c>
      <c r="F1524" s="1">
        <v>46068.099097222221</v>
      </c>
      <c r="G1524">
        <v>52.875611498613097</v>
      </c>
      <c r="H1524" t="s">
        <v>23</v>
      </c>
      <c r="J1524" t="s">
        <v>16</v>
      </c>
      <c r="K1524">
        <v>577007.90534456098</v>
      </c>
      <c r="L1524" t="s">
        <v>17</v>
      </c>
      <c r="M1524">
        <v>0</v>
      </c>
      <c r="N1524">
        <v>1</v>
      </c>
    </row>
    <row r="1525" spans="1:14" x14ac:dyDescent="0.25">
      <c r="A1525" s="2"/>
      <c r="B1525" t="s">
        <v>14</v>
      </c>
      <c r="C1525" s="1">
        <v>46067.999988425923</v>
      </c>
      <c r="D1525">
        <v>25.157484031972199</v>
      </c>
      <c r="E1525">
        <v>144780.34644239</v>
      </c>
      <c r="F1525" s="1">
        <v>46065.605474537035</v>
      </c>
      <c r="G1525">
        <v>52.875611498613097</v>
      </c>
      <c r="H1525" t="s">
        <v>23</v>
      </c>
      <c r="J1525" t="s">
        <v>16</v>
      </c>
      <c r="K1525">
        <v>577007.90534456098</v>
      </c>
      <c r="L1525" t="s">
        <v>17</v>
      </c>
      <c r="M1525">
        <v>-432227.55890217097</v>
      </c>
      <c r="N1525">
        <v>0.25091570687568598</v>
      </c>
    </row>
    <row r="1526" spans="1:14" x14ac:dyDescent="0.25">
      <c r="A1526" s="2"/>
      <c r="B1526" t="s">
        <v>14</v>
      </c>
      <c r="C1526" s="1">
        <v>46066.999988425923</v>
      </c>
      <c r="D1526">
        <v>25.157484031972199</v>
      </c>
      <c r="E1526">
        <v>144780.34644239</v>
      </c>
      <c r="F1526" s="1">
        <v>46065.605474537035</v>
      </c>
      <c r="G1526">
        <v>52.875611498613097</v>
      </c>
      <c r="H1526" t="s">
        <v>23</v>
      </c>
      <c r="J1526" t="s">
        <v>16</v>
      </c>
      <c r="K1526">
        <v>577007.90534456098</v>
      </c>
      <c r="L1526" t="s">
        <v>17</v>
      </c>
      <c r="M1526">
        <v>0</v>
      </c>
      <c r="N1526">
        <v>0.25091570687568598</v>
      </c>
    </row>
    <row r="1527" spans="1:14" x14ac:dyDescent="0.25">
      <c r="A1527" s="2"/>
      <c r="B1527" t="s">
        <v>14</v>
      </c>
      <c r="C1527" s="1">
        <v>46065.999988425923</v>
      </c>
      <c r="D1527">
        <v>25.157484031972199</v>
      </c>
      <c r="E1527">
        <v>144780.34644239</v>
      </c>
      <c r="F1527" s="1">
        <v>46065.605474537035</v>
      </c>
      <c r="G1527">
        <v>52.875611498613097</v>
      </c>
      <c r="H1527" t="s">
        <v>23</v>
      </c>
      <c r="J1527" t="s">
        <v>16</v>
      </c>
      <c r="K1527">
        <v>577007.90534456098</v>
      </c>
      <c r="L1527" t="s">
        <v>17</v>
      </c>
      <c r="M1527">
        <v>0</v>
      </c>
      <c r="N1527">
        <v>0.25091570687568598</v>
      </c>
    </row>
    <row r="1528" spans="1:14" x14ac:dyDescent="0.25">
      <c r="A1528" s="2"/>
      <c r="B1528" t="s">
        <v>14</v>
      </c>
      <c r="C1528" s="1">
        <v>46064.999988425923</v>
      </c>
      <c r="D1528">
        <v>25.157484031972199</v>
      </c>
      <c r="E1528">
        <v>235715.999944671</v>
      </c>
      <c r="F1528" s="1">
        <v>46062.099814814814</v>
      </c>
      <c r="G1528">
        <v>52.875611498613097</v>
      </c>
      <c r="H1528" t="s">
        <v>23</v>
      </c>
      <c r="J1528" t="s">
        <v>16</v>
      </c>
      <c r="K1528">
        <v>577007.90534456098</v>
      </c>
      <c r="L1528" t="s">
        <v>17</v>
      </c>
      <c r="M1528">
        <v>90935.653502281202</v>
      </c>
      <c r="N1528">
        <v>0.40851433361889999</v>
      </c>
    </row>
    <row r="1529" spans="1:14" x14ac:dyDescent="0.25">
      <c r="A1529" s="2"/>
      <c r="B1529" t="s">
        <v>14</v>
      </c>
      <c r="C1529" s="1">
        <v>46063.999988425923</v>
      </c>
      <c r="D1529">
        <v>25.157484031972199</v>
      </c>
      <c r="E1529">
        <v>235715.999944671</v>
      </c>
      <c r="F1529" s="1">
        <v>46062.099814814814</v>
      </c>
      <c r="G1529">
        <v>52.875611498613097</v>
      </c>
      <c r="H1529" t="s">
        <v>23</v>
      </c>
      <c r="J1529" t="s">
        <v>16</v>
      </c>
      <c r="K1529">
        <v>577007.90534456098</v>
      </c>
      <c r="L1529" t="s">
        <v>17</v>
      </c>
      <c r="M1529">
        <v>0</v>
      </c>
      <c r="N1529">
        <v>0.40851433361889999</v>
      </c>
    </row>
    <row r="1530" spans="1:14" x14ac:dyDescent="0.25">
      <c r="A1530" s="2"/>
      <c r="B1530" t="s">
        <v>14</v>
      </c>
      <c r="C1530" s="1">
        <v>46062.999988425923</v>
      </c>
      <c r="D1530">
        <v>25.157484031972199</v>
      </c>
      <c r="E1530">
        <v>235715.999944671</v>
      </c>
      <c r="F1530" s="1">
        <v>46062.099814814814</v>
      </c>
      <c r="G1530">
        <v>52.875611498613097</v>
      </c>
      <c r="H1530" t="s">
        <v>23</v>
      </c>
      <c r="J1530" t="s">
        <v>16</v>
      </c>
      <c r="K1530">
        <v>577007.90534456098</v>
      </c>
      <c r="L1530" t="s">
        <v>17</v>
      </c>
      <c r="M1530">
        <v>0</v>
      </c>
      <c r="N1530">
        <v>0.40851433361889999</v>
      </c>
    </row>
    <row r="1531" spans="1:14" x14ac:dyDescent="0.25">
      <c r="A1531" s="2"/>
      <c r="B1531" t="s">
        <v>14</v>
      </c>
      <c r="C1531" s="1">
        <v>46061.999988425923</v>
      </c>
      <c r="D1531">
        <v>25.157484031972199</v>
      </c>
      <c r="E1531">
        <v>424551.41901946301</v>
      </c>
      <c r="F1531" s="1">
        <v>46059.606296296297</v>
      </c>
      <c r="G1531">
        <v>52.875611498613097</v>
      </c>
      <c r="H1531" t="s">
        <v>23</v>
      </c>
      <c r="J1531" t="s">
        <v>16</v>
      </c>
      <c r="K1531">
        <v>577007.90534456098</v>
      </c>
      <c r="L1531" t="s">
        <v>17</v>
      </c>
      <c r="M1531">
        <v>188835.41907479099</v>
      </c>
      <c r="N1531">
        <v>0.73578094006518202</v>
      </c>
    </row>
    <row r="1532" spans="1:14" x14ac:dyDescent="0.25">
      <c r="A1532" s="2"/>
      <c r="B1532" t="s">
        <v>14</v>
      </c>
      <c r="C1532" s="1">
        <v>46060.999988425923</v>
      </c>
      <c r="D1532">
        <v>25.157484031972199</v>
      </c>
      <c r="E1532">
        <v>424551.41901946301</v>
      </c>
      <c r="F1532" s="1">
        <v>46059.606296296297</v>
      </c>
      <c r="G1532">
        <v>52.875611498613097</v>
      </c>
      <c r="H1532" t="s">
        <v>23</v>
      </c>
      <c r="J1532" t="s">
        <v>16</v>
      </c>
      <c r="K1532">
        <v>577007.90534456098</v>
      </c>
      <c r="L1532" t="s">
        <v>17</v>
      </c>
      <c r="M1532">
        <v>0</v>
      </c>
      <c r="N1532">
        <v>0.73578094006518202</v>
      </c>
    </row>
    <row r="1533" spans="1:14" x14ac:dyDescent="0.25">
      <c r="A1533" s="2"/>
      <c r="B1533" t="s">
        <v>14</v>
      </c>
      <c r="C1533" s="1">
        <v>46059.999988425923</v>
      </c>
      <c r="D1533">
        <v>25.157484031972199</v>
      </c>
      <c r="E1533">
        <v>424551.41901946301</v>
      </c>
      <c r="F1533" s="1">
        <v>46059.606296296297</v>
      </c>
      <c r="G1533">
        <v>52.875611498613097</v>
      </c>
      <c r="H1533" t="s">
        <v>23</v>
      </c>
      <c r="J1533" t="s">
        <v>16</v>
      </c>
      <c r="K1533">
        <v>577007.90534456098</v>
      </c>
      <c r="L1533" t="s">
        <v>17</v>
      </c>
      <c r="M1533">
        <v>0</v>
      </c>
      <c r="N1533">
        <v>0.73578094006518202</v>
      </c>
    </row>
    <row r="1534" spans="1:14" x14ac:dyDescent="0.25">
      <c r="A1534" s="2"/>
      <c r="B1534" t="s">
        <v>14</v>
      </c>
      <c r="C1534" s="1">
        <v>46058.999988425923</v>
      </c>
      <c r="D1534">
        <v>25.157484031972199</v>
      </c>
      <c r="E1534">
        <v>577007.90534456098</v>
      </c>
      <c r="F1534" s="1">
        <v>46056.099097222221</v>
      </c>
      <c r="G1534">
        <v>52.875611498613097</v>
      </c>
      <c r="H1534" t="s">
        <v>23</v>
      </c>
      <c r="J1534" t="s">
        <v>16</v>
      </c>
      <c r="K1534">
        <v>577007.90534456098</v>
      </c>
      <c r="L1534" t="s">
        <v>17</v>
      </c>
      <c r="M1534">
        <v>152456.486325098</v>
      </c>
      <c r="N1534">
        <v>1</v>
      </c>
    </row>
    <row r="1535" spans="1:14" x14ac:dyDescent="0.25">
      <c r="A1535" s="2"/>
      <c r="B1535" t="s">
        <v>14</v>
      </c>
      <c r="C1535" s="1">
        <v>46057.999988425923</v>
      </c>
      <c r="D1535">
        <v>25.157484031972199</v>
      </c>
      <c r="E1535">
        <v>577007.90534456098</v>
      </c>
      <c r="F1535" s="1">
        <v>46056.099097222221</v>
      </c>
      <c r="G1535">
        <v>52.875611498613097</v>
      </c>
      <c r="H1535" t="s">
        <v>23</v>
      </c>
      <c r="J1535" t="s">
        <v>16</v>
      </c>
      <c r="K1535">
        <v>577007.90534456098</v>
      </c>
      <c r="L1535" t="s">
        <v>17</v>
      </c>
      <c r="M1535">
        <v>0</v>
      </c>
      <c r="N1535">
        <v>1</v>
      </c>
    </row>
    <row r="1536" spans="1:14" x14ac:dyDescent="0.25">
      <c r="A1536" s="2"/>
      <c r="B1536" t="s">
        <v>14</v>
      </c>
      <c r="C1536" s="1">
        <v>46056.999988425923</v>
      </c>
      <c r="D1536">
        <v>25.157484031972199</v>
      </c>
      <c r="E1536">
        <v>577007.90534456098</v>
      </c>
      <c r="F1536" s="1">
        <v>46056.099097222221</v>
      </c>
      <c r="G1536">
        <v>52.875611498613097</v>
      </c>
      <c r="H1536" t="s">
        <v>23</v>
      </c>
      <c r="J1536" t="s">
        <v>16</v>
      </c>
      <c r="K1536">
        <v>577007.90534456098</v>
      </c>
      <c r="L1536" t="s">
        <v>17</v>
      </c>
      <c r="M1536">
        <v>0</v>
      </c>
      <c r="N1536">
        <v>1</v>
      </c>
    </row>
    <row r="1537" spans="1:14" x14ac:dyDescent="0.25">
      <c r="A1537" s="2"/>
      <c r="B1537" t="s">
        <v>14</v>
      </c>
      <c r="C1537" s="1">
        <v>46055.999988425923</v>
      </c>
      <c r="D1537">
        <v>25.157484031972199</v>
      </c>
      <c r="E1537">
        <v>149607.72458337501</v>
      </c>
      <c r="F1537" s="1">
        <v>46053.605474537035</v>
      </c>
      <c r="G1537">
        <v>52.875611498613097</v>
      </c>
      <c r="H1537" t="s">
        <v>23</v>
      </c>
      <c r="J1537" t="s">
        <v>16</v>
      </c>
      <c r="K1537">
        <v>577007.90534456098</v>
      </c>
      <c r="L1537" t="s">
        <v>17</v>
      </c>
      <c r="M1537">
        <v>-427400.18076118501</v>
      </c>
      <c r="N1537">
        <v>0.25928193218433698</v>
      </c>
    </row>
    <row r="1538" spans="1:14" x14ac:dyDescent="0.25">
      <c r="A1538" s="2"/>
      <c r="B1538" t="s">
        <v>14</v>
      </c>
      <c r="C1538" s="1">
        <v>46054.999988425923</v>
      </c>
      <c r="D1538">
        <v>25.157484031972199</v>
      </c>
      <c r="E1538">
        <v>149607.72458337501</v>
      </c>
      <c r="F1538" s="1">
        <v>46053.605474537035</v>
      </c>
      <c r="G1538">
        <v>52.875611498613097</v>
      </c>
      <c r="H1538" t="s">
        <v>23</v>
      </c>
      <c r="J1538" t="s">
        <v>16</v>
      </c>
      <c r="K1538">
        <v>577007.90534456098</v>
      </c>
      <c r="L1538" t="s">
        <v>17</v>
      </c>
      <c r="M1538">
        <v>0</v>
      </c>
      <c r="N1538">
        <v>0.25928193218433698</v>
      </c>
    </row>
    <row r="1539" spans="1:14" x14ac:dyDescent="0.25">
      <c r="A1539" s="2"/>
      <c r="B1539" t="s">
        <v>14</v>
      </c>
      <c r="C1539" s="1">
        <v>46053.999988425923</v>
      </c>
      <c r="D1539">
        <v>25.157484031972199</v>
      </c>
      <c r="E1539">
        <v>149607.72458337501</v>
      </c>
      <c r="F1539" s="1">
        <v>46053.605474537035</v>
      </c>
      <c r="G1539">
        <v>52.875611498613097</v>
      </c>
      <c r="H1539" t="s">
        <v>23</v>
      </c>
      <c r="J1539" t="s">
        <v>16</v>
      </c>
      <c r="K1539">
        <v>577007.90534456098</v>
      </c>
      <c r="L1539" t="s">
        <v>17</v>
      </c>
      <c r="M1539">
        <v>0</v>
      </c>
      <c r="N1539">
        <v>0.25928193218433698</v>
      </c>
    </row>
    <row r="1540" spans="1:14" x14ac:dyDescent="0.25">
      <c r="A1540" s="2"/>
      <c r="B1540" t="s">
        <v>14</v>
      </c>
      <c r="C1540" s="1">
        <v>46052.999988425923</v>
      </c>
      <c r="D1540">
        <v>25.157484031972199</v>
      </c>
      <c r="E1540">
        <v>155985.54823005901</v>
      </c>
      <c r="F1540" s="1">
        <v>46050.099814814814</v>
      </c>
      <c r="G1540">
        <v>52.875611498613097</v>
      </c>
      <c r="H1540" t="s">
        <v>23</v>
      </c>
      <c r="J1540" t="s">
        <v>16</v>
      </c>
      <c r="K1540">
        <v>577007.90534456098</v>
      </c>
      <c r="L1540" t="s">
        <v>17</v>
      </c>
      <c r="M1540">
        <v>6377.8236466837698</v>
      </c>
      <c r="N1540">
        <v>0.27033520127754901</v>
      </c>
    </row>
    <row r="1541" spans="1:14" x14ac:dyDescent="0.25">
      <c r="A1541" s="2"/>
      <c r="B1541" t="s">
        <v>14</v>
      </c>
      <c r="C1541" s="1">
        <v>46051.999988425923</v>
      </c>
      <c r="D1541">
        <v>25.157484031972199</v>
      </c>
      <c r="E1541">
        <v>155985.54823005901</v>
      </c>
      <c r="F1541" s="1">
        <v>46050.099814814814</v>
      </c>
      <c r="G1541">
        <v>52.875611498613097</v>
      </c>
      <c r="H1541" t="s">
        <v>23</v>
      </c>
      <c r="J1541" t="s">
        <v>16</v>
      </c>
      <c r="K1541">
        <v>577007.90534456098</v>
      </c>
      <c r="L1541" t="s">
        <v>17</v>
      </c>
      <c r="M1541">
        <v>0</v>
      </c>
      <c r="N1541">
        <v>0.27033520127754901</v>
      </c>
    </row>
    <row r="1542" spans="1:14" x14ac:dyDescent="0.25">
      <c r="A1542" s="2"/>
      <c r="B1542" t="s">
        <v>14</v>
      </c>
      <c r="C1542" s="1">
        <v>46050.999988425923</v>
      </c>
      <c r="D1542">
        <v>25.157484031972199</v>
      </c>
      <c r="E1542">
        <v>155985.54823005901</v>
      </c>
      <c r="F1542" s="1">
        <v>46050.099814814814</v>
      </c>
      <c r="G1542">
        <v>52.875611498613097</v>
      </c>
      <c r="H1542" t="s">
        <v>23</v>
      </c>
      <c r="J1542" t="s">
        <v>16</v>
      </c>
      <c r="K1542">
        <v>577007.90534456098</v>
      </c>
      <c r="L1542" t="s">
        <v>17</v>
      </c>
      <c r="M1542">
        <v>0</v>
      </c>
      <c r="N1542">
        <v>0.27033520127754901</v>
      </c>
    </row>
    <row r="1543" spans="1:14" x14ac:dyDescent="0.25">
      <c r="A1543" s="2"/>
      <c r="B1543" t="s">
        <v>14</v>
      </c>
      <c r="C1543" s="1">
        <v>46049.999988425923</v>
      </c>
      <c r="D1543">
        <v>25.157484031972199</v>
      </c>
      <c r="E1543">
        <v>577007.90534456098</v>
      </c>
      <c r="F1543" s="1">
        <v>46047.606307870374</v>
      </c>
      <c r="G1543">
        <v>52.875611498613097</v>
      </c>
      <c r="H1543" t="s">
        <v>23</v>
      </c>
      <c r="J1543" t="s">
        <v>16</v>
      </c>
      <c r="K1543">
        <v>577007.90534456098</v>
      </c>
      <c r="L1543" t="s">
        <v>17</v>
      </c>
      <c r="M1543">
        <v>421022.357114502</v>
      </c>
      <c r="N1543">
        <v>1</v>
      </c>
    </row>
    <row r="1544" spans="1:14" x14ac:dyDescent="0.25">
      <c r="A1544" s="2"/>
      <c r="B1544" t="s">
        <v>14</v>
      </c>
      <c r="C1544" s="1">
        <v>46048.999988425923</v>
      </c>
      <c r="D1544">
        <v>25.157484031972199</v>
      </c>
      <c r="E1544">
        <v>577007.90534456098</v>
      </c>
      <c r="F1544" s="1">
        <v>46047.606307870374</v>
      </c>
      <c r="G1544">
        <v>52.875611498613097</v>
      </c>
      <c r="H1544" t="s">
        <v>23</v>
      </c>
      <c r="J1544" t="s">
        <v>16</v>
      </c>
      <c r="K1544">
        <v>577007.90534456098</v>
      </c>
      <c r="L1544" t="s">
        <v>17</v>
      </c>
      <c r="M1544">
        <v>0</v>
      </c>
      <c r="N1544">
        <v>1</v>
      </c>
    </row>
    <row r="1545" spans="1:14" x14ac:dyDescent="0.25">
      <c r="A1545" s="2"/>
      <c r="B1545" t="s">
        <v>14</v>
      </c>
      <c r="C1545" s="1">
        <v>46047.999988425923</v>
      </c>
      <c r="D1545">
        <v>25.157484031972199</v>
      </c>
      <c r="E1545">
        <v>577007.90534456098</v>
      </c>
      <c r="F1545" s="1">
        <v>46047.606307870374</v>
      </c>
      <c r="G1545">
        <v>52.875611498613097</v>
      </c>
      <c r="H1545" t="s">
        <v>23</v>
      </c>
      <c r="J1545" t="s">
        <v>16</v>
      </c>
      <c r="K1545">
        <v>577007.90534456098</v>
      </c>
      <c r="L1545" t="s">
        <v>17</v>
      </c>
      <c r="M1545">
        <v>0</v>
      </c>
      <c r="N1545">
        <v>1</v>
      </c>
    </row>
    <row r="1546" spans="1:14" x14ac:dyDescent="0.25">
      <c r="A1546" s="2"/>
      <c r="B1546" t="s">
        <v>14</v>
      </c>
      <c r="C1546" s="1">
        <v>46046.999988425923</v>
      </c>
      <c r="D1546">
        <v>25.157484031972199</v>
      </c>
      <c r="E1546">
        <v>137358.78192321101</v>
      </c>
      <c r="F1546" s="1">
        <v>46041.605486111112</v>
      </c>
      <c r="G1546">
        <v>52.875611498613097</v>
      </c>
      <c r="H1546" t="s">
        <v>23</v>
      </c>
      <c r="J1546" t="s">
        <v>16</v>
      </c>
      <c r="K1546">
        <v>577007.90534456098</v>
      </c>
      <c r="L1546" t="s">
        <v>17</v>
      </c>
      <c r="M1546">
        <v>-439649.12342134898</v>
      </c>
      <c r="N1546">
        <v>0.23805355290788799</v>
      </c>
    </row>
    <row r="1547" spans="1:14" x14ac:dyDescent="0.25">
      <c r="A1547" s="2"/>
      <c r="B1547" t="s">
        <v>14</v>
      </c>
      <c r="C1547" s="1">
        <v>46045.999988425923</v>
      </c>
      <c r="D1547">
        <v>25.157484031972199</v>
      </c>
      <c r="E1547">
        <v>137358.78192321101</v>
      </c>
      <c r="F1547" s="1">
        <v>46041.605486111112</v>
      </c>
      <c r="G1547">
        <v>52.875611498613097</v>
      </c>
      <c r="H1547" t="s">
        <v>23</v>
      </c>
      <c r="J1547" t="s">
        <v>16</v>
      </c>
      <c r="K1547">
        <v>577007.90534456098</v>
      </c>
      <c r="L1547" t="s">
        <v>17</v>
      </c>
      <c r="M1547">
        <v>0</v>
      </c>
      <c r="N1547">
        <v>0.23805355290788799</v>
      </c>
    </row>
    <row r="1548" spans="1:14" x14ac:dyDescent="0.25">
      <c r="A1548" s="2"/>
      <c r="B1548" t="s">
        <v>14</v>
      </c>
      <c r="C1548" s="1">
        <v>46044.999988425923</v>
      </c>
      <c r="D1548">
        <v>25.157484031972199</v>
      </c>
      <c r="E1548">
        <v>137358.78192321101</v>
      </c>
      <c r="F1548" s="1">
        <v>46041.605486111112</v>
      </c>
      <c r="G1548">
        <v>52.875611498613097</v>
      </c>
      <c r="H1548" t="s">
        <v>23</v>
      </c>
      <c r="J1548" t="s">
        <v>16</v>
      </c>
      <c r="K1548">
        <v>577007.90534456098</v>
      </c>
      <c r="L1548" t="s">
        <v>17</v>
      </c>
      <c r="M1548">
        <v>0</v>
      </c>
      <c r="N1548">
        <v>0.23805355290788799</v>
      </c>
    </row>
    <row r="1549" spans="1:14" x14ac:dyDescent="0.25">
      <c r="A1549" s="2"/>
      <c r="B1549" t="s">
        <v>14</v>
      </c>
      <c r="C1549" s="1">
        <v>46043.999988425923</v>
      </c>
      <c r="D1549">
        <v>25.157484031972199</v>
      </c>
      <c r="E1549">
        <v>137358.78192321101</v>
      </c>
      <c r="F1549" s="1">
        <v>46041.605486111112</v>
      </c>
      <c r="G1549">
        <v>52.875611498613097</v>
      </c>
      <c r="H1549" t="s">
        <v>23</v>
      </c>
      <c r="J1549" t="s">
        <v>16</v>
      </c>
      <c r="K1549">
        <v>577007.90534456098</v>
      </c>
      <c r="L1549" t="s">
        <v>17</v>
      </c>
      <c r="M1549">
        <v>0</v>
      </c>
      <c r="N1549">
        <v>0.23805355290788799</v>
      </c>
    </row>
    <row r="1550" spans="1:14" x14ac:dyDescent="0.25">
      <c r="A1550" s="2"/>
      <c r="B1550" t="s">
        <v>14</v>
      </c>
      <c r="C1550" s="1">
        <v>46042.999988425923</v>
      </c>
      <c r="D1550">
        <v>25.157484031972199</v>
      </c>
      <c r="E1550">
        <v>137358.78192321101</v>
      </c>
      <c r="F1550" s="1">
        <v>46041.605486111112</v>
      </c>
      <c r="G1550">
        <v>52.875611498613097</v>
      </c>
      <c r="H1550" t="s">
        <v>23</v>
      </c>
      <c r="J1550" t="s">
        <v>16</v>
      </c>
      <c r="K1550">
        <v>577007.90534456098</v>
      </c>
      <c r="L1550" t="s">
        <v>17</v>
      </c>
      <c r="M1550">
        <v>0</v>
      </c>
      <c r="N1550">
        <v>0.23805355290788799</v>
      </c>
    </row>
    <row r="1551" spans="1:14" x14ac:dyDescent="0.25">
      <c r="A1551" s="2"/>
      <c r="B1551" t="s">
        <v>14</v>
      </c>
      <c r="C1551" s="1">
        <v>46041.999988425923</v>
      </c>
      <c r="D1551">
        <v>25.157484031972199</v>
      </c>
      <c r="E1551">
        <v>137358.78192321101</v>
      </c>
      <c r="F1551" s="1">
        <v>46041.605486111112</v>
      </c>
      <c r="G1551">
        <v>52.875611498613097</v>
      </c>
      <c r="H1551" t="s">
        <v>23</v>
      </c>
      <c r="J1551" t="s">
        <v>16</v>
      </c>
      <c r="K1551">
        <v>577007.90534456098</v>
      </c>
      <c r="L1551" t="s">
        <v>17</v>
      </c>
      <c r="M1551">
        <v>0</v>
      </c>
      <c r="N1551">
        <v>0.23805355290788799</v>
      </c>
    </row>
    <row r="1552" spans="1:14" x14ac:dyDescent="0.25">
      <c r="A1552" s="2"/>
      <c r="B1552" t="s">
        <v>14</v>
      </c>
      <c r="C1552" s="1">
        <v>46040.999988425923</v>
      </c>
      <c r="D1552">
        <v>25.157484031972199</v>
      </c>
      <c r="E1552">
        <v>292582.23559344601</v>
      </c>
      <c r="F1552" s="1">
        <v>46038.099826388891</v>
      </c>
      <c r="G1552">
        <v>52.875611498613097</v>
      </c>
      <c r="H1552" t="s">
        <v>23</v>
      </c>
      <c r="J1552" t="s">
        <v>16</v>
      </c>
      <c r="K1552">
        <v>577007.90534456098</v>
      </c>
      <c r="L1552" t="s">
        <v>17</v>
      </c>
      <c r="M1552">
        <v>155223.45367023401</v>
      </c>
      <c r="N1552">
        <v>0.50706798448234403</v>
      </c>
    </row>
    <row r="1553" spans="1:14" x14ac:dyDescent="0.25">
      <c r="A1553" s="2"/>
      <c r="B1553" t="s">
        <v>14</v>
      </c>
      <c r="C1553" s="1">
        <v>46039.999988425923</v>
      </c>
      <c r="D1553">
        <v>25.157484031972199</v>
      </c>
      <c r="E1553">
        <v>292582.23559344601</v>
      </c>
      <c r="F1553" s="1">
        <v>46038.099826388891</v>
      </c>
      <c r="G1553">
        <v>52.875611498613097</v>
      </c>
      <c r="H1553" t="s">
        <v>23</v>
      </c>
      <c r="J1553" t="s">
        <v>16</v>
      </c>
      <c r="K1553">
        <v>577007.90534456098</v>
      </c>
      <c r="L1553" t="s">
        <v>17</v>
      </c>
      <c r="M1553">
        <v>0</v>
      </c>
      <c r="N1553">
        <v>0.50706798448234403</v>
      </c>
    </row>
    <row r="1554" spans="1:14" x14ac:dyDescent="0.25">
      <c r="A1554" s="2"/>
      <c r="B1554" t="s">
        <v>14</v>
      </c>
      <c r="C1554" s="1">
        <v>46038.999988425923</v>
      </c>
      <c r="D1554">
        <v>25.157484031972199</v>
      </c>
      <c r="E1554">
        <v>292582.23559344601</v>
      </c>
      <c r="F1554" s="1">
        <v>46038.099826388891</v>
      </c>
      <c r="G1554">
        <v>52.875611498613097</v>
      </c>
      <c r="H1554" t="s">
        <v>23</v>
      </c>
      <c r="J1554" t="s">
        <v>16</v>
      </c>
      <c r="K1554">
        <v>577007.90534456098</v>
      </c>
      <c r="L1554" t="s">
        <v>17</v>
      </c>
      <c r="M1554">
        <v>0</v>
      </c>
      <c r="N1554">
        <v>0.50706798448234403</v>
      </c>
    </row>
    <row r="1555" spans="1:14" x14ac:dyDescent="0.25">
      <c r="A1555" s="2"/>
      <c r="B1555" t="s">
        <v>14</v>
      </c>
      <c r="C1555" s="1">
        <v>46037.999988425923</v>
      </c>
      <c r="D1555">
        <v>25.157484031972199</v>
      </c>
      <c r="E1555">
        <v>563157.32552859699</v>
      </c>
      <c r="F1555" s="1">
        <v>46035.606319444443</v>
      </c>
      <c r="G1555">
        <v>52.875611498613097</v>
      </c>
      <c r="H1555" t="s">
        <v>23</v>
      </c>
      <c r="J1555" t="s">
        <v>16</v>
      </c>
      <c r="K1555">
        <v>577007.90534456098</v>
      </c>
      <c r="L1555" t="s">
        <v>17</v>
      </c>
      <c r="M1555">
        <v>270575.08993515</v>
      </c>
      <c r="N1555">
        <v>0.975995857790382</v>
      </c>
    </row>
    <row r="1556" spans="1:14" x14ac:dyDescent="0.25">
      <c r="A1556" s="2"/>
      <c r="B1556" t="s">
        <v>14</v>
      </c>
      <c r="C1556" s="1">
        <v>46036.999988425923</v>
      </c>
      <c r="D1556">
        <v>25.157484031972199</v>
      </c>
      <c r="E1556">
        <v>563157.32552859699</v>
      </c>
      <c r="F1556" s="1">
        <v>46035.606319444443</v>
      </c>
      <c r="G1556">
        <v>52.875611498613097</v>
      </c>
      <c r="H1556" t="s">
        <v>23</v>
      </c>
      <c r="J1556" t="s">
        <v>16</v>
      </c>
      <c r="K1556">
        <v>577007.90534456098</v>
      </c>
      <c r="L1556" t="s">
        <v>17</v>
      </c>
      <c r="M1556">
        <v>0</v>
      </c>
      <c r="N1556">
        <v>0.975995857790382</v>
      </c>
    </row>
    <row r="1557" spans="1:14" x14ac:dyDescent="0.25">
      <c r="A1557" s="2"/>
      <c r="B1557" t="s">
        <v>14</v>
      </c>
      <c r="C1557" s="1">
        <v>46035.999988425923</v>
      </c>
      <c r="D1557">
        <v>25.157484031972199</v>
      </c>
      <c r="E1557">
        <v>563157.32552859699</v>
      </c>
      <c r="F1557" s="1">
        <v>46035.606319444443</v>
      </c>
      <c r="G1557">
        <v>52.875611498613097</v>
      </c>
      <c r="H1557" t="s">
        <v>23</v>
      </c>
      <c r="J1557" t="s">
        <v>16</v>
      </c>
      <c r="K1557">
        <v>577007.90534456098</v>
      </c>
      <c r="L1557" t="s">
        <v>17</v>
      </c>
      <c r="M1557">
        <v>0</v>
      </c>
      <c r="N1557">
        <v>0.975995857790382</v>
      </c>
    </row>
    <row r="1558" spans="1:14" x14ac:dyDescent="0.25">
      <c r="A1558" s="2"/>
      <c r="B1558" t="s">
        <v>14</v>
      </c>
      <c r="C1558" s="1">
        <v>46034.999988425923</v>
      </c>
      <c r="D1558">
        <v>25.157484031972199</v>
      </c>
      <c r="E1558">
        <v>159941.12134973099</v>
      </c>
      <c r="F1558" s="1">
        <v>46032.099108796298</v>
      </c>
      <c r="G1558">
        <v>52.875611498613097</v>
      </c>
      <c r="H1558" t="s">
        <v>23</v>
      </c>
      <c r="J1558" t="s">
        <v>16</v>
      </c>
      <c r="K1558">
        <v>577007.90534456098</v>
      </c>
      <c r="L1558" t="s">
        <v>17</v>
      </c>
      <c r="M1558">
        <v>-403216.20417886501</v>
      </c>
      <c r="N1558">
        <v>0.27719052004014</v>
      </c>
    </row>
    <row r="1559" spans="1:14" x14ac:dyDescent="0.25">
      <c r="A1559" s="2"/>
      <c r="B1559" t="s">
        <v>14</v>
      </c>
      <c r="C1559" s="1">
        <v>46033.999988425923</v>
      </c>
      <c r="D1559">
        <v>25.157484031972199</v>
      </c>
      <c r="E1559">
        <v>159941.12134973099</v>
      </c>
      <c r="F1559" s="1">
        <v>46032.099108796298</v>
      </c>
      <c r="G1559">
        <v>52.875611498613097</v>
      </c>
      <c r="H1559" t="s">
        <v>23</v>
      </c>
      <c r="J1559" t="s">
        <v>16</v>
      </c>
      <c r="K1559">
        <v>577007.90534456098</v>
      </c>
      <c r="L1559" t="s">
        <v>17</v>
      </c>
      <c r="M1559">
        <v>0</v>
      </c>
      <c r="N1559">
        <v>0.27719052004014</v>
      </c>
    </row>
    <row r="1560" spans="1:14" x14ac:dyDescent="0.25">
      <c r="A1560" s="2"/>
      <c r="B1560" t="s">
        <v>14</v>
      </c>
      <c r="C1560" s="1">
        <v>46032.999988425923</v>
      </c>
      <c r="D1560">
        <v>25.157484031972199</v>
      </c>
      <c r="E1560">
        <v>159941.12134973099</v>
      </c>
      <c r="F1560" s="1">
        <v>46032.099108796298</v>
      </c>
      <c r="G1560">
        <v>52.875611498613097</v>
      </c>
      <c r="H1560" t="s">
        <v>23</v>
      </c>
      <c r="J1560" t="s">
        <v>16</v>
      </c>
      <c r="K1560">
        <v>577007.90534456098</v>
      </c>
      <c r="L1560" t="s">
        <v>17</v>
      </c>
      <c r="M1560">
        <v>0</v>
      </c>
      <c r="N1560">
        <v>0.27719052004014</v>
      </c>
    </row>
    <row r="1561" spans="1:14" x14ac:dyDescent="0.25">
      <c r="A1561" s="2"/>
      <c r="B1561" t="s">
        <v>14</v>
      </c>
      <c r="C1561" s="1">
        <v>46031.999988425923</v>
      </c>
      <c r="D1561">
        <v>25.157484031972199</v>
      </c>
      <c r="E1561">
        <v>137948.19703108401</v>
      </c>
      <c r="F1561" s="1">
        <v>46029.605486111112</v>
      </c>
      <c r="G1561">
        <v>52.875611498613097</v>
      </c>
      <c r="H1561" t="s">
        <v>23</v>
      </c>
      <c r="J1561" t="s">
        <v>16</v>
      </c>
      <c r="K1561">
        <v>577007.90534456098</v>
      </c>
      <c r="L1561" t="s">
        <v>17</v>
      </c>
      <c r="M1561">
        <v>-21992.924318646401</v>
      </c>
      <c r="N1561">
        <v>0.23907505556394201</v>
      </c>
    </row>
    <row r="1562" spans="1:14" x14ac:dyDescent="0.25">
      <c r="A1562" s="2"/>
      <c r="B1562" t="s">
        <v>14</v>
      </c>
      <c r="C1562" s="1">
        <v>46030.999988425923</v>
      </c>
      <c r="D1562">
        <v>25.157484031972199</v>
      </c>
      <c r="E1562">
        <v>137948.19703108401</v>
      </c>
      <c r="F1562" s="1">
        <v>46029.605486111112</v>
      </c>
      <c r="G1562">
        <v>52.875611498613097</v>
      </c>
      <c r="H1562" t="s">
        <v>23</v>
      </c>
      <c r="J1562" t="s">
        <v>16</v>
      </c>
      <c r="K1562">
        <v>577007.90534456098</v>
      </c>
      <c r="L1562" t="s">
        <v>17</v>
      </c>
      <c r="M1562">
        <v>0</v>
      </c>
      <c r="N1562">
        <v>0.23907505556394201</v>
      </c>
    </row>
    <row r="1563" spans="1:14" x14ac:dyDescent="0.25">
      <c r="A1563" s="2"/>
      <c r="B1563" t="s">
        <v>14</v>
      </c>
      <c r="C1563" s="1">
        <v>46029.999988425923</v>
      </c>
      <c r="D1563">
        <v>25.157484031972199</v>
      </c>
      <c r="E1563">
        <v>137948.19703108401</v>
      </c>
      <c r="F1563" s="1">
        <v>46029.605486111112</v>
      </c>
      <c r="G1563">
        <v>52.875611498613097</v>
      </c>
      <c r="H1563" t="s">
        <v>23</v>
      </c>
      <c r="J1563" t="s">
        <v>16</v>
      </c>
      <c r="K1563">
        <v>577007.90534456098</v>
      </c>
      <c r="L1563" t="s">
        <v>17</v>
      </c>
      <c r="M1563">
        <v>0</v>
      </c>
      <c r="N1563">
        <v>0.23907505556394201</v>
      </c>
    </row>
    <row r="1564" spans="1:14" x14ac:dyDescent="0.25">
      <c r="A1564" s="2"/>
      <c r="B1564" t="s">
        <v>14</v>
      </c>
      <c r="C1564" s="1">
        <v>46028.999988425923</v>
      </c>
      <c r="D1564">
        <v>25.157484031972199</v>
      </c>
      <c r="E1564">
        <v>137177.274594054</v>
      </c>
      <c r="F1564" s="1">
        <v>46026.09983796296</v>
      </c>
      <c r="G1564">
        <v>52.875611498613097</v>
      </c>
      <c r="H1564" t="s">
        <v>23</v>
      </c>
      <c r="J1564" t="s">
        <v>16</v>
      </c>
      <c r="K1564">
        <v>577007.90534456098</v>
      </c>
      <c r="L1564" t="s">
        <v>17</v>
      </c>
      <c r="M1564">
        <v>-770.92243702994801</v>
      </c>
      <c r="N1564">
        <v>0.237738986456587</v>
      </c>
    </row>
    <row r="1565" spans="1:14" x14ac:dyDescent="0.25">
      <c r="A1565" s="2"/>
      <c r="B1565" t="s">
        <v>14</v>
      </c>
      <c r="C1565" s="1">
        <v>46027.999988425923</v>
      </c>
      <c r="D1565">
        <v>25.157484031972199</v>
      </c>
      <c r="E1565">
        <v>137177.274594054</v>
      </c>
      <c r="F1565" s="1">
        <v>46026.09983796296</v>
      </c>
      <c r="G1565">
        <v>52.875611498613097</v>
      </c>
      <c r="H1565" t="s">
        <v>23</v>
      </c>
      <c r="J1565" t="s">
        <v>16</v>
      </c>
      <c r="K1565">
        <v>577007.90534456098</v>
      </c>
      <c r="L1565" t="s">
        <v>17</v>
      </c>
      <c r="M1565">
        <v>0</v>
      </c>
      <c r="N1565">
        <v>0.237738986456587</v>
      </c>
    </row>
    <row r="1566" spans="1:14" x14ac:dyDescent="0.25">
      <c r="A1566" s="2"/>
      <c r="B1566" t="s">
        <v>14</v>
      </c>
      <c r="C1566" s="1">
        <v>46026.999988425923</v>
      </c>
      <c r="D1566">
        <v>25.157484031972199</v>
      </c>
      <c r="E1566">
        <v>137177.274594054</v>
      </c>
      <c r="F1566" s="1">
        <v>46026.09983796296</v>
      </c>
      <c r="G1566">
        <v>52.875611498613097</v>
      </c>
      <c r="H1566" t="s">
        <v>23</v>
      </c>
      <c r="J1566" t="s">
        <v>16</v>
      </c>
      <c r="K1566">
        <v>577007.90534456098</v>
      </c>
      <c r="L1566" t="s">
        <v>17</v>
      </c>
      <c r="M1566">
        <v>0</v>
      </c>
      <c r="N1566">
        <v>0.237738986456587</v>
      </c>
    </row>
    <row r="1567" spans="1:14" x14ac:dyDescent="0.25">
      <c r="A1567" s="2"/>
      <c r="B1567" t="s">
        <v>14</v>
      </c>
      <c r="C1567" s="1">
        <v>46025.999988425923</v>
      </c>
      <c r="D1567">
        <v>25.157484031972199</v>
      </c>
      <c r="E1567">
        <v>577007.90534456098</v>
      </c>
      <c r="F1567" s="1">
        <v>46023.60633101852</v>
      </c>
      <c r="G1567">
        <v>52.875611498613097</v>
      </c>
      <c r="H1567" t="s">
        <v>23</v>
      </c>
      <c r="J1567" t="s">
        <v>16</v>
      </c>
      <c r="K1567">
        <v>577007.90534456098</v>
      </c>
      <c r="L1567" t="s">
        <v>17</v>
      </c>
      <c r="M1567">
        <v>439830.63075050601</v>
      </c>
      <c r="N1567">
        <v>1</v>
      </c>
    </row>
    <row r="1568" spans="1:14" x14ac:dyDescent="0.25">
      <c r="A1568" s="2"/>
      <c r="B1568" t="s">
        <v>14</v>
      </c>
      <c r="C1568" s="1">
        <v>46024.999988425923</v>
      </c>
      <c r="D1568">
        <v>25.157484031972199</v>
      </c>
      <c r="E1568">
        <v>577007.90534456098</v>
      </c>
      <c r="F1568" s="1">
        <v>46023.60633101852</v>
      </c>
      <c r="G1568">
        <v>52.875611498613097</v>
      </c>
      <c r="H1568" t="s">
        <v>23</v>
      </c>
      <c r="J1568" t="s">
        <v>16</v>
      </c>
      <c r="K1568">
        <v>577007.90534456098</v>
      </c>
      <c r="L1568" t="s">
        <v>17</v>
      </c>
      <c r="M1568">
        <v>0</v>
      </c>
      <c r="N1568">
        <v>1</v>
      </c>
    </row>
    <row r="1569" spans="1:14" x14ac:dyDescent="0.25">
      <c r="A1569" s="2"/>
      <c r="B1569" t="s">
        <v>14</v>
      </c>
      <c r="C1569" s="1">
        <v>46023.999988425923</v>
      </c>
      <c r="D1569">
        <v>25.157484031972199</v>
      </c>
      <c r="E1569">
        <v>577007.90534456098</v>
      </c>
      <c r="F1569" s="1">
        <v>46023.60633101852</v>
      </c>
      <c r="G1569">
        <v>52.875611498613097</v>
      </c>
      <c r="H1569" t="s">
        <v>23</v>
      </c>
      <c r="J1569" t="s">
        <v>16</v>
      </c>
      <c r="K1569">
        <v>577007.90534456098</v>
      </c>
      <c r="L1569" t="s">
        <v>17</v>
      </c>
      <c r="M1569">
        <v>0</v>
      </c>
      <c r="N1569">
        <v>1</v>
      </c>
    </row>
    <row r="1570" spans="1:14" x14ac:dyDescent="0.25">
      <c r="A1570" s="2"/>
      <c r="B1570" t="s">
        <v>14</v>
      </c>
      <c r="C1570" s="1">
        <v>46246.999988425923</v>
      </c>
      <c r="D1570">
        <v>25.157514837331</v>
      </c>
      <c r="E1570">
        <v>117660.590922249</v>
      </c>
      <c r="F1570" s="1">
        <v>46246.605821759258</v>
      </c>
      <c r="G1570">
        <v>52.874525097077999</v>
      </c>
      <c r="H1570" t="s">
        <v>24</v>
      </c>
      <c r="J1570" t="s">
        <v>16</v>
      </c>
      <c r="K1570">
        <v>577007.90534456098</v>
      </c>
      <c r="L1570" t="s">
        <v>17</v>
      </c>
      <c r="M1570">
        <v>0</v>
      </c>
      <c r="N1570">
        <v>0.203915041427358</v>
      </c>
    </row>
    <row r="1571" spans="1:14" x14ac:dyDescent="0.25">
      <c r="A1571" s="2"/>
      <c r="B1571" t="s">
        <v>14</v>
      </c>
      <c r="C1571" s="1">
        <v>46245.999988425923</v>
      </c>
      <c r="D1571">
        <v>25.157514837331</v>
      </c>
      <c r="E1571">
        <v>492306.12850581203</v>
      </c>
      <c r="F1571" s="1">
        <v>46243.09915509259</v>
      </c>
      <c r="G1571">
        <v>52.874525097077999</v>
      </c>
      <c r="H1571" t="s">
        <v>24</v>
      </c>
      <c r="J1571" t="s">
        <v>16</v>
      </c>
      <c r="K1571">
        <v>577007.90534456098</v>
      </c>
      <c r="L1571" t="s">
        <v>17</v>
      </c>
      <c r="M1571">
        <v>374645.53758356202</v>
      </c>
      <c r="N1571">
        <v>0.853205170927131</v>
      </c>
    </row>
    <row r="1572" spans="1:14" x14ac:dyDescent="0.25">
      <c r="A1572" s="2"/>
      <c r="B1572" t="s">
        <v>14</v>
      </c>
      <c r="C1572" s="1">
        <v>46244.999988425923</v>
      </c>
      <c r="D1572">
        <v>25.157514837331</v>
      </c>
      <c r="E1572">
        <v>492306.12850581203</v>
      </c>
      <c r="F1572" s="1">
        <v>46243.09915509259</v>
      </c>
      <c r="G1572">
        <v>52.874525097077999</v>
      </c>
      <c r="H1572" t="s">
        <v>24</v>
      </c>
      <c r="J1572" t="s">
        <v>16</v>
      </c>
      <c r="K1572">
        <v>577007.90534456098</v>
      </c>
      <c r="L1572" t="s">
        <v>17</v>
      </c>
      <c r="M1572">
        <v>0</v>
      </c>
      <c r="N1572">
        <v>0.853205170927131</v>
      </c>
    </row>
    <row r="1573" spans="1:14" x14ac:dyDescent="0.25">
      <c r="A1573" s="2"/>
      <c r="B1573" t="s">
        <v>14</v>
      </c>
      <c r="C1573" s="1">
        <v>46243.999988425923</v>
      </c>
      <c r="D1573">
        <v>25.157514837331</v>
      </c>
      <c r="E1573">
        <v>492306.12850581203</v>
      </c>
      <c r="F1573" s="1">
        <v>46243.09915509259</v>
      </c>
      <c r="G1573">
        <v>52.874525097077999</v>
      </c>
      <c r="H1573" t="s">
        <v>24</v>
      </c>
      <c r="J1573" t="s">
        <v>16</v>
      </c>
      <c r="K1573">
        <v>577007.90534456098</v>
      </c>
      <c r="L1573" t="s">
        <v>17</v>
      </c>
      <c r="M1573">
        <v>0</v>
      </c>
      <c r="N1573">
        <v>0.853205170927131</v>
      </c>
    </row>
    <row r="1574" spans="1:14" x14ac:dyDescent="0.25">
      <c r="A1574" s="2"/>
      <c r="B1574" t="s">
        <v>14</v>
      </c>
      <c r="C1574" s="1">
        <v>46242.999988425923</v>
      </c>
      <c r="D1574">
        <v>25.157514837331</v>
      </c>
      <c r="E1574">
        <v>121757.752750873</v>
      </c>
      <c r="F1574" s="1">
        <v>46240.605520833335</v>
      </c>
      <c r="G1574">
        <v>52.874525097077999</v>
      </c>
      <c r="H1574" t="s">
        <v>24</v>
      </c>
      <c r="J1574" t="s">
        <v>16</v>
      </c>
      <c r="K1574">
        <v>577007.90534456098</v>
      </c>
      <c r="L1574" t="s">
        <v>17</v>
      </c>
      <c r="M1574">
        <v>-370548.375754938</v>
      </c>
      <c r="N1574">
        <v>0.21101574453848401</v>
      </c>
    </row>
    <row r="1575" spans="1:14" x14ac:dyDescent="0.25">
      <c r="A1575" s="2"/>
      <c r="B1575" t="s">
        <v>14</v>
      </c>
      <c r="C1575" s="1">
        <v>46241.999988425923</v>
      </c>
      <c r="D1575">
        <v>25.157514837331</v>
      </c>
      <c r="E1575">
        <v>121757.752750873</v>
      </c>
      <c r="F1575" s="1">
        <v>46240.605520833335</v>
      </c>
      <c r="G1575">
        <v>52.874525097077999</v>
      </c>
      <c r="H1575" t="s">
        <v>24</v>
      </c>
      <c r="J1575" t="s">
        <v>16</v>
      </c>
      <c r="K1575">
        <v>577007.90534456098</v>
      </c>
      <c r="L1575" t="s">
        <v>17</v>
      </c>
      <c r="M1575">
        <v>0</v>
      </c>
      <c r="N1575">
        <v>0.21101574453848401</v>
      </c>
    </row>
    <row r="1576" spans="1:14" x14ac:dyDescent="0.25">
      <c r="A1576" s="2"/>
      <c r="B1576" t="s">
        <v>14</v>
      </c>
      <c r="C1576" s="1">
        <v>46240.999988425923</v>
      </c>
      <c r="D1576">
        <v>25.157514837331</v>
      </c>
      <c r="E1576">
        <v>121757.752750873</v>
      </c>
      <c r="F1576" s="1">
        <v>46240.605520833335</v>
      </c>
      <c r="G1576">
        <v>52.874525097077999</v>
      </c>
      <c r="H1576" t="s">
        <v>24</v>
      </c>
      <c r="J1576" t="s">
        <v>16</v>
      </c>
      <c r="K1576">
        <v>577007.90534456098</v>
      </c>
      <c r="L1576" t="s">
        <v>17</v>
      </c>
      <c r="M1576">
        <v>0</v>
      </c>
      <c r="N1576">
        <v>0.21101574453848401</v>
      </c>
    </row>
    <row r="1577" spans="1:14" x14ac:dyDescent="0.25">
      <c r="A1577" s="2"/>
      <c r="B1577" t="s">
        <v>14</v>
      </c>
      <c r="C1577" s="1">
        <v>46239.999988425923</v>
      </c>
      <c r="D1577">
        <v>25.157514837331</v>
      </c>
      <c r="E1577">
        <v>485632.61161073798</v>
      </c>
      <c r="F1577" s="1">
        <v>46237.099328703705</v>
      </c>
      <c r="G1577">
        <v>52.874525097077999</v>
      </c>
      <c r="H1577" t="s">
        <v>24</v>
      </c>
      <c r="J1577" t="s">
        <v>16</v>
      </c>
      <c r="K1577">
        <v>577007.90534456098</v>
      </c>
      <c r="L1577" t="s">
        <v>17</v>
      </c>
      <c r="M1577">
        <v>363874.85885986401</v>
      </c>
      <c r="N1577">
        <v>0.84163944222001896</v>
      </c>
    </row>
    <row r="1578" spans="1:14" x14ac:dyDescent="0.25">
      <c r="A1578" s="2"/>
      <c r="B1578" t="s">
        <v>14</v>
      </c>
      <c r="C1578" s="1">
        <v>46238.999988425923</v>
      </c>
      <c r="D1578">
        <v>25.157514837331</v>
      </c>
      <c r="E1578">
        <v>485632.61161073798</v>
      </c>
      <c r="F1578" s="1">
        <v>46237.099328703705</v>
      </c>
      <c r="G1578">
        <v>52.874525097077999</v>
      </c>
      <c r="H1578" t="s">
        <v>24</v>
      </c>
      <c r="J1578" t="s">
        <v>16</v>
      </c>
      <c r="K1578">
        <v>577007.90534456098</v>
      </c>
      <c r="L1578" t="s">
        <v>17</v>
      </c>
      <c r="M1578">
        <v>0</v>
      </c>
      <c r="N1578">
        <v>0.84163944222001896</v>
      </c>
    </row>
    <row r="1579" spans="1:14" x14ac:dyDescent="0.25">
      <c r="A1579" s="2"/>
      <c r="B1579" t="s">
        <v>14</v>
      </c>
      <c r="C1579" s="1">
        <v>46237.999988425923</v>
      </c>
      <c r="D1579">
        <v>25.157514837331</v>
      </c>
      <c r="E1579">
        <v>485632.61161073798</v>
      </c>
      <c r="F1579" s="1">
        <v>46237.099328703705</v>
      </c>
      <c r="G1579">
        <v>52.874525097077999</v>
      </c>
      <c r="H1579" t="s">
        <v>24</v>
      </c>
      <c r="J1579" t="s">
        <v>16</v>
      </c>
      <c r="K1579">
        <v>577007.90534456098</v>
      </c>
      <c r="L1579" t="s">
        <v>17</v>
      </c>
      <c r="M1579">
        <v>0</v>
      </c>
      <c r="N1579">
        <v>0.84163944222001896</v>
      </c>
    </row>
    <row r="1580" spans="1:14" x14ac:dyDescent="0.25">
      <c r="A1580" s="2"/>
      <c r="B1580" t="s">
        <v>14</v>
      </c>
      <c r="C1580" s="1">
        <v>46236.999988425923</v>
      </c>
      <c r="D1580">
        <v>25.157514837331</v>
      </c>
      <c r="E1580">
        <v>114508.99529843801</v>
      </c>
      <c r="F1580" s="1">
        <v>46234.605810185189</v>
      </c>
      <c r="G1580">
        <v>52.874525097077999</v>
      </c>
      <c r="H1580" t="s">
        <v>24</v>
      </c>
      <c r="J1580" t="s">
        <v>16</v>
      </c>
      <c r="K1580">
        <v>577007.90534456098</v>
      </c>
      <c r="L1580" t="s">
        <v>17</v>
      </c>
      <c r="M1580">
        <v>-371123.61631229997</v>
      </c>
      <c r="N1580">
        <v>0.19845307878417801</v>
      </c>
    </row>
    <row r="1581" spans="1:14" x14ac:dyDescent="0.25">
      <c r="A1581" s="2"/>
      <c r="B1581" t="s">
        <v>14</v>
      </c>
      <c r="C1581" s="1">
        <v>46235.999988425923</v>
      </c>
      <c r="D1581">
        <v>25.157514837331</v>
      </c>
      <c r="E1581">
        <v>114508.99529843801</v>
      </c>
      <c r="F1581" s="1">
        <v>46234.605810185189</v>
      </c>
      <c r="G1581">
        <v>52.874525097077999</v>
      </c>
      <c r="H1581" t="s">
        <v>24</v>
      </c>
      <c r="J1581" t="s">
        <v>16</v>
      </c>
      <c r="K1581">
        <v>577007.90534456098</v>
      </c>
      <c r="L1581" t="s">
        <v>17</v>
      </c>
      <c r="M1581">
        <v>0</v>
      </c>
      <c r="N1581">
        <v>0.19845307878417801</v>
      </c>
    </row>
    <row r="1582" spans="1:14" x14ac:dyDescent="0.25">
      <c r="A1582" s="2"/>
      <c r="B1582" t="s">
        <v>14</v>
      </c>
      <c r="C1582" s="1">
        <v>46234.999988425923</v>
      </c>
      <c r="D1582">
        <v>25.157514837331</v>
      </c>
      <c r="E1582">
        <v>114508.99529843801</v>
      </c>
      <c r="F1582" s="1">
        <v>46234.605810185189</v>
      </c>
      <c r="G1582">
        <v>52.874525097077999</v>
      </c>
      <c r="H1582" t="s">
        <v>24</v>
      </c>
      <c r="J1582" t="s">
        <v>16</v>
      </c>
      <c r="K1582">
        <v>577007.90534456098</v>
      </c>
      <c r="L1582" t="s">
        <v>17</v>
      </c>
      <c r="M1582">
        <v>0</v>
      </c>
      <c r="N1582">
        <v>0.19845307878417801</v>
      </c>
    </row>
    <row r="1583" spans="1:14" x14ac:dyDescent="0.25">
      <c r="A1583" s="2"/>
      <c r="B1583" t="s">
        <v>14</v>
      </c>
      <c r="C1583" s="1">
        <v>46233.999988425923</v>
      </c>
      <c r="D1583">
        <v>25.157514837331</v>
      </c>
      <c r="E1583">
        <v>282744.95859169401</v>
      </c>
      <c r="F1583" s="1">
        <v>46231.09915509259</v>
      </c>
      <c r="G1583">
        <v>52.874525097077999</v>
      </c>
      <c r="H1583" t="s">
        <v>24</v>
      </c>
      <c r="J1583" t="s">
        <v>16</v>
      </c>
      <c r="K1583">
        <v>577007.90534456098</v>
      </c>
      <c r="L1583" t="s">
        <v>17</v>
      </c>
      <c r="M1583">
        <v>168235.96329325601</v>
      </c>
      <c r="N1583">
        <v>0.49001921112822999</v>
      </c>
    </row>
    <row r="1584" spans="1:14" x14ac:dyDescent="0.25">
      <c r="A1584" s="2"/>
      <c r="B1584" t="s">
        <v>14</v>
      </c>
      <c r="C1584" s="1">
        <v>46232.999988425923</v>
      </c>
      <c r="D1584">
        <v>25.157514837331</v>
      </c>
      <c r="E1584">
        <v>282744.95859169401</v>
      </c>
      <c r="F1584" s="1">
        <v>46231.09915509259</v>
      </c>
      <c r="G1584">
        <v>52.874525097077999</v>
      </c>
      <c r="H1584" t="s">
        <v>24</v>
      </c>
      <c r="J1584" t="s">
        <v>16</v>
      </c>
      <c r="K1584">
        <v>577007.90534456098</v>
      </c>
      <c r="L1584" t="s">
        <v>17</v>
      </c>
      <c r="M1584">
        <v>0</v>
      </c>
      <c r="N1584">
        <v>0.49001921112822999</v>
      </c>
    </row>
    <row r="1585" spans="1:14" x14ac:dyDescent="0.25">
      <c r="A1585" s="2"/>
      <c r="B1585" t="s">
        <v>14</v>
      </c>
      <c r="C1585" s="1">
        <v>46231.999988425923</v>
      </c>
      <c r="D1585">
        <v>25.157514837331</v>
      </c>
      <c r="E1585">
        <v>282744.95859169401</v>
      </c>
      <c r="F1585" s="1">
        <v>46231.09915509259</v>
      </c>
      <c r="G1585">
        <v>52.874525097077999</v>
      </c>
      <c r="H1585" t="s">
        <v>24</v>
      </c>
      <c r="J1585" t="s">
        <v>16</v>
      </c>
      <c r="K1585">
        <v>577007.90534456098</v>
      </c>
      <c r="L1585" t="s">
        <v>17</v>
      </c>
      <c r="M1585">
        <v>0</v>
      </c>
      <c r="N1585">
        <v>0.49001921112822999</v>
      </c>
    </row>
    <row r="1586" spans="1:14" x14ac:dyDescent="0.25">
      <c r="A1586" s="2"/>
      <c r="B1586" t="s">
        <v>14</v>
      </c>
      <c r="C1586" s="1">
        <v>46230.999988425923</v>
      </c>
      <c r="D1586">
        <v>25.157514837331</v>
      </c>
      <c r="E1586">
        <v>390278.99927112</v>
      </c>
      <c r="F1586" s="1">
        <v>46228.605520833335</v>
      </c>
      <c r="G1586">
        <v>52.874525097077999</v>
      </c>
      <c r="H1586" t="s">
        <v>24</v>
      </c>
      <c r="J1586" t="s">
        <v>16</v>
      </c>
      <c r="K1586">
        <v>577007.90534456098</v>
      </c>
      <c r="L1586" t="s">
        <v>17</v>
      </c>
      <c r="M1586">
        <v>107534.040679425</v>
      </c>
      <c r="N1586">
        <v>0.67638414596428098</v>
      </c>
    </row>
    <row r="1587" spans="1:14" x14ac:dyDescent="0.25">
      <c r="A1587" s="2"/>
      <c r="B1587" t="s">
        <v>14</v>
      </c>
      <c r="C1587" s="1">
        <v>46229.999988425923</v>
      </c>
      <c r="D1587">
        <v>25.157514837331</v>
      </c>
      <c r="E1587">
        <v>390278.99927112</v>
      </c>
      <c r="F1587" s="1">
        <v>46228.605520833335</v>
      </c>
      <c r="G1587">
        <v>52.874525097077999</v>
      </c>
      <c r="H1587" t="s">
        <v>24</v>
      </c>
      <c r="J1587" t="s">
        <v>16</v>
      </c>
      <c r="K1587">
        <v>577007.90534456098</v>
      </c>
      <c r="L1587" t="s">
        <v>17</v>
      </c>
      <c r="M1587">
        <v>0</v>
      </c>
      <c r="N1587">
        <v>0.67638414596428098</v>
      </c>
    </row>
    <row r="1588" spans="1:14" x14ac:dyDescent="0.25">
      <c r="A1588" s="2"/>
      <c r="B1588" t="s">
        <v>14</v>
      </c>
      <c r="C1588" s="1">
        <v>46228.999988425923</v>
      </c>
      <c r="D1588">
        <v>25.157514837331</v>
      </c>
      <c r="E1588">
        <v>390278.99927112</v>
      </c>
      <c r="F1588" s="1">
        <v>46228.605520833335</v>
      </c>
      <c r="G1588">
        <v>52.874525097077999</v>
      </c>
      <c r="H1588" t="s">
        <v>24</v>
      </c>
      <c r="J1588" t="s">
        <v>16</v>
      </c>
      <c r="K1588">
        <v>577007.90534456098</v>
      </c>
      <c r="L1588" t="s">
        <v>17</v>
      </c>
      <c r="M1588">
        <v>0</v>
      </c>
      <c r="N1588">
        <v>0.67638414596428098</v>
      </c>
    </row>
    <row r="1589" spans="1:14" x14ac:dyDescent="0.25">
      <c r="A1589" s="2"/>
      <c r="B1589" t="s">
        <v>14</v>
      </c>
      <c r="C1589" s="1">
        <v>46227.999988425923</v>
      </c>
      <c r="D1589">
        <v>25.157514837331</v>
      </c>
      <c r="E1589">
        <v>116133.591842801</v>
      </c>
      <c r="F1589" s="1">
        <v>46225.099317129629</v>
      </c>
      <c r="G1589">
        <v>52.874525097077999</v>
      </c>
      <c r="H1589" t="s">
        <v>24</v>
      </c>
      <c r="J1589" t="s">
        <v>16</v>
      </c>
      <c r="K1589">
        <v>577007.90534456098</v>
      </c>
      <c r="L1589" t="s">
        <v>17</v>
      </c>
      <c r="M1589">
        <v>-274145.40742831799</v>
      </c>
      <c r="N1589">
        <v>0.20126863214023399</v>
      </c>
    </row>
    <row r="1590" spans="1:14" x14ac:dyDescent="0.25">
      <c r="A1590" s="2"/>
      <c r="B1590" t="s">
        <v>14</v>
      </c>
      <c r="C1590" s="1">
        <v>46226.999988425923</v>
      </c>
      <c r="D1590">
        <v>25.157514837331</v>
      </c>
      <c r="E1590">
        <v>116133.591842801</v>
      </c>
      <c r="F1590" s="1">
        <v>46225.099317129629</v>
      </c>
      <c r="G1590">
        <v>52.874525097077999</v>
      </c>
      <c r="H1590" t="s">
        <v>24</v>
      </c>
      <c r="J1590" t="s">
        <v>16</v>
      </c>
      <c r="K1590">
        <v>577007.90534456098</v>
      </c>
      <c r="L1590" t="s">
        <v>17</v>
      </c>
      <c r="M1590">
        <v>0</v>
      </c>
      <c r="N1590">
        <v>0.20126863214023399</v>
      </c>
    </row>
    <row r="1591" spans="1:14" x14ac:dyDescent="0.25">
      <c r="A1591" s="2"/>
      <c r="B1591" t="s">
        <v>14</v>
      </c>
      <c r="C1591" s="1">
        <v>46225.999988425923</v>
      </c>
      <c r="D1591">
        <v>25.157514837331</v>
      </c>
      <c r="E1591">
        <v>116133.591842801</v>
      </c>
      <c r="F1591" s="1">
        <v>46225.099317129629</v>
      </c>
      <c r="G1591">
        <v>52.874525097077999</v>
      </c>
      <c r="H1591" t="s">
        <v>24</v>
      </c>
      <c r="J1591" t="s">
        <v>16</v>
      </c>
      <c r="K1591">
        <v>577007.90534456098</v>
      </c>
      <c r="L1591" t="s">
        <v>17</v>
      </c>
      <c r="M1591">
        <v>0</v>
      </c>
      <c r="N1591">
        <v>0.20126863214023399</v>
      </c>
    </row>
    <row r="1592" spans="1:14" x14ac:dyDescent="0.25">
      <c r="A1592" s="2"/>
      <c r="B1592" t="s">
        <v>14</v>
      </c>
      <c r="C1592" s="1">
        <v>46224.999988425923</v>
      </c>
      <c r="D1592">
        <v>25.157514837331</v>
      </c>
      <c r="E1592">
        <v>493374.77180533798</v>
      </c>
      <c r="F1592" s="1">
        <v>46222.605810185189</v>
      </c>
      <c r="G1592">
        <v>52.874525097077999</v>
      </c>
      <c r="H1592" t="s">
        <v>24</v>
      </c>
      <c r="J1592" t="s">
        <v>16</v>
      </c>
      <c r="K1592">
        <v>577007.90534456098</v>
      </c>
      <c r="L1592" t="s">
        <v>17</v>
      </c>
      <c r="M1592">
        <v>377241.17996253603</v>
      </c>
      <c r="N1592">
        <v>0.85505721366281495</v>
      </c>
    </row>
    <row r="1593" spans="1:14" x14ac:dyDescent="0.25">
      <c r="A1593" s="2"/>
      <c r="B1593" t="s">
        <v>14</v>
      </c>
      <c r="C1593" s="1">
        <v>46223.999988425923</v>
      </c>
      <c r="D1593">
        <v>25.157514837331</v>
      </c>
      <c r="E1593">
        <v>493374.77180533798</v>
      </c>
      <c r="F1593" s="1">
        <v>46222.605810185189</v>
      </c>
      <c r="G1593">
        <v>52.874525097077999</v>
      </c>
      <c r="H1593" t="s">
        <v>24</v>
      </c>
      <c r="J1593" t="s">
        <v>16</v>
      </c>
      <c r="K1593">
        <v>577007.90534456098</v>
      </c>
      <c r="L1593" t="s">
        <v>17</v>
      </c>
      <c r="M1593">
        <v>0</v>
      </c>
      <c r="N1593">
        <v>0.85505721366281495</v>
      </c>
    </row>
    <row r="1594" spans="1:14" x14ac:dyDescent="0.25">
      <c r="A1594" s="2"/>
      <c r="B1594" t="s">
        <v>14</v>
      </c>
      <c r="C1594" s="1">
        <v>46222.999988425923</v>
      </c>
      <c r="D1594">
        <v>25.157514837331</v>
      </c>
      <c r="E1594">
        <v>493374.77180533798</v>
      </c>
      <c r="F1594" s="1">
        <v>46222.605810185189</v>
      </c>
      <c r="G1594">
        <v>52.874525097077999</v>
      </c>
      <c r="H1594" t="s">
        <v>24</v>
      </c>
      <c r="J1594" t="s">
        <v>16</v>
      </c>
      <c r="K1594">
        <v>577007.90534456098</v>
      </c>
      <c r="L1594" t="s">
        <v>17</v>
      </c>
      <c r="M1594">
        <v>0</v>
      </c>
      <c r="N1594">
        <v>0.85505721366281495</v>
      </c>
    </row>
    <row r="1595" spans="1:14" x14ac:dyDescent="0.25">
      <c r="A1595" s="2"/>
      <c r="B1595" t="s">
        <v>14</v>
      </c>
      <c r="C1595" s="1">
        <v>46221.999988425923</v>
      </c>
      <c r="D1595">
        <v>25.157514837331</v>
      </c>
      <c r="E1595">
        <v>296171.17663606303</v>
      </c>
      <c r="F1595" s="1">
        <v>46219.099143518521</v>
      </c>
      <c r="G1595">
        <v>52.874525097077999</v>
      </c>
      <c r="H1595" t="s">
        <v>24</v>
      </c>
      <c r="J1595" t="s">
        <v>16</v>
      </c>
      <c r="K1595">
        <v>577007.90534456098</v>
      </c>
      <c r="L1595" t="s">
        <v>17</v>
      </c>
      <c r="M1595">
        <v>-197203.59516927399</v>
      </c>
      <c r="N1595">
        <v>0.513287901071657</v>
      </c>
    </row>
    <row r="1596" spans="1:14" x14ac:dyDescent="0.25">
      <c r="A1596" s="2"/>
      <c r="B1596" t="s">
        <v>14</v>
      </c>
      <c r="C1596" s="1">
        <v>46220.999988425923</v>
      </c>
      <c r="D1596">
        <v>25.157514837331</v>
      </c>
      <c r="E1596">
        <v>296171.17663606303</v>
      </c>
      <c r="F1596" s="1">
        <v>46219.099143518521</v>
      </c>
      <c r="G1596">
        <v>52.874525097077999</v>
      </c>
      <c r="H1596" t="s">
        <v>24</v>
      </c>
      <c r="J1596" t="s">
        <v>16</v>
      </c>
      <c r="K1596">
        <v>577007.90534456098</v>
      </c>
      <c r="L1596" t="s">
        <v>17</v>
      </c>
      <c r="M1596">
        <v>0</v>
      </c>
      <c r="N1596">
        <v>0.513287901071657</v>
      </c>
    </row>
    <row r="1597" spans="1:14" x14ac:dyDescent="0.25">
      <c r="A1597" s="2"/>
      <c r="B1597" t="s">
        <v>14</v>
      </c>
      <c r="C1597" s="1">
        <v>46219.999988425923</v>
      </c>
      <c r="D1597">
        <v>25.157514837331</v>
      </c>
      <c r="E1597">
        <v>296171.17663606303</v>
      </c>
      <c r="F1597" s="1">
        <v>46219.099143518521</v>
      </c>
      <c r="G1597">
        <v>52.874525097077999</v>
      </c>
      <c r="H1597" t="s">
        <v>24</v>
      </c>
      <c r="J1597" t="s">
        <v>16</v>
      </c>
      <c r="K1597">
        <v>577007.90534456098</v>
      </c>
      <c r="L1597" t="s">
        <v>17</v>
      </c>
      <c r="M1597">
        <v>0</v>
      </c>
      <c r="N1597">
        <v>0.513287901071657</v>
      </c>
    </row>
    <row r="1598" spans="1:14" x14ac:dyDescent="0.25">
      <c r="A1598" s="2"/>
      <c r="B1598" t="s">
        <v>14</v>
      </c>
      <c r="C1598" s="1">
        <v>46218.999988425923</v>
      </c>
      <c r="D1598">
        <v>25.157514837331</v>
      </c>
      <c r="E1598">
        <v>577007.90534456098</v>
      </c>
      <c r="F1598" s="1">
        <v>46216.605509259258</v>
      </c>
      <c r="G1598">
        <v>52.874525097077999</v>
      </c>
      <c r="H1598" t="s">
        <v>24</v>
      </c>
      <c r="J1598" t="s">
        <v>16</v>
      </c>
      <c r="K1598">
        <v>577007.90534456098</v>
      </c>
      <c r="L1598" t="s">
        <v>17</v>
      </c>
      <c r="M1598">
        <v>280836.72870849702</v>
      </c>
      <c r="N1598">
        <v>1</v>
      </c>
    </row>
    <row r="1599" spans="1:14" x14ac:dyDescent="0.25">
      <c r="A1599" s="2"/>
      <c r="B1599" t="s">
        <v>14</v>
      </c>
      <c r="C1599" s="1">
        <v>46217.999988425923</v>
      </c>
      <c r="D1599">
        <v>25.157514837331</v>
      </c>
      <c r="E1599">
        <v>577007.90534456098</v>
      </c>
      <c r="F1599" s="1">
        <v>46216.605509259258</v>
      </c>
      <c r="G1599">
        <v>52.874525097077999</v>
      </c>
      <c r="H1599" t="s">
        <v>24</v>
      </c>
      <c r="J1599" t="s">
        <v>16</v>
      </c>
      <c r="K1599">
        <v>577007.90534456098</v>
      </c>
      <c r="L1599" t="s">
        <v>17</v>
      </c>
      <c r="M1599">
        <v>0</v>
      </c>
      <c r="N1599">
        <v>1</v>
      </c>
    </row>
    <row r="1600" spans="1:14" x14ac:dyDescent="0.25">
      <c r="A1600" s="2"/>
      <c r="B1600" t="s">
        <v>14</v>
      </c>
      <c r="C1600" s="1">
        <v>46216.999988425923</v>
      </c>
      <c r="D1600">
        <v>25.157514837331</v>
      </c>
      <c r="E1600">
        <v>577007.90534456098</v>
      </c>
      <c r="F1600" s="1">
        <v>46216.605509259258</v>
      </c>
      <c r="G1600">
        <v>52.874525097077999</v>
      </c>
      <c r="H1600" t="s">
        <v>24</v>
      </c>
      <c r="J1600" t="s">
        <v>16</v>
      </c>
      <c r="K1600">
        <v>577007.90534456098</v>
      </c>
      <c r="L1600" t="s">
        <v>17</v>
      </c>
      <c r="M1600">
        <v>0</v>
      </c>
      <c r="N1600">
        <v>1</v>
      </c>
    </row>
    <row r="1601" spans="1:14" x14ac:dyDescent="0.25">
      <c r="A1601" s="2"/>
      <c r="B1601" t="s">
        <v>14</v>
      </c>
      <c r="C1601" s="1">
        <v>46215.999988425923</v>
      </c>
      <c r="D1601">
        <v>25.157514837331</v>
      </c>
      <c r="E1601">
        <v>115157.160364052</v>
      </c>
      <c r="F1601" s="1">
        <v>46213.099305555559</v>
      </c>
      <c r="G1601">
        <v>52.874525097077999</v>
      </c>
      <c r="H1601" t="s">
        <v>24</v>
      </c>
      <c r="J1601" t="s">
        <v>16</v>
      </c>
      <c r="K1601">
        <v>577007.90534456098</v>
      </c>
      <c r="L1601" t="s">
        <v>17</v>
      </c>
      <c r="M1601">
        <v>-461850.744980508</v>
      </c>
      <c r="N1601">
        <v>0.19957639972937</v>
      </c>
    </row>
    <row r="1602" spans="1:14" x14ac:dyDescent="0.25">
      <c r="A1602" s="2"/>
      <c r="B1602" t="s">
        <v>14</v>
      </c>
      <c r="C1602" s="1">
        <v>46214.999988425923</v>
      </c>
      <c r="D1602">
        <v>25.157514837331</v>
      </c>
      <c r="E1602">
        <v>115157.160364052</v>
      </c>
      <c r="F1602" s="1">
        <v>46213.099305555559</v>
      </c>
      <c r="G1602">
        <v>52.874525097077999</v>
      </c>
      <c r="H1602" t="s">
        <v>24</v>
      </c>
      <c r="J1602" t="s">
        <v>16</v>
      </c>
      <c r="K1602">
        <v>577007.90534456098</v>
      </c>
      <c r="L1602" t="s">
        <v>17</v>
      </c>
      <c r="M1602">
        <v>0</v>
      </c>
      <c r="N1602">
        <v>0.19957639972937</v>
      </c>
    </row>
    <row r="1603" spans="1:14" x14ac:dyDescent="0.25">
      <c r="A1603" s="2"/>
      <c r="B1603" t="s">
        <v>14</v>
      </c>
      <c r="C1603" s="1">
        <v>46213.999988425923</v>
      </c>
      <c r="D1603">
        <v>25.157514837331</v>
      </c>
      <c r="E1603">
        <v>115157.160364052</v>
      </c>
      <c r="F1603" s="1">
        <v>46213.099305555559</v>
      </c>
      <c r="G1603">
        <v>52.874525097077999</v>
      </c>
      <c r="H1603" t="s">
        <v>24</v>
      </c>
      <c r="J1603" t="s">
        <v>16</v>
      </c>
      <c r="K1603">
        <v>577007.90534456098</v>
      </c>
      <c r="L1603" t="s">
        <v>17</v>
      </c>
      <c r="M1603">
        <v>0</v>
      </c>
      <c r="N1603">
        <v>0.19957639972937</v>
      </c>
    </row>
    <row r="1604" spans="1:14" x14ac:dyDescent="0.25">
      <c r="A1604" s="2"/>
      <c r="B1604" t="s">
        <v>14</v>
      </c>
      <c r="C1604" s="1">
        <v>46212.999988425923</v>
      </c>
      <c r="D1604">
        <v>25.157514837331</v>
      </c>
      <c r="E1604">
        <v>116317.46728093699</v>
      </c>
      <c r="F1604" s="1">
        <v>46210.605798611112</v>
      </c>
      <c r="G1604">
        <v>52.874525097077999</v>
      </c>
      <c r="H1604" t="s">
        <v>24</v>
      </c>
      <c r="J1604" t="s">
        <v>16</v>
      </c>
      <c r="K1604">
        <v>577007.90534456098</v>
      </c>
      <c r="L1604" t="s">
        <v>17</v>
      </c>
      <c r="M1604">
        <v>1160.30691688501</v>
      </c>
      <c r="N1604">
        <v>0.201587302710313</v>
      </c>
    </row>
    <row r="1605" spans="1:14" x14ac:dyDescent="0.25">
      <c r="A1605" s="2"/>
      <c r="B1605" t="s">
        <v>14</v>
      </c>
      <c r="C1605" s="1">
        <v>46211.999988425923</v>
      </c>
      <c r="D1605">
        <v>25.157514837331</v>
      </c>
      <c r="E1605">
        <v>116317.46728093699</v>
      </c>
      <c r="F1605" s="1">
        <v>46210.605798611112</v>
      </c>
      <c r="G1605">
        <v>52.874525097077999</v>
      </c>
      <c r="H1605" t="s">
        <v>24</v>
      </c>
      <c r="J1605" t="s">
        <v>16</v>
      </c>
      <c r="K1605">
        <v>577007.90534456098</v>
      </c>
      <c r="L1605" t="s">
        <v>17</v>
      </c>
      <c r="M1605">
        <v>0</v>
      </c>
      <c r="N1605">
        <v>0.201587302710313</v>
      </c>
    </row>
    <row r="1606" spans="1:14" x14ac:dyDescent="0.25">
      <c r="A1606" s="2"/>
      <c r="B1606" t="s">
        <v>14</v>
      </c>
      <c r="C1606" s="1">
        <v>46210.999988425923</v>
      </c>
      <c r="D1606">
        <v>25.157514837331</v>
      </c>
      <c r="E1606">
        <v>116317.46728093699</v>
      </c>
      <c r="F1606" s="1">
        <v>46210.605798611112</v>
      </c>
      <c r="G1606">
        <v>52.874525097077999</v>
      </c>
      <c r="H1606" t="s">
        <v>24</v>
      </c>
      <c r="J1606" t="s">
        <v>16</v>
      </c>
      <c r="K1606">
        <v>577007.90534456098</v>
      </c>
      <c r="L1606" t="s">
        <v>17</v>
      </c>
      <c r="M1606">
        <v>0</v>
      </c>
      <c r="N1606">
        <v>0.201587302710313</v>
      </c>
    </row>
    <row r="1607" spans="1:14" x14ac:dyDescent="0.25">
      <c r="A1607" s="2"/>
      <c r="B1607" t="s">
        <v>14</v>
      </c>
      <c r="C1607" s="1">
        <v>46209.999988425923</v>
      </c>
      <c r="D1607">
        <v>25.157514837331</v>
      </c>
      <c r="E1607">
        <v>383915.91606324201</v>
      </c>
      <c r="F1607" s="1">
        <v>46207.099131944444</v>
      </c>
      <c r="G1607">
        <v>52.874525097077999</v>
      </c>
      <c r="H1607" t="s">
        <v>24</v>
      </c>
      <c r="J1607" t="s">
        <v>16</v>
      </c>
      <c r="K1607">
        <v>577007.90534456098</v>
      </c>
      <c r="L1607" t="s">
        <v>17</v>
      </c>
      <c r="M1607">
        <v>267598.44878230401</v>
      </c>
      <c r="N1607">
        <v>0.66535642320876998</v>
      </c>
    </row>
    <row r="1608" spans="1:14" x14ac:dyDescent="0.25">
      <c r="A1608" s="2"/>
      <c r="B1608" t="s">
        <v>14</v>
      </c>
      <c r="C1608" s="1">
        <v>46208.999988425923</v>
      </c>
      <c r="D1608">
        <v>25.157514837331</v>
      </c>
      <c r="E1608">
        <v>383915.91606324201</v>
      </c>
      <c r="F1608" s="1">
        <v>46207.099131944444</v>
      </c>
      <c r="G1608">
        <v>52.874525097077999</v>
      </c>
      <c r="H1608" t="s">
        <v>24</v>
      </c>
      <c r="J1608" t="s">
        <v>16</v>
      </c>
      <c r="K1608">
        <v>577007.90534456098</v>
      </c>
      <c r="L1608" t="s">
        <v>17</v>
      </c>
      <c r="M1608">
        <v>0</v>
      </c>
      <c r="N1608">
        <v>0.66535642320876998</v>
      </c>
    </row>
    <row r="1609" spans="1:14" x14ac:dyDescent="0.25">
      <c r="A1609" s="2"/>
      <c r="B1609" t="s">
        <v>14</v>
      </c>
      <c r="C1609" s="1">
        <v>46207.999988425923</v>
      </c>
      <c r="D1609">
        <v>25.157514837331</v>
      </c>
      <c r="E1609">
        <v>383915.91606324201</v>
      </c>
      <c r="F1609" s="1">
        <v>46207.099131944444</v>
      </c>
      <c r="G1609">
        <v>52.874525097077999</v>
      </c>
      <c r="H1609" t="s">
        <v>24</v>
      </c>
      <c r="J1609" t="s">
        <v>16</v>
      </c>
      <c r="K1609">
        <v>577007.90534456098</v>
      </c>
      <c r="L1609" t="s">
        <v>17</v>
      </c>
      <c r="M1609">
        <v>0</v>
      </c>
      <c r="N1609">
        <v>0.66535642320876998</v>
      </c>
    </row>
    <row r="1610" spans="1:14" x14ac:dyDescent="0.25">
      <c r="A1610" s="2"/>
      <c r="B1610" t="s">
        <v>14</v>
      </c>
      <c r="C1610" s="1">
        <v>46206.999988425923</v>
      </c>
      <c r="D1610">
        <v>25.157514837331</v>
      </c>
      <c r="E1610">
        <v>114340.63073967199</v>
      </c>
      <c r="F1610" s="1">
        <v>46204.605509259258</v>
      </c>
      <c r="G1610">
        <v>52.874525097077999</v>
      </c>
      <c r="H1610" t="s">
        <v>24</v>
      </c>
      <c r="J1610" t="s">
        <v>16</v>
      </c>
      <c r="K1610">
        <v>577007.90534456098</v>
      </c>
      <c r="L1610" t="s">
        <v>17</v>
      </c>
      <c r="M1610">
        <v>-269575.28532356903</v>
      </c>
      <c r="N1610">
        <v>0.19816128978578501</v>
      </c>
    </row>
    <row r="1611" spans="1:14" x14ac:dyDescent="0.25">
      <c r="A1611" s="2"/>
      <c r="B1611" t="s">
        <v>14</v>
      </c>
      <c r="C1611" s="1">
        <v>46205.999988425923</v>
      </c>
      <c r="D1611">
        <v>25.157514837331</v>
      </c>
      <c r="E1611">
        <v>114340.63073967199</v>
      </c>
      <c r="F1611" s="1">
        <v>46204.605509259258</v>
      </c>
      <c r="G1611">
        <v>52.874525097077999</v>
      </c>
      <c r="H1611" t="s">
        <v>24</v>
      </c>
      <c r="J1611" t="s">
        <v>16</v>
      </c>
      <c r="K1611">
        <v>577007.90534456098</v>
      </c>
      <c r="L1611" t="s">
        <v>17</v>
      </c>
      <c r="M1611">
        <v>0</v>
      </c>
      <c r="N1611">
        <v>0.19816128978578501</v>
      </c>
    </row>
    <row r="1612" spans="1:14" x14ac:dyDescent="0.25">
      <c r="A1612" s="2"/>
      <c r="B1612" t="s">
        <v>14</v>
      </c>
      <c r="C1612" s="1">
        <v>46204.999988425923</v>
      </c>
      <c r="D1612">
        <v>25.157514837331</v>
      </c>
      <c r="E1612">
        <v>114340.63073967199</v>
      </c>
      <c r="F1612" s="1">
        <v>46204.605509259258</v>
      </c>
      <c r="G1612">
        <v>52.874525097077999</v>
      </c>
      <c r="H1612" t="s">
        <v>24</v>
      </c>
      <c r="J1612" t="s">
        <v>16</v>
      </c>
      <c r="K1612">
        <v>577007.90534456098</v>
      </c>
      <c r="L1612" t="s">
        <v>17</v>
      </c>
      <c r="M1612">
        <v>0</v>
      </c>
      <c r="N1612">
        <v>0.19816128978578501</v>
      </c>
    </row>
    <row r="1613" spans="1:14" x14ac:dyDescent="0.25">
      <c r="A1613" s="2"/>
      <c r="B1613" t="s">
        <v>14</v>
      </c>
      <c r="C1613" s="1">
        <v>46203.999988425923</v>
      </c>
      <c r="D1613">
        <v>25.157514837331</v>
      </c>
      <c r="E1613">
        <v>471053.69124720199</v>
      </c>
      <c r="F1613" s="1">
        <v>46201.099305555559</v>
      </c>
      <c r="G1613">
        <v>52.874525097077999</v>
      </c>
      <c r="H1613" t="s">
        <v>24</v>
      </c>
      <c r="J1613" t="s">
        <v>16</v>
      </c>
      <c r="K1613">
        <v>577007.90534456098</v>
      </c>
      <c r="L1613" t="s">
        <v>17</v>
      </c>
      <c r="M1613">
        <v>356713.06050752901</v>
      </c>
      <c r="N1613">
        <v>0.81637302866051897</v>
      </c>
    </row>
    <row r="1614" spans="1:14" x14ac:dyDescent="0.25">
      <c r="A1614" s="2"/>
      <c r="B1614" t="s">
        <v>14</v>
      </c>
      <c r="C1614" s="1">
        <v>46202.999988425923</v>
      </c>
      <c r="D1614">
        <v>25.157514837331</v>
      </c>
      <c r="E1614">
        <v>471053.69124720199</v>
      </c>
      <c r="F1614" s="1">
        <v>46201.099305555559</v>
      </c>
      <c r="G1614">
        <v>52.874525097077999</v>
      </c>
      <c r="H1614" t="s">
        <v>24</v>
      </c>
      <c r="J1614" t="s">
        <v>16</v>
      </c>
      <c r="K1614">
        <v>577007.90534456098</v>
      </c>
      <c r="L1614" t="s">
        <v>17</v>
      </c>
      <c r="M1614">
        <v>0</v>
      </c>
      <c r="N1614">
        <v>0.81637302866051897</v>
      </c>
    </row>
    <row r="1615" spans="1:14" x14ac:dyDescent="0.25">
      <c r="A1615" s="2"/>
      <c r="B1615" t="s">
        <v>14</v>
      </c>
      <c r="C1615" s="1">
        <v>46201.999988425923</v>
      </c>
      <c r="D1615">
        <v>25.157514837331</v>
      </c>
      <c r="E1615">
        <v>471053.69124720199</v>
      </c>
      <c r="F1615" s="1">
        <v>46201.099305555559</v>
      </c>
      <c r="G1615">
        <v>52.874525097077999</v>
      </c>
      <c r="H1615" t="s">
        <v>24</v>
      </c>
      <c r="J1615" t="s">
        <v>16</v>
      </c>
      <c r="K1615">
        <v>577007.90534456098</v>
      </c>
      <c r="L1615" t="s">
        <v>17</v>
      </c>
      <c r="M1615">
        <v>0</v>
      </c>
      <c r="N1615">
        <v>0.81637302866051897</v>
      </c>
    </row>
    <row r="1616" spans="1:14" x14ac:dyDescent="0.25">
      <c r="A1616" s="2"/>
      <c r="B1616" t="s">
        <v>14</v>
      </c>
      <c r="C1616" s="1">
        <v>46200.999988425923</v>
      </c>
      <c r="D1616">
        <v>25.157514837331</v>
      </c>
      <c r="E1616">
        <v>495754.48962293298</v>
      </c>
      <c r="F1616" s="1">
        <v>46198.605787037035</v>
      </c>
      <c r="G1616">
        <v>52.874525097077999</v>
      </c>
      <c r="H1616" t="s">
        <v>24</v>
      </c>
      <c r="J1616" t="s">
        <v>16</v>
      </c>
      <c r="K1616">
        <v>577007.90534456098</v>
      </c>
      <c r="L1616" t="s">
        <v>17</v>
      </c>
      <c r="M1616">
        <v>24700.798375731501</v>
      </c>
      <c r="N1616">
        <v>0.85918145146883695</v>
      </c>
    </row>
    <row r="1617" spans="1:14" x14ac:dyDescent="0.25">
      <c r="A1617" s="2"/>
      <c r="B1617" t="s">
        <v>14</v>
      </c>
      <c r="C1617" s="1">
        <v>46199.999988425923</v>
      </c>
      <c r="D1617">
        <v>25.157514837331</v>
      </c>
      <c r="E1617">
        <v>495754.48962293298</v>
      </c>
      <c r="F1617" s="1">
        <v>46198.605787037035</v>
      </c>
      <c r="G1617">
        <v>52.874525097077999</v>
      </c>
      <c r="H1617" t="s">
        <v>24</v>
      </c>
      <c r="J1617" t="s">
        <v>16</v>
      </c>
      <c r="K1617">
        <v>577007.90534456098</v>
      </c>
      <c r="L1617" t="s">
        <v>17</v>
      </c>
      <c r="M1617">
        <v>0</v>
      </c>
      <c r="N1617">
        <v>0.85918145146883695</v>
      </c>
    </row>
    <row r="1618" spans="1:14" x14ac:dyDescent="0.25">
      <c r="A1618" s="2"/>
      <c r="B1618" t="s">
        <v>14</v>
      </c>
      <c r="C1618" s="1">
        <v>46198.999988425923</v>
      </c>
      <c r="D1618">
        <v>25.157514837331</v>
      </c>
      <c r="E1618">
        <v>495754.48962293298</v>
      </c>
      <c r="F1618" s="1">
        <v>46198.605787037035</v>
      </c>
      <c r="G1618">
        <v>52.874525097077999</v>
      </c>
      <c r="H1618" t="s">
        <v>24</v>
      </c>
      <c r="J1618" t="s">
        <v>16</v>
      </c>
      <c r="K1618">
        <v>577007.90534456098</v>
      </c>
      <c r="L1618" t="s">
        <v>17</v>
      </c>
      <c r="M1618">
        <v>0</v>
      </c>
      <c r="N1618">
        <v>0.85918145146883695</v>
      </c>
    </row>
    <row r="1619" spans="1:14" x14ac:dyDescent="0.25">
      <c r="A1619" s="2"/>
      <c r="B1619" t="s">
        <v>14</v>
      </c>
      <c r="C1619" s="1">
        <v>46197.999988425923</v>
      </c>
      <c r="D1619">
        <v>25.157514837331</v>
      </c>
      <c r="E1619">
        <v>491798.53822880198</v>
      </c>
      <c r="F1619" s="1">
        <v>46194.099780092591</v>
      </c>
      <c r="G1619">
        <v>52.874525097077999</v>
      </c>
      <c r="H1619" t="s">
        <v>24</v>
      </c>
      <c r="J1619" t="s">
        <v>16</v>
      </c>
      <c r="K1619">
        <v>577007.90534456098</v>
      </c>
      <c r="L1619" t="s">
        <v>17</v>
      </c>
      <c r="M1619">
        <v>-3955.9513941315199</v>
      </c>
      <c r="N1619">
        <v>0.85232547712690998</v>
      </c>
    </row>
    <row r="1620" spans="1:14" x14ac:dyDescent="0.25">
      <c r="A1620" s="2"/>
      <c r="B1620" t="s">
        <v>14</v>
      </c>
      <c r="C1620" s="1">
        <v>46196.999988425923</v>
      </c>
      <c r="D1620">
        <v>25.157514837331</v>
      </c>
      <c r="E1620">
        <v>491798.53822880198</v>
      </c>
      <c r="F1620" s="1">
        <v>46194.099780092591</v>
      </c>
      <c r="G1620">
        <v>52.874525097077999</v>
      </c>
      <c r="H1620" t="s">
        <v>24</v>
      </c>
      <c r="J1620" t="s">
        <v>16</v>
      </c>
      <c r="K1620">
        <v>577007.90534456098</v>
      </c>
      <c r="L1620" t="s">
        <v>17</v>
      </c>
      <c r="M1620">
        <v>0</v>
      </c>
      <c r="N1620">
        <v>0.85232547712690998</v>
      </c>
    </row>
    <row r="1621" spans="1:14" x14ac:dyDescent="0.25">
      <c r="A1621" s="2"/>
      <c r="B1621" t="s">
        <v>14</v>
      </c>
      <c r="C1621" s="1">
        <v>46195.999988425923</v>
      </c>
      <c r="D1621">
        <v>25.157514837331</v>
      </c>
      <c r="E1621">
        <v>491798.53822880198</v>
      </c>
      <c r="F1621" s="1">
        <v>46194.099780092591</v>
      </c>
      <c r="G1621">
        <v>52.874525097077999</v>
      </c>
      <c r="H1621" t="s">
        <v>24</v>
      </c>
      <c r="J1621" t="s">
        <v>16</v>
      </c>
      <c r="K1621">
        <v>577007.90534456098</v>
      </c>
      <c r="L1621" t="s">
        <v>17</v>
      </c>
      <c r="M1621">
        <v>0</v>
      </c>
      <c r="N1621">
        <v>0.85232547712690998</v>
      </c>
    </row>
    <row r="1622" spans="1:14" x14ac:dyDescent="0.25">
      <c r="A1622" s="2"/>
      <c r="B1622" t="s">
        <v>14</v>
      </c>
      <c r="C1622" s="1">
        <v>46194.999988425923</v>
      </c>
      <c r="D1622">
        <v>25.157514837331</v>
      </c>
      <c r="E1622">
        <v>491798.53822880198</v>
      </c>
      <c r="F1622" s="1">
        <v>46194.099780092591</v>
      </c>
      <c r="G1622">
        <v>52.874525097077999</v>
      </c>
      <c r="H1622" t="s">
        <v>24</v>
      </c>
      <c r="J1622" t="s">
        <v>16</v>
      </c>
      <c r="K1622">
        <v>577007.90534456098</v>
      </c>
      <c r="L1622" t="s">
        <v>17</v>
      </c>
      <c r="M1622">
        <v>0</v>
      </c>
      <c r="N1622">
        <v>0.85232547712690998</v>
      </c>
    </row>
    <row r="1623" spans="1:14" x14ac:dyDescent="0.25">
      <c r="A1623" s="2"/>
      <c r="B1623" t="s">
        <v>14</v>
      </c>
      <c r="C1623" s="1">
        <v>46193.999988425923</v>
      </c>
      <c r="D1623">
        <v>25.157514837331</v>
      </c>
      <c r="E1623">
        <v>497521.04379125702</v>
      </c>
      <c r="F1623" s="1">
        <v>46191.606261574074</v>
      </c>
      <c r="G1623">
        <v>52.874525097077999</v>
      </c>
      <c r="H1623" t="s">
        <v>24</v>
      </c>
      <c r="J1623" t="s">
        <v>16</v>
      </c>
      <c r="K1623">
        <v>577007.90534456098</v>
      </c>
      <c r="L1623" t="s">
        <v>17</v>
      </c>
      <c r="M1623">
        <v>5722.5055624557399</v>
      </c>
      <c r="N1623">
        <v>0.8622430285321</v>
      </c>
    </row>
    <row r="1624" spans="1:14" x14ac:dyDescent="0.25">
      <c r="A1624" s="2"/>
      <c r="B1624" t="s">
        <v>14</v>
      </c>
      <c r="C1624" s="1">
        <v>46192.999988425923</v>
      </c>
      <c r="D1624">
        <v>25.157514837331</v>
      </c>
      <c r="E1624">
        <v>497521.04379125702</v>
      </c>
      <c r="F1624" s="1">
        <v>46191.606261574074</v>
      </c>
      <c r="G1624">
        <v>52.874525097077999</v>
      </c>
      <c r="H1624" t="s">
        <v>24</v>
      </c>
      <c r="J1624" t="s">
        <v>16</v>
      </c>
      <c r="K1624">
        <v>577007.90534456098</v>
      </c>
      <c r="L1624" t="s">
        <v>17</v>
      </c>
      <c r="M1624">
        <v>0</v>
      </c>
      <c r="N1624">
        <v>0.8622430285321</v>
      </c>
    </row>
    <row r="1625" spans="1:14" x14ac:dyDescent="0.25">
      <c r="A1625" s="2"/>
      <c r="B1625" t="s">
        <v>14</v>
      </c>
      <c r="C1625" s="1">
        <v>46191.999988425923</v>
      </c>
      <c r="D1625">
        <v>25.157514837331</v>
      </c>
      <c r="E1625">
        <v>497521.04379125702</v>
      </c>
      <c r="F1625" s="1">
        <v>46191.606261574074</v>
      </c>
      <c r="G1625">
        <v>52.874525097077999</v>
      </c>
      <c r="H1625" t="s">
        <v>24</v>
      </c>
      <c r="J1625" t="s">
        <v>16</v>
      </c>
      <c r="K1625">
        <v>577007.90534456098</v>
      </c>
      <c r="L1625" t="s">
        <v>17</v>
      </c>
      <c r="M1625">
        <v>0</v>
      </c>
      <c r="N1625">
        <v>0.8622430285321</v>
      </c>
    </row>
    <row r="1626" spans="1:14" x14ac:dyDescent="0.25">
      <c r="A1626" s="2"/>
      <c r="B1626" t="s">
        <v>14</v>
      </c>
      <c r="C1626" s="1">
        <v>46190.999988425923</v>
      </c>
      <c r="D1626">
        <v>25.157514837331</v>
      </c>
      <c r="E1626">
        <v>521555.64836518199</v>
      </c>
      <c r="F1626" s="1">
        <v>46189.099270833336</v>
      </c>
      <c r="G1626">
        <v>52.874525097077999</v>
      </c>
      <c r="H1626" t="s">
        <v>24</v>
      </c>
      <c r="J1626" t="s">
        <v>16</v>
      </c>
      <c r="K1626">
        <v>577007.90534456098</v>
      </c>
      <c r="L1626" t="s">
        <v>17</v>
      </c>
      <c r="M1626">
        <v>24034.604573924498</v>
      </c>
      <c r="N1626">
        <v>0.903896885179995</v>
      </c>
    </row>
    <row r="1627" spans="1:14" x14ac:dyDescent="0.25">
      <c r="A1627" s="2"/>
      <c r="B1627" t="s">
        <v>14</v>
      </c>
      <c r="C1627" s="1">
        <v>46189.999988425923</v>
      </c>
      <c r="D1627">
        <v>25.157514837331</v>
      </c>
      <c r="E1627">
        <v>521555.64836518199</v>
      </c>
      <c r="F1627" s="1">
        <v>46189.099270833336</v>
      </c>
      <c r="G1627">
        <v>52.874525097077999</v>
      </c>
      <c r="H1627" t="s">
        <v>24</v>
      </c>
      <c r="J1627" t="s">
        <v>16</v>
      </c>
      <c r="K1627">
        <v>577007.90534456098</v>
      </c>
      <c r="L1627" t="s">
        <v>17</v>
      </c>
      <c r="M1627">
        <v>0</v>
      </c>
      <c r="N1627">
        <v>0.903896885179995</v>
      </c>
    </row>
    <row r="1628" spans="1:14" x14ac:dyDescent="0.25">
      <c r="A1628" s="2"/>
      <c r="B1628" t="s">
        <v>14</v>
      </c>
      <c r="C1628" s="1">
        <v>46188.999988425923</v>
      </c>
      <c r="D1628">
        <v>25.157514837331</v>
      </c>
      <c r="E1628">
        <v>486530.705183062</v>
      </c>
      <c r="F1628" s="1">
        <v>46186.60564814815</v>
      </c>
      <c r="G1628">
        <v>52.874525097077999</v>
      </c>
      <c r="H1628" t="s">
        <v>24</v>
      </c>
      <c r="J1628" t="s">
        <v>16</v>
      </c>
      <c r="K1628">
        <v>577007.90534456098</v>
      </c>
      <c r="L1628" t="s">
        <v>17</v>
      </c>
      <c r="M1628">
        <v>-35024.943182119401</v>
      </c>
      <c r="N1628">
        <v>0.84319590888885698</v>
      </c>
    </row>
    <row r="1629" spans="1:14" x14ac:dyDescent="0.25">
      <c r="A1629" s="2"/>
      <c r="B1629" t="s">
        <v>14</v>
      </c>
      <c r="C1629" s="1">
        <v>46187.999988425923</v>
      </c>
      <c r="D1629">
        <v>25.157514837331</v>
      </c>
      <c r="E1629">
        <v>486530.705183062</v>
      </c>
      <c r="F1629" s="1">
        <v>46186.60564814815</v>
      </c>
      <c r="G1629">
        <v>52.874525097077999</v>
      </c>
      <c r="H1629" t="s">
        <v>24</v>
      </c>
      <c r="J1629" t="s">
        <v>16</v>
      </c>
      <c r="K1629">
        <v>577007.90534456098</v>
      </c>
      <c r="L1629" t="s">
        <v>17</v>
      </c>
      <c r="M1629">
        <v>0</v>
      </c>
      <c r="N1629">
        <v>0.84319590888885698</v>
      </c>
    </row>
    <row r="1630" spans="1:14" x14ac:dyDescent="0.25">
      <c r="A1630" s="2"/>
      <c r="B1630" t="s">
        <v>14</v>
      </c>
      <c r="C1630" s="1">
        <v>46186.999988425923</v>
      </c>
      <c r="D1630">
        <v>25.157514837331</v>
      </c>
      <c r="E1630">
        <v>486530.705183062</v>
      </c>
      <c r="F1630" s="1">
        <v>46186.60564814815</v>
      </c>
      <c r="G1630">
        <v>52.874525097077999</v>
      </c>
      <c r="H1630" t="s">
        <v>24</v>
      </c>
      <c r="J1630" t="s">
        <v>16</v>
      </c>
      <c r="K1630">
        <v>577007.90534456098</v>
      </c>
      <c r="L1630" t="s">
        <v>17</v>
      </c>
      <c r="M1630">
        <v>0</v>
      </c>
      <c r="N1630">
        <v>0.84319590888885698</v>
      </c>
    </row>
    <row r="1631" spans="1:14" x14ac:dyDescent="0.25">
      <c r="A1631" s="2"/>
      <c r="B1631" t="s">
        <v>14</v>
      </c>
      <c r="C1631" s="1">
        <v>46185.999988425923</v>
      </c>
      <c r="D1631">
        <v>25.157514837331</v>
      </c>
      <c r="E1631">
        <v>486083.81881746702</v>
      </c>
      <c r="F1631" s="1">
        <v>46182.099780092591</v>
      </c>
      <c r="G1631">
        <v>52.874525097077999</v>
      </c>
      <c r="H1631" t="s">
        <v>24</v>
      </c>
      <c r="J1631" t="s">
        <v>16</v>
      </c>
      <c r="K1631">
        <v>577007.90534456098</v>
      </c>
      <c r="L1631" t="s">
        <v>17</v>
      </c>
      <c r="M1631">
        <v>-446.88636559527299</v>
      </c>
      <c r="N1631">
        <v>0.84242141973289197</v>
      </c>
    </row>
    <row r="1632" spans="1:14" x14ac:dyDescent="0.25">
      <c r="A1632" s="2"/>
      <c r="B1632" t="s">
        <v>14</v>
      </c>
      <c r="C1632" s="1">
        <v>46184.999988425923</v>
      </c>
      <c r="D1632">
        <v>25.157514837331</v>
      </c>
      <c r="E1632">
        <v>486083.81881746702</v>
      </c>
      <c r="F1632" s="1">
        <v>46182.099780092591</v>
      </c>
      <c r="G1632">
        <v>52.874525097077999</v>
      </c>
      <c r="H1632" t="s">
        <v>24</v>
      </c>
      <c r="J1632" t="s">
        <v>16</v>
      </c>
      <c r="K1632">
        <v>577007.90534456098</v>
      </c>
      <c r="L1632" t="s">
        <v>17</v>
      </c>
      <c r="M1632">
        <v>0</v>
      </c>
      <c r="N1632">
        <v>0.84242141973289197</v>
      </c>
    </row>
    <row r="1633" spans="1:14" x14ac:dyDescent="0.25">
      <c r="A1633" s="2"/>
      <c r="B1633" t="s">
        <v>14</v>
      </c>
      <c r="C1633" s="1">
        <v>46183.999988425923</v>
      </c>
      <c r="D1633">
        <v>25.157514837331</v>
      </c>
      <c r="E1633">
        <v>486083.81881746702</v>
      </c>
      <c r="F1633" s="1">
        <v>46182.099780092591</v>
      </c>
      <c r="G1633">
        <v>52.874525097077999</v>
      </c>
      <c r="H1633" t="s">
        <v>24</v>
      </c>
      <c r="J1633" t="s">
        <v>16</v>
      </c>
      <c r="K1633">
        <v>577007.90534456098</v>
      </c>
      <c r="L1633" t="s">
        <v>17</v>
      </c>
      <c r="M1633">
        <v>0</v>
      </c>
      <c r="N1633">
        <v>0.84242141973289197</v>
      </c>
    </row>
    <row r="1634" spans="1:14" x14ac:dyDescent="0.25">
      <c r="A1634" s="2"/>
      <c r="B1634" t="s">
        <v>14</v>
      </c>
      <c r="C1634" s="1">
        <v>46182.999988425923</v>
      </c>
      <c r="D1634">
        <v>25.157514837331</v>
      </c>
      <c r="E1634">
        <v>486083.81881746702</v>
      </c>
      <c r="F1634" s="1">
        <v>46182.099780092591</v>
      </c>
      <c r="G1634">
        <v>52.874525097077999</v>
      </c>
      <c r="H1634" t="s">
        <v>24</v>
      </c>
      <c r="J1634" t="s">
        <v>16</v>
      </c>
      <c r="K1634">
        <v>577007.90534456098</v>
      </c>
      <c r="L1634" t="s">
        <v>17</v>
      </c>
      <c r="M1634">
        <v>0</v>
      </c>
      <c r="N1634">
        <v>0.84242141973289197</v>
      </c>
    </row>
    <row r="1635" spans="1:14" x14ac:dyDescent="0.25">
      <c r="A1635" s="2"/>
      <c r="B1635" t="s">
        <v>14</v>
      </c>
      <c r="C1635" s="1">
        <v>46181.999988425923</v>
      </c>
      <c r="D1635">
        <v>25.157514837331</v>
      </c>
      <c r="E1635">
        <v>303944.34599581198</v>
      </c>
      <c r="F1635" s="1">
        <v>46179.606273148151</v>
      </c>
      <c r="G1635">
        <v>52.874525097077999</v>
      </c>
      <c r="H1635" t="s">
        <v>24</v>
      </c>
      <c r="J1635" t="s">
        <v>16</v>
      </c>
      <c r="K1635">
        <v>577007.90534456098</v>
      </c>
      <c r="L1635" t="s">
        <v>17</v>
      </c>
      <c r="M1635">
        <v>-182139.472821654</v>
      </c>
      <c r="N1635">
        <v>0.52675941383214098</v>
      </c>
    </row>
    <row r="1636" spans="1:14" x14ac:dyDescent="0.25">
      <c r="A1636" s="2"/>
      <c r="B1636" t="s">
        <v>14</v>
      </c>
      <c r="C1636" s="1">
        <v>46180.999988425923</v>
      </c>
      <c r="D1636">
        <v>25.157514837331</v>
      </c>
      <c r="E1636">
        <v>303944.34599581198</v>
      </c>
      <c r="F1636" s="1">
        <v>46179.606273148151</v>
      </c>
      <c r="G1636">
        <v>52.874525097077999</v>
      </c>
      <c r="H1636" t="s">
        <v>24</v>
      </c>
      <c r="J1636" t="s">
        <v>16</v>
      </c>
      <c r="K1636">
        <v>577007.90534456098</v>
      </c>
      <c r="L1636" t="s">
        <v>17</v>
      </c>
      <c r="M1636">
        <v>0</v>
      </c>
      <c r="N1636">
        <v>0.52675941383214098</v>
      </c>
    </row>
    <row r="1637" spans="1:14" x14ac:dyDescent="0.25">
      <c r="A1637" s="2"/>
      <c r="B1637" t="s">
        <v>14</v>
      </c>
      <c r="C1637" s="1">
        <v>46179.999988425923</v>
      </c>
      <c r="D1637">
        <v>25.157514837331</v>
      </c>
      <c r="E1637">
        <v>303944.34599581198</v>
      </c>
      <c r="F1637" s="1">
        <v>46179.606273148151</v>
      </c>
      <c r="G1637">
        <v>52.874525097077999</v>
      </c>
      <c r="H1637" t="s">
        <v>24</v>
      </c>
      <c r="J1637" t="s">
        <v>16</v>
      </c>
      <c r="K1637">
        <v>577007.90534456098</v>
      </c>
      <c r="L1637" t="s">
        <v>17</v>
      </c>
      <c r="M1637">
        <v>0</v>
      </c>
      <c r="N1637">
        <v>0.52675941383214098</v>
      </c>
    </row>
    <row r="1638" spans="1:14" x14ac:dyDescent="0.25">
      <c r="A1638" s="2"/>
      <c r="B1638" t="s">
        <v>14</v>
      </c>
      <c r="C1638" s="1">
        <v>46178.999988425923</v>
      </c>
      <c r="D1638">
        <v>25.157514837331</v>
      </c>
      <c r="E1638">
        <v>502282.65017827199</v>
      </c>
      <c r="F1638" s="1">
        <v>46177.099259259259</v>
      </c>
      <c r="G1638">
        <v>52.874525097077999</v>
      </c>
      <c r="H1638" t="s">
        <v>24</v>
      </c>
      <c r="J1638" t="s">
        <v>16</v>
      </c>
      <c r="K1638">
        <v>577007.90534456098</v>
      </c>
      <c r="L1638" t="s">
        <v>17</v>
      </c>
      <c r="M1638">
        <v>198338.30418245899</v>
      </c>
      <c r="N1638">
        <v>0.87049526622747597</v>
      </c>
    </row>
    <row r="1639" spans="1:14" x14ac:dyDescent="0.25">
      <c r="A1639" s="2"/>
      <c r="B1639" t="s">
        <v>14</v>
      </c>
      <c r="C1639" s="1">
        <v>46177.999988425923</v>
      </c>
      <c r="D1639">
        <v>25.157514837331</v>
      </c>
      <c r="E1639">
        <v>502282.65017827199</v>
      </c>
      <c r="F1639" s="1">
        <v>46177.099259259259</v>
      </c>
      <c r="G1639">
        <v>52.874525097077999</v>
      </c>
      <c r="H1639" t="s">
        <v>24</v>
      </c>
      <c r="J1639" t="s">
        <v>16</v>
      </c>
      <c r="K1639">
        <v>577007.90534456098</v>
      </c>
      <c r="L1639" t="s">
        <v>17</v>
      </c>
      <c r="M1639">
        <v>0</v>
      </c>
      <c r="N1639">
        <v>0.87049526622747597</v>
      </c>
    </row>
    <row r="1640" spans="1:14" x14ac:dyDescent="0.25">
      <c r="A1640" s="2"/>
      <c r="B1640" t="s">
        <v>14</v>
      </c>
      <c r="C1640" s="1">
        <v>46176.999988425923</v>
      </c>
      <c r="D1640">
        <v>25.157514837331</v>
      </c>
      <c r="E1640">
        <v>577007.90534456098</v>
      </c>
      <c r="F1640" s="1">
        <v>46176.099143518521</v>
      </c>
      <c r="G1640">
        <v>52.874525097077999</v>
      </c>
      <c r="H1640" t="s">
        <v>24</v>
      </c>
      <c r="J1640" t="s">
        <v>16</v>
      </c>
      <c r="K1640">
        <v>577007.90534456098</v>
      </c>
      <c r="L1640" t="s">
        <v>17</v>
      </c>
      <c r="M1640">
        <v>74725.255166288596</v>
      </c>
      <c r="N1640">
        <v>1</v>
      </c>
    </row>
    <row r="1641" spans="1:14" x14ac:dyDescent="0.25">
      <c r="A1641" s="2"/>
      <c r="B1641" t="s">
        <v>14</v>
      </c>
      <c r="C1641" s="1">
        <v>46175.999988425923</v>
      </c>
      <c r="D1641">
        <v>25.157514837331</v>
      </c>
      <c r="E1641">
        <v>488931.10135578102</v>
      </c>
      <c r="F1641" s="1">
        <v>46173.605520833335</v>
      </c>
      <c r="G1641">
        <v>52.874525097077999</v>
      </c>
      <c r="H1641" t="s">
        <v>24</v>
      </c>
      <c r="J1641" t="s">
        <v>16</v>
      </c>
      <c r="K1641">
        <v>577007.90534456098</v>
      </c>
      <c r="L1641" t="s">
        <v>17</v>
      </c>
      <c r="M1641">
        <v>-88076.803988779604</v>
      </c>
      <c r="N1641">
        <v>0.84735598390773403</v>
      </c>
    </row>
    <row r="1642" spans="1:14" x14ac:dyDescent="0.25">
      <c r="A1642" s="2"/>
      <c r="B1642" t="s">
        <v>14</v>
      </c>
      <c r="C1642" s="1">
        <v>46174.999988425923</v>
      </c>
      <c r="D1642">
        <v>25.157514837331</v>
      </c>
      <c r="E1642">
        <v>488931.10135578102</v>
      </c>
      <c r="F1642" s="1">
        <v>46173.605520833335</v>
      </c>
      <c r="G1642">
        <v>52.874525097077999</v>
      </c>
      <c r="H1642" t="s">
        <v>24</v>
      </c>
      <c r="J1642" t="s">
        <v>16</v>
      </c>
      <c r="K1642">
        <v>577007.90534456098</v>
      </c>
      <c r="L1642" t="s">
        <v>17</v>
      </c>
      <c r="M1642">
        <v>0</v>
      </c>
      <c r="N1642">
        <v>0.84735598390773403</v>
      </c>
    </row>
    <row r="1643" spans="1:14" x14ac:dyDescent="0.25">
      <c r="A1643" s="2"/>
      <c r="B1643" t="s">
        <v>14</v>
      </c>
      <c r="C1643" s="1">
        <v>46173.999988425923</v>
      </c>
      <c r="D1643">
        <v>25.157514837331</v>
      </c>
      <c r="E1643">
        <v>488931.10135578102</v>
      </c>
      <c r="F1643" s="1">
        <v>46173.605520833335</v>
      </c>
      <c r="G1643">
        <v>52.874525097077999</v>
      </c>
      <c r="H1643" t="s">
        <v>24</v>
      </c>
      <c r="J1643" t="s">
        <v>16</v>
      </c>
      <c r="K1643">
        <v>577007.90534456098</v>
      </c>
      <c r="L1643" t="s">
        <v>17</v>
      </c>
      <c r="M1643">
        <v>0</v>
      </c>
      <c r="N1643">
        <v>0.84735598390773403</v>
      </c>
    </row>
    <row r="1644" spans="1:14" x14ac:dyDescent="0.25">
      <c r="A1644" s="2"/>
      <c r="B1644" t="s">
        <v>14</v>
      </c>
      <c r="C1644" s="1">
        <v>46172.999988425923</v>
      </c>
      <c r="D1644">
        <v>25.157514837331</v>
      </c>
      <c r="E1644">
        <v>425697.27796355903</v>
      </c>
      <c r="F1644" s="1">
        <v>46170.099791666667</v>
      </c>
      <c r="G1644">
        <v>52.874525097077999</v>
      </c>
      <c r="H1644" t="s">
        <v>24</v>
      </c>
      <c r="J1644" t="s">
        <v>16</v>
      </c>
      <c r="K1644">
        <v>577007.90534456098</v>
      </c>
      <c r="L1644" t="s">
        <v>17</v>
      </c>
      <c r="M1644">
        <v>-63233.823392222199</v>
      </c>
      <c r="N1644">
        <v>0.73776680357499302</v>
      </c>
    </row>
    <row r="1645" spans="1:14" x14ac:dyDescent="0.25">
      <c r="A1645" s="2"/>
      <c r="B1645" t="s">
        <v>14</v>
      </c>
      <c r="C1645" s="1">
        <v>46171.999988425923</v>
      </c>
      <c r="D1645">
        <v>25.157514837331</v>
      </c>
      <c r="E1645">
        <v>425697.27796355903</v>
      </c>
      <c r="F1645" s="1">
        <v>46170.099791666667</v>
      </c>
      <c r="G1645">
        <v>52.874525097077999</v>
      </c>
      <c r="H1645" t="s">
        <v>24</v>
      </c>
      <c r="J1645" t="s">
        <v>16</v>
      </c>
      <c r="K1645">
        <v>577007.90534456098</v>
      </c>
      <c r="L1645" t="s">
        <v>17</v>
      </c>
      <c r="M1645">
        <v>0</v>
      </c>
      <c r="N1645">
        <v>0.73776680357499302</v>
      </c>
    </row>
    <row r="1646" spans="1:14" x14ac:dyDescent="0.25">
      <c r="A1646" s="2"/>
      <c r="B1646" t="s">
        <v>14</v>
      </c>
      <c r="C1646" s="1">
        <v>46170.999988425923</v>
      </c>
      <c r="D1646">
        <v>25.157514837331</v>
      </c>
      <c r="E1646">
        <v>425697.27796355903</v>
      </c>
      <c r="F1646" s="1">
        <v>46170.099791666667</v>
      </c>
      <c r="G1646">
        <v>52.874525097077999</v>
      </c>
      <c r="H1646" t="s">
        <v>24</v>
      </c>
      <c r="J1646" t="s">
        <v>16</v>
      </c>
      <c r="K1646">
        <v>577007.90534456098</v>
      </c>
      <c r="L1646" t="s">
        <v>17</v>
      </c>
      <c r="M1646">
        <v>0</v>
      </c>
      <c r="N1646">
        <v>0.73776680357499302</v>
      </c>
    </row>
    <row r="1647" spans="1:14" x14ac:dyDescent="0.25">
      <c r="A1647" s="2"/>
      <c r="B1647" t="s">
        <v>14</v>
      </c>
      <c r="C1647" s="1">
        <v>46169.999988425923</v>
      </c>
      <c r="D1647">
        <v>25.157514837331</v>
      </c>
      <c r="E1647">
        <v>170785.38617551001</v>
      </c>
      <c r="F1647" s="1">
        <v>46167.60628472222</v>
      </c>
      <c r="G1647">
        <v>52.874525097077999</v>
      </c>
      <c r="H1647" t="s">
        <v>24</v>
      </c>
      <c r="J1647" t="s">
        <v>16</v>
      </c>
      <c r="K1647">
        <v>577007.90534456098</v>
      </c>
      <c r="L1647" t="s">
        <v>17</v>
      </c>
      <c r="M1647">
        <v>-254911.89178804899</v>
      </c>
      <c r="N1647">
        <v>0.29598448235042002</v>
      </c>
    </row>
    <row r="1648" spans="1:14" x14ac:dyDescent="0.25">
      <c r="A1648" s="2"/>
      <c r="B1648" t="s">
        <v>14</v>
      </c>
      <c r="C1648" s="1">
        <v>46168.999988425923</v>
      </c>
      <c r="D1648">
        <v>25.157514837331</v>
      </c>
      <c r="E1648">
        <v>170785.38617551001</v>
      </c>
      <c r="F1648" s="1">
        <v>46167.60628472222</v>
      </c>
      <c r="G1648">
        <v>52.874525097077999</v>
      </c>
      <c r="H1648" t="s">
        <v>24</v>
      </c>
      <c r="J1648" t="s">
        <v>16</v>
      </c>
      <c r="K1648">
        <v>577007.90534456098</v>
      </c>
      <c r="L1648" t="s">
        <v>17</v>
      </c>
      <c r="M1648">
        <v>0</v>
      </c>
      <c r="N1648">
        <v>0.29598448235042002</v>
      </c>
    </row>
    <row r="1649" spans="1:14" x14ac:dyDescent="0.25">
      <c r="A1649" s="2"/>
      <c r="B1649" t="s">
        <v>14</v>
      </c>
      <c r="C1649" s="1">
        <v>46167.999988425923</v>
      </c>
      <c r="D1649">
        <v>25.157514837331</v>
      </c>
      <c r="E1649">
        <v>170785.38617551001</v>
      </c>
      <c r="F1649" s="1">
        <v>46167.60628472222</v>
      </c>
      <c r="G1649">
        <v>52.874525097077999</v>
      </c>
      <c r="H1649" t="s">
        <v>24</v>
      </c>
      <c r="J1649" t="s">
        <v>16</v>
      </c>
      <c r="K1649">
        <v>577007.90534456098</v>
      </c>
      <c r="L1649" t="s">
        <v>17</v>
      </c>
      <c r="M1649">
        <v>0</v>
      </c>
      <c r="N1649">
        <v>0.29598448235042002</v>
      </c>
    </row>
    <row r="1650" spans="1:14" x14ac:dyDescent="0.25">
      <c r="A1650" s="2"/>
      <c r="B1650" t="s">
        <v>14</v>
      </c>
      <c r="C1650" s="1">
        <v>46166.999988425923</v>
      </c>
      <c r="D1650">
        <v>25.157514837331</v>
      </c>
      <c r="E1650">
        <v>376763.542690092</v>
      </c>
      <c r="F1650" s="1">
        <v>46165.099259259259</v>
      </c>
      <c r="G1650">
        <v>52.874525097077999</v>
      </c>
      <c r="H1650" t="s">
        <v>24</v>
      </c>
      <c r="J1650" t="s">
        <v>16</v>
      </c>
      <c r="K1650">
        <v>577007.90534456098</v>
      </c>
      <c r="L1650" t="s">
        <v>17</v>
      </c>
      <c r="M1650">
        <v>205978.15651458199</v>
      </c>
      <c r="N1650">
        <v>0.652960798630839</v>
      </c>
    </row>
    <row r="1651" spans="1:14" x14ac:dyDescent="0.25">
      <c r="A1651" s="2"/>
      <c r="B1651" t="s">
        <v>14</v>
      </c>
      <c r="C1651" s="1">
        <v>46165.999988425923</v>
      </c>
      <c r="D1651">
        <v>25.157514837331</v>
      </c>
      <c r="E1651">
        <v>376763.542690092</v>
      </c>
      <c r="F1651" s="1">
        <v>46165.099259259259</v>
      </c>
      <c r="G1651">
        <v>52.874525097077999</v>
      </c>
      <c r="H1651" t="s">
        <v>24</v>
      </c>
      <c r="J1651" t="s">
        <v>16</v>
      </c>
      <c r="K1651">
        <v>577007.90534456098</v>
      </c>
      <c r="L1651" t="s">
        <v>17</v>
      </c>
      <c r="M1651">
        <v>0</v>
      </c>
      <c r="N1651">
        <v>0.652960798630839</v>
      </c>
    </row>
    <row r="1652" spans="1:14" x14ac:dyDescent="0.25">
      <c r="A1652" s="2"/>
      <c r="B1652" t="s">
        <v>14</v>
      </c>
      <c r="C1652" s="1">
        <v>46164.999988425923</v>
      </c>
      <c r="D1652">
        <v>25.157514837331</v>
      </c>
      <c r="E1652">
        <v>373213.73480024101</v>
      </c>
      <c r="F1652" s="1">
        <v>46164.099143518521</v>
      </c>
      <c r="G1652">
        <v>52.874525097077999</v>
      </c>
      <c r="H1652" t="s">
        <v>24</v>
      </c>
      <c r="J1652" t="s">
        <v>16</v>
      </c>
      <c r="K1652">
        <v>577007.90534456098</v>
      </c>
      <c r="L1652" t="s">
        <v>17</v>
      </c>
      <c r="M1652">
        <v>-3549.8078898506901</v>
      </c>
      <c r="N1652">
        <v>0.64680870286755698</v>
      </c>
    </row>
    <row r="1653" spans="1:14" x14ac:dyDescent="0.25">
      <c r="A1653" s="2"/>
      <c r="B1653" t="s">
        <v>14</v>
      </c>
      <c r="C1653" s="1">
        <v>46163.999988425923</v>
      </c>
      <c r="D1653">
        <v>25.157514837331</v>
      </c>
      <c r="E1653">
        <v>498649.95777001098</v>
      </c>
      <c r="F1653" s="1">
        <v>46162.605624999997</v>
      </c>
      <c r="G1653">
        <v>52.874525097077999</v>
      </c>
      <c r="H1653" t="s">
        <v>24</v>
      </c>
      <c r="J1653" t="s">
        <v>16</v>
      </c>
      <c r="K1653">
        <v>577007.90534456098</v>
      </c>
      <c r="L1653" t="s">
        <v>17</v>
      </c>
      <c r="M1653">
        <v>125436.22296976901</v>
      </c>
      <c r="N1653">
        <v>0.86419952508664699</v>
      </c>
    </row>
    <row r="1654" spans="1:14" x14ac:dyDescent="0.25">
      <c r="A1654" s="2"/>
      <c r="B1654" t="s">
        <v>14</v>
      </c>
      <c r="C1654" s="1">
        <v>46162.999988425923</v>
      </c>
      <c r="D1654">
        <v>25.157514837331</v>
      </c>
      <c r="E1654">
        <v>498649.95777001098</v>
      </c>
      <c r="F1654" s="1">
        <v>46162.605624999997</v>
      </c>
      <c r="G1654">
        <v>52.874525097077999</v>
      </c>
      <c r="H1654" t="s">
        <v>24</v>
      </c>
      <c r="J1654" t="s">
        <v>16</v>
      </c>
      <c r="K1654">
        <v>577007.90534456098</v>
      </c>
      <c r="L1654" t="s">
        <v>17</v>
      </c>
      <c r="M1654">
        <v>0</v>
      </c>
      <c r="N1654">
        <v>0.86419952508664699</v>
      </c>
    </row>
    <row r="1655" spans="1:14" x14ac:dyDescent="0.25">
      <c r="A1655" s="2"/>
      <c r="B1655" t="s">
        <v>14</v>
      </c>
      <c r="C1655" s="1">
        <v>46161.999988425923</v>
      </c>
      <c r="D1655">
        <v>25.157514837331</v>
      </c>
      <c r="E1655">
        <v>103677.122434797</v>
      </c>
      <c r="F1655" s="1">
        <v>46161.605509259258</v>
      </c>
      <c r="G1655">
        <v>52.874525097077999</v>
      </c>
      <c r="H1655" t="s">
        <v>24</v>
      </c>
      <c r="J1655" t="s">
        <v>16</v>
      </c>
      <c r="K1655">
        <v>577007.90534456098</v>
      </c>
      <c r="L1655" t="s">
        <v>17</v>
      </c>
      <c r="M1655">
        <v>-394972.83533521299</v>
      </c>
      <c r="N1655">
        <v>0.179680592717159</v>
      </c>
    </row>
    <row r="1656" spans="1:14" x14ac:dyDescent="0.25">
      <c r="A1656" s="2"/>
      <c r="B1656" t="s">
        <v>14</v>
      </c>
      <c r="C1656" s="1">
        <v>46160.999988425923</v>
      </c>
      <c r="D1656">
        <v>25.157514837331</v>
      </c>
      <c r="E1656">
        <v>193374.80810613299</v>
      </c>
      <c r="F1656" s="1">
        <v>46158.099791666667</v>
      </c>
      <c r="G1656">
        <v>52.874525097077999</v>
      </c>
      <c r="H1656" t="s">
        <v>24</v>
      </c>
      <c r="J1656" t="s">
        <v>16</v>
      </c>
      <c r="K1656">
        <v>577007.90534456098</v>
      </c>
      <c r="L1656" t="s">
        <v>17</v>
      </c>
      <c r="M1656">
        <v>89697.685671335596</v>
      </c>
      <c r="N1656">
        <v>0.33513372401831998</v>
      </c>
    </row>
    <row r="1657" spans="1:14" x14ac:dyDescent="0.25">
      <c r="A1657" s="2"/>
      <c r="B1657" t="s">
        <v>14</v>
      </c>
      <c r="C1657" s="1">
        <v>46159.999988425923</v>
      </c>
      <c r="D1657">
        <v>25.157514837331</v>
      </c>
      <c r="E1657">
        <v>193374.80810613299</v>
      </c>
      <c r="F1657" s="1">
        <v>46158.099791666667</v>
      </c>
      <c r="G1657">
        <v>52.874525097077999</v>
      </c>
      <c r="H1657" t="s">
        <v>24</v>
      </c>
      <c r="J1657" t="s">
        <v>16</v>
      </c>
      <c r="K1657">
        <v>577007.90534456098</v>
      </c>
      <c r="L1657" t="s">
        <v>17</v>
      </c>
      <c r="M1657">
        <v>0</v>
      </c>
      <c r="N1657">
        <v>0.33513372401831998</v>
      </c>
    </row>
    <row r="1658" spans="1:14" x14ac:dyDescent="0.25">
      <c r="A1658" s="2"/>
      <c r="B1658" t="s">
        <v>14</v>
      </c>
      <c r="C1658" s="1">
        <v>46158.999988425923</v>
      </c>
      <c r="D1658">
        <v>25.157514837331</v>
      </c>
      <c r="E1658">
        <v>193374.80810613299</v>
      </c>
      <c r="F1658" s="1">
        <v>46158.099791666667</v>
      </c>
      <c r="G1658">
        <v>52.874525097077999</v>
      </c>
      <c r="H1658" t="s">
        <v>24</v>
      </c>
      <c r="J1658" t="s">
        <v>16</v>
      </c>
      <c r="K1658">
        <v>577007.90534456098</v>
      </c>
      <c r="L1658" t="s">
        <v>17</v>
      </c>
      <c r="M1658">
        <v>0</v>
      </c>
      <c r="N1658">
        <v>0.33513372401831998</v>
      </c>
    </row>
    <row r="1659" spans="1:14" x14ac:dyDescent="0.25">
      <c r="A1659" s="2"/>
      <c r="B1659" t="s">
        <v>14</v>
      </c>
      <c r="C1659" s="1">
        <v>46157.999988425923</v>
      </c>
      <c r="D1659">
        <v>25.157514837331</v>
      </c>
      <c r="E1659">
        <v>211400.467435634</v>
      </c>
      <c r="F1659" s="1">
        <v>46155.60628472222</v>
      </c>
      <c r="G1659">
        <v>52.874525097077999</v>
      </c>
      <c r="H1659" t="s">
        <v>24</v>
      </c>
      <c r="J1659" t="s">
        <v>16</v>
      </c>
      <c r="K1659">
        <v>577007.90534456098</v>
      </c>
      <c r="L1659" t="s">
        <v>17</v>
      </c>
      <c r="M1659">
        <v>18025.659329501599</v>
      </c>
      <c r="N1659">
        <v>0.36637360680421899</v>
      </c>
    </row>
    <row r="1660" spans="1:14" x14ac:dyDescent="0.25">
      <c r="A1660" s="2"/>
      <c r="B1660" t="s">
        <v>14</v>
      </c>
      <c r="C1660" s="1">
        <v>46156.999988425923</v>
      </c>
      <c r="D1660">
        <v>25.157514837331</v>
      </c>
      <c r="E1660">
        <v>211400.467435634</v>
      </c>
      <c r="F1660" s="1">
        <v>46155.60628472222</v>
      </c>
      <c r="G1660">
        <v>52.874525097077999</v>
      </c>
      <c r="H1660" t="s">
        <v>24</v>
      </c>
      <c r="J1660" t="s">
        <v>16</v>
      </c>
      <c r="K1660">
        <v>577007.90534456098</v>
      </c>
      <c r="L1660" t="s">
        <v>17</v>
      </c>
      <c r="M1660">
        <v>0</v>
      </c>
      <c r="N1660">
        <v>0.36637360680421899</v>
      </c>
    </row>
    <row r="1661" spans="1:14" x14ac:dyDescent="0.25">
      <c r="A1661" s="2"/>
      <c r="B1661" t="s">
        <v>14</v>
      </c>
      <c r="C1661" s="1">
        <v>46155.999988425923</v>
      </c>
      <c r="D1661">
        <v>25.157514837331</v>
      </c>
      <c r="E1661">
        <v>211400.467435634</v>
      </c>
      <c r="F1661" s="1">
        <v>46155.60628472222</v>
      </c>
      <c r="G1661">
        <v>52.874525097077999</v>
      </c>
      <c r="H1661" t="s">
        <v>24</v>
      </c>
      <c r="J1661" t="s">
        <v>16</v>
      </c>
      <c r="K1661">
        <v>577007.90534456098</v>
      </c>
      <c r="L1661" t="s">
        <v>17</v>
      </c>
      <c r="M1661">
        <v>0</v>
      </c>
      <c r="N1661">
        <v>0.36637360680421899</v>
      </c>
    </row>
    <row r="1662" spans="1:14" x14ac:dyDescent="0.25">
      <c r="A1662" s="2"/>
      <c r="B1662" t="s">
        <v>14</v>
      </c>
      <c r="C1662" s="1">
        <v>46154.999988425923</v>
      </c>
      <c r="D1662">
        <v>25.157514837331</v>
      </c>
      <c r="E1662">
        <v>449342.36819674401</v>
      </c>
      <c r="F1662" s="1">
        <v>46153.099247685182</v>
      </c>
      <c r="G1662">
        <v>52.874525097077999</v>
      </c>
      <c r="H1662" t="s">
        <v>24</v>
      </c>
      <c r="J1662" t="s">
        <v>16</v>
      </c>
      <c r="K1662">
        <v>577007.90534456098</v>
      </c>
      <c r="L1662" t="s">
        <v>17</v>
      </c>
      <c r="M1662">
        <v>237941.90076110899</v>
      </c>
      <c r="N1662">
        <v>0.77874560129019099</v>
      </c>
    </row>
    <row r="1663" spans="1:14" x14ac:dyDescent="0.25">
      <c r="A1663" s="2"/>
      <c r="B1663" t="s">
        <v>14</v>
      </c>
      <c r="C1663" s="1">
        <v>46153.999988425923</v>
      </c>
      <c r="D1663">
        <v>25.157514837331</v>
      </c>
      <c r="E1663">
        <v>449342.36819674401</v>
      </c>
      <c r="F1663" s="1">
        <v>46153.099247685182</v>
      </c>
      <c r="G1663">
        <v>52.874525097077999</v>
      </c>
      <c r="H1663" t="s">
        <v>24</v>
      </c>
      <c r="J1663" t="s">
        <v>16</v>
      </c>
      <c r="K1663">
        <v>577007.90534456098</v>
      </c>
      <c r="L1663" t="s">
        <v>17</v>
      </c>
      <c r="M1663">
        <v>0</v>
      </c>
      <c r="N1663">
        <v>0.77874560129019099</v>
      </c>
    </row>
    <row r="1664" spans="1:14" x14ac:dyDescent="0.25">
      <c r="A1664" s="2"/>
      <c r="B1664" t="s">
        <v>14</v>
      </c>
      <c r="C1664" s="1">
        <v>46152.999988425923</v>
      </c>
      <c r="D1664">
        <v>25.157514837331</v>
      </c>
      <c r="E1664">
        <v>462233.96362905699</v>
      </c>
      <c r="F1664" s="1">
        <v>46150.605613425927</v>
      </c>
      <c r="G1664">
        <v>52.874525097077999</v>
      </c>
      <c r="H1664" t="s">
        <v>24</v>
      </c>
      <c r="J1664" t="s">
        <v>16</v>
      </c>
      <c r="K1664">
        <v>577007.90534456098</v>
      </c>
      <c r="L1664" t="s">
        <v>17</v>
      </c>
      <c r="M1664">
        <v>12891.595432312701</v>
      </c>
      <c r="N1664">
        <v>0.80108774827449403</v>
      </c>
    </row>
    <row r="1665" spans="1:14" x14ac:dyDescent="0.25">
      <c r="A1665" s="2"/>
      <c r="B1665" t="s">
        <v>14</v>
      </c>
      <c r="C1665" s="1">
        <v>46151.999988425923</v>
      </c>
      <c r="D1665">
        <v>25.157514837331</v>
      </c>
      <c r="E1665">
        <v>462233.96362905699</v>
      </c>
      <c r="F1665" s="1">
        <v>46150.605613425927</v>
      </c>
      <c r="G1665">
        <v>52.874525097077999</v>
      </c>
      <c r="H1665" t="s">
        <v>24</v>
      </c>
      <c r="J1665" t="s">
        <v>16</v>
      </c>
      <c r="K1665">
        <v>577007.90534456098</v>
      </c>
      <c r="L1665" t="s">
        <v>17</v>
      </c>
      <c r="M1665">
        <v>0</v>
      </c>
      <c r="N1665">
        <v>0.80108774827449403</v>
      </c>
    </row>
    <row r="1666" spans="1:14" x14ac:dyDescent="0.25">
      <c r="A1666" s="2"/>
      <c r="B1666" t="s">
        <v>14</v>
      </c>
      <c r="C1666" s="1">
        <v>46150.999988425923</v>
      </c>
      <c r="D1666">
        <v>25.157514837331</v>
      </c>
      <c r="E1666">
        <v>462233.96362905699</v>
      </c>
      <c r="F1666" s="1">
        <v>46150.605613425927</v>
      </c>
      <c r="G1666">
        <v>52.874525097077999</v>
      </c>
      <c r="H1666" t="s">
        <v>24</v>
      </c>
      <c r="J1666" t="s">
        <v>16</v>
      </c>
      <c r="K1666">
        <v>577007.90534456098</v>
      </c>
      <c r="L1666" t="s">
        <v>17</v>
      </c>
      <c r="M1666">
        <v>0</v>
      </c>
      <c r="N1666">
        <v>0.80108774827449403</v>
      </c>
    </row>
    <row r="1667" spans="1:14" x14ac:dyDescent="0.25">
      <c r="A1667" s="2"/>
      <c r="B1667" t="s">
        <v>14</v>
      </c>
      <c r="C1667" s="1">
        <v>46149.999988425923</v>
      </c>
      <c r="D1667">
        <v>25.157514837331</v>
      </c>
      <c r="E1667">
        <v>577007.90534456098</v>
      </c>
      <c r="F1667" s="1">
        <v>46149.605497685188</v>
      </c>
      <c r="G1667">
        <v>52.874525097077999</v>
      </c>
      <c r="H1667" t="s">
        <v>24</v>
      </c>
      <c r="J1667" t="s">
        <v>16</v>
      </c>
      <c r="K1667">
        <v>577007.90534456098</v>
      </c>
      <c r="L1667" t="s">
        <v>17</v>
      </c>
      <c r="M1667">
        <v>114773.941715504</v>
      </c>
      <c r="N1667">
        <v>1</v>
      </c>
    </row>
    <row r="1668" spans="1:14" x14ac:dyDescent="0.25">
      <c r="A1668" s="2"/>
      <c r="B1668" t="s">
        <v>14</v>
      </c>
      <c r="C1668" s="1">
        <v>46148.999988425923</v>
      </c>
      <c r="D1668">
        <v>25.157514837331</v>
      </c>
      <c r="E1668">
        <v>438487.80619057902</v>
      </c>
      <c r="F1668" s="1">
        <v>46146.099803240744</v>
      </c>
      <c r="G1668">
        <v>52.874525097077999</v>
      </c>
      <c r="H1668" t="s">
        <v>24</v>
      </c>
      <c r="J1668" t="s">
        <v>16</v>
      </c>
      <c r="K1668">
        <v>577007.90534456098</v>
      </c>
      <c r="L1668" t="s">
        <v>17</v>
      </c>
      <c r="M1668">
        <v>-138520.09915398201</v>
      </c>
      <c r="N1668">
        <v>0.75993379315788601</v>
      </c>
    </row>
    <row r="1669" spans="1:14" x14ac:dyDescent="0.25">
      <c r="A1669" s="2"/>
      <c r="B1669" t="s">
        <v>14</v>
      </c>
      <c r="C1669" s="1">
        <v>46147.999988425923</v>
      </c>
      <c r="D1669">
        <v>25.157514837331</v>
      </c>
      <c r="E1669">
        <v>438487.80619057902</v>
      </c>
      <c r="F1669" s="1">
        <v>46146.099803240744</v>
      </c>
      <c r="G1669">
        <v>52.874525097077999</v>
      </c>
      <c r="H1669" t="s">
        <v>24</v>
      </c>
      <c r="J1669" t="s">
        <v>16</v>
      </c>
      <c r="K1669">
        <v>577007.90534456098</v>
      </c>
      <c r="L1669" t="s">
        <v>17</v>
      </c>
      <c r="M1669">
        <v>0</v>
      </c>
      <c r="N1669">
        <v>0.75993379315788601</v>
      </c>
    </row>
    <row r="1670" spans="1:14" x14ac:dyDescent="0.25">
      <c r="A1670" s="2"/>
      <c r="B1670" t="s">
        <v>14</v>
      </c>
      <c r="C1670" s="1">
        <v>46146.999988425923</v>
      </c>
      <c r="D1670">
        <v>25.157514837331</v>
      </c>
      <c r="E1670">
        <v>438487.80619057902</v>
      </c>
      <c r="F1670" s="1">
        <v>46146.099803240744</v>
      </c>
      <c r="G1670">
        <v>52.874525097077999</v>
      </c>
      <c r="H1670" t="s">
        <v>24</v>
      </c>
      <c r="J1670" t="s">
        <v>16</v>
      </c>
      <c r="K1670">
        <v>577007.90534456098</v>
      </c>
      <c r="L1670" t="s">
        <v>17</v>
      </c>
      <c r="M1670">
        <v>0</v>
      </c>
      <c r="N1670">
        <v>0.75993379315788601</v>
      </c>
    </row>
    <row r="1671" spans="1:14" x14ac:dyDescent="0.25">
      <c r="A1671" s="2"/>
      <c r="B1671" t="s">
        <v>14</v>
      </c>
      <c r="C1671" s="1">
        <v>46145.999988425923</v>
      </c>
      <c r="D1671">
        <v>25.157514837331</v>
      </c>
      <c r="E1671">
        <v>460372.56301365601</v>
      </c>
      <c r="F1671" s="1">
        <v>46143.606296296297</v>
      </c>
      <c r="G1671">
        <v>52.874525097077999</v>
      </c>
      <c r="H1671" t="s">
        <v>24</v>
      </c>
      <c r="J1671" t="s">
        <v>16</v>
      </c>
      <c r="K1671">
        <v>577007.90534456098</v>
      </c>
      <c r="L1671" t="s">
        <v>17</v>
      </c>
      <c r="M1671">
        <v>21884.756823077001</v>
      </c>
      <c r="N1671">
        <v>0.797861794872193</v>
      </c>
    </row>
    <row r="1672" spans="1:14" x14ac:dyDescent="0.25">
      <c r="A1672" s="2"/>
      <c r="B1672" t="s">
        <v>14</v>
      </c>
      <c r="C1672" s="1">
        <v>46144.999988425923</v>
      </c>
      <c r="D1672">
        <v>25.157514837331</v>
      </c>
      <c r="E1672">
        <v>460372.56301365601</v>
      </c>
      <c r="F1672" s="1">
        <v>46143.606296296297</v>
      </c>
      <c r="G1672">
        <v>52.874525097077999</v>
      </c>
      <c r="H1672" t="s">
        <v>24</v>
      </c>
      <c r="J1672" t="s">
        <v>16</v>
      </c>
      <c r="K1672">
        <v>577007.90534456098</v>
      </c>
      <c r="L1672" t="s">
        <v>17</v>
      </c>
      <c r="M1672">
        <v>0</v>
      </c>
      <c r="N1672">
        <v>0.797861794872193</v>
      </c>
    </row>
    <row r="1673" spans="1:14" x14ac:dyDescent="0.25">
      <c r="A1673" s="2"/>
      <c r="B1673" t="s">
        <v>14</v>
      </c>
      <c r="C1673" s="1">
        <v>46143.999988425923</v>
      </c>
      <c r="D1673">
        <v>25.157514837331</v>
      </c>
      <c r="E1673">
        <v>460372.56301365601</v>
      </c>
      <c r="F1673" s="1">
        <v>46143.606296296297</v>
      </c>
      <c r="G1673">
        <v>52.874525097077999</v>
      </c>
      <c r="H1673" t="s">
        <v>24</v>
      </c>
      <c r="J1673" t="s">
        <v>16</v>
      </c>
      <c r="K1673">
        <v>577007.90534456098</v>
      </c>
      <c r="L1673" t="s">
        <v>17</v>
      </c>
      <c r="M1673">
        <v>0</v>
      </c>
      <c r="N1673">
        <v>0.797861794872193</v>
      </c>
    </row>
    <row r="1674" spans="1:14" x14ac:dyDescent="0.25">
      <c r="A1674" s="2"/>
      <c r="B1674" t="s">
        <v>14</v>
      </c>
      <c r="C1674" s="1">
        <v>46142.999988425923</v>
      </c>
      <c r="D1674">
        <v>25.157514837331</v>
      </c>
      <c r="E1674">
        <v>504239.93056493398</v>
      </c>
      <c r="F1674" s="1">
        <v>46140.099120370367</v>
      </c>
      <c r="G1674">
        <v>52.874525097077999</v>
      </c>
      <c r="H1674" t="s">
        <v>24</v>
      </c>
      <c r="J1674" t="s">
        <v>16</v>
      </c>
      <c r="K1674">
        <v>577007.90534456098</v>
      </c>
      <c r="L1674" t="s">
        <v>17</v>
      </c>
      <c r="M1674">
        <v>43867.367551278301</v>
      </c>
      <c r="N1674">
        <v>0.87388738680075195</v>
      </c>
    </row>
    <row r="1675" spans="1:14" x14ac:dyDescent="0.25">
      <c r="A1675" s="2"/>
      <c r="B1675" t="s">
        <v>14</v>
      </c>
      <c r="C1675" s="1">
        <v>46141.999988425923</v>
      </c>
      <c r="D1675">
        <v>25.157514837331</v>
      </c>
      <c r="E1675">
        <v>504239.93056493398</v>
      </c>
      <c r="F1675" s="1">
        <v>46140.099120370367</v>
      </c>
      <c r="G1675">
        <v>52.874525097077999</v>
      </c>
      <c r="H1675" t="s">
        <v>24</v>
      </c>
      <c r="J1675" t="s">
        <v>16</v>
      </c>
      <c r="K1675">
        <v>577007.90534456098</v>
      </c>
      <c r="L1675" t="s">
        <v>17</v>
      </c>
      <c r="M1675">
        <v>0</v>
      </c>
      <c r="N1675">
        <v>0.87388738680075195</v>
      </c>
    </row>
    <row r="1676" spans="1:14" x14ac:dyDescent="0.25">
      <c r="A1676" s="2"/>
      <c r="B1676" t="s">
        <v>14</v>
      </c>
      <c r="C1676" s="1">
        <v>46140.999988425923</v>
      </c>
      <c r="D1676">
        <v>25.157514837331</v>
      </c>
      <c r="E1676">
        <v>504239.93056493398</v>
      </c>
      <c r="F1676" s="1">
        <v>46140.099120370367</v>
      </c>
      <c r="G1676">
        <v>52.874525097077999</v>
      </c>
      <c r="H1676" t="s">
        <v>24</v>
      </c>
      <c r="J1676" t="s">
        <v>16</v>
      </c>
      <c r="K1676">
        <v>577007.90534456098</v>
      </c>
      <c r="L1676" t="s">
        <v>17</v>
      </c>
      <c r="M1676">
        <v>0</v>
      </c>
      <c r="N1676">
        <v>0.87388738680075195</v>
      </c>
    </row>
    <row r="1677" spans="1:14" x14ac:dyDescent="0.25">
      <c r="A1677" s="2"/>
      <c r="B1677" t="s">
        <v>14</v>
      </c>
      <c r="C1677" s="1">
        <v>46139.999988425923</v>
      </c>
      <c r="D1677">
        <v>25.157514837331</v>
      </c>
      <c r="E1677">
        <v>107424.11393541899</v>
      </c>
      <c r="F1677" s="1">
        <v>46137.605486111112</v>
      </c>
      <c r="G1677">
        <v>52.874525097077999</v>
      </c>
      <c r="H1677" t="s">
        <v>24</v>
      </c>
      <c r="J1677" t="s">
        <v>16</v>
      </c>
      <c r="K1677">
        <v>577007.90534456098</v>
      </c>
      <c r="L1677" t="s">
        <v>17</v>
      </c>
      <c r="M1677">
        <v>-396815.81662951497</v>
      </c>
      <c r="N1677">
        <v>0.186174423158501</v>
      </c>
    </row>
    <row r="1678" spans="1:14" x14ac:dyDescent="0.25">
      <c r="A1678" s="2"/>
      <c r="B1678" t="s">
        <v>14</v>
      </c>
      <c r="C1678" s="1">
        <v>46138.999988425923</v>
      </c>
      <c r="D1678">
        <v>25.157514837331</v>
      </c>
      <c r="E1678">
        <v>107424.11393541899</v>
      </c>
      <c r="F1678" s="1">
        <v>46137.605486111112</v>
      </c>
      <c r="G1678">
        <v>52.874525097077999</v>
      </c>
      <c r="H1678" t="s">
        <v>24</v>
      </c>
      <c r="J1678" t="s">
        <v>16</v>
      </c>
      <c r="K1678">
        <v>577007.90534456098</v>
      </c>
      <c r="L1678" t="s">
        <v>17</v>
      </c>
      <c r="M1678">
        <v>0</v>
      </c>
      <c r="N1678">
        <v>0.186174423158501</v>
      </c>
    </row>
    <row r="1679" spans="1:14" x14ac:dyDescent="0.25">
      <c r="A1679" s="2"/>
      <c r="B1679" t="s">
        <v>14</v>
      </c>
      <c r="C1679" s="1">
        <v>46137.999988425923</v>
      </c>
      <c r="D1679">
        <v>25.157514837331</v>
      </c>
      <c r="E1679">
        <v>107424.11393541899</v>
      </c>
      <c r="F1679" s="1">
        <v>46137.605486111112</v>
      </c>
      <c r="G1679">
        <v>52.874525097077999</v>
      </c>
      <c r="H1679" t="s">
        <v>24</v>
      </c>
      <c r="J1679" t="s">
        <v>16</v>
      </c>
      <c r="K1679">
        <v>577007.90534456098</v>
      </c>
      <c r="L1679" t="s">
        <v>17</v>
      </c>
      <c r="M1679">
        <v>0</v>
      </c>
      <c r="N1679">
        <v>0.186174423158501</v>
      </c>
    </row>
    <row r="1680" spans="1:14" x14ac:dyDescent="0.25">
      <c r="A1680" s="2"/>
      <c r="B1680" t="s">
        <v>14</v>
      </c>
      <c r="C1680" s="1">
        <v>46136.999988425923</v>
      </c>
      <c r="D1680">
        <v>25.157514837331</v>
      </c>
      <c r="E1680">
        <v>288458.44832175499</v>
      </c>
      <c r="F1680" s="1">
        <v>46134.099803240744</v>
      </c>
      <c r="G1680">
        <v>52.874525097077999</v>
      </c>
      <c r="H1680" t="s">
        <v>24</v>
      </c>
      <c r="J1680" t="s">
        <v>16</v>
      </c>
      <c r="K1680">
        <v>577007.90534456098</v>
      </c>
      <c r="L1680" t="s">
        <v>17</v>
      </c>
      <c r="M1680">
        <v>181034.33438633601</v>
      </c>
      <c r="N1680">
        <v>0.49992113738805999</v>
      </c>
    </row>
    <row r="1681" spans="1:14" x14ac:dyDescent="0.25">
      <c r="A1681" s="2"/>
      <c r="B1681" t="s">
        <v>14</v>
      </c>
      <c r="C1681" s="1">
        <v>46135.999988425923</v>
      </c>
      <c r="D1681">
        <v>25.157514837331</v>
      </c>
      <c r="E1681">
        <v>288458.44832175499</v>
      </c>
      <c r="F1681" s="1">
        <v>46134.099803240744</v>
      </c>
      <c r="G1681">
        <v>52.874525097077999</v>
      </c>
      <c r="H1681" t="s">
        <v>24</v>
      </c>
      <c r="J1681" t="s">
        <v>16</v>
      </c>
      <c r="K1681">
        <v>577007.90534456098</v>
      </c>
      <c r="L1681" t="s">
        <v>17</v>
      </c>
      <c r="M1681">
        <v>0</v>
      </c>
      <c r="N1681">
        <v>0.49992113738805999</v>
      </c>
    </row>
    <row r="1682" spans="1:14" x14ac:dyDescent="0.25">
      <c r="A1682" s="2"/>
      <c r="B1682" t="s">
        <v>14</v>
      </c>
      <c r="C1682" s="1">
        <v>46134.999988425923</v>
      </c>
      <c r="D1682">
        <v>25.157514837331</v>
      </c>
      <c r="E1682">
        <v>288458.44832175499</v>
      </c>
      <c r="F1682" s="1">
        <v>46134.099803240744</v>
      </c>
      <c r="G1682">
        <v>52.874525097077999</v>
      </c>
      <c r="H1682" t="s">
        <v>24</v>
      </c>
      <c r="J1682" t="s">
        <v>16</v>
      </c>
      <c r="K1682">
        <v>577007.90534456098</v>
      </c>
      <c r="L1682" t="s">
        <v>17</v>
      </c>
      <c r="M1682">
        <v>0</v>
      </c>
      <c r="N1682">
        <v>0.49992113738805999</v>
      </c>
    </row>
    <row r="1683" spans="1:14" x14ac:dyDescent="0.25">
      <c r="A1683" s="2"/>
      <c r="B1683" t="s">
        <v>14</v>
      </c>
      <c r="C1683" s="1">
        <v>46133.999988425923</v>
      </c>
      <c r="D1683">
        <v>25.157514837331</v>
      </c>
      <c r="E1683">
        <v>330273.13229178899</v>
      </c>
      <c r="F1683" s="1">
        <v>46131.606296296297</v>
      </c>
      <c r="G1683">
        <v>52.874525097077999</v>
      </c>
      <c r="H1683" t="s">
        <v>24</v>
      </c>
      <c r="J1683" t="s">
        <v>16</v>
      </c>
      <c r="K1683">
        <v>577007.90534456098</v>
      </c>
      <c r="L1683" t="s">
        <v>17</v>
      </c>
      <c r="M1683">
        <v>41814.6839700337</v>
      </c>
      <c r="N1683">
        <v>0.57238926751716801</v>
      </c>
    </row>
    <row r="1684" spans="1:14" x14ac:dyDescent="0.25">
      <c r="A1684" s="2"/>
      <c r="B1684" t="s">
        <v>14</v>
      </c>
      <c r="C1684" s="1">
        <v>46132.999988425923</v>
      </c>
      <c r="D1684">
        <v>25.157514837331</v>
      </c>
      <c r="E1684">
        <v>330273.13229178899</v>
      </c>
      <c r="F1684" s="1">
        <v>46131.606296296297</v>
      </c>
      <c r="G1684">
        <v>52.874525097077999</v>
      </c>
      <c r="H1684" t="s">
        <v>24</v>
      </c>
      <c r="J1684" t="s">
        <v>16</v>
      </c>
      <c r="K1684">
        <v>577007.90534456098</v>
      </c>
      <c r="L1684" t="s">
        <v>17</v>
      </c>
      <c r="M1684">
        <v>0</v>
      </c>
      <c r="N1684">
        <v>0.57238926751716801</v>
      </c>
    </row>
    <row r="1685" spans="1:14" x14ac:dyDescent="0.25">
      <c r="A1685" s="2"/>
      <c r="B1685" t="s">
        <v>14</v>
      </c>
      <c r="C1685" s="1">
        <v>46131.999988425923</v>
      </c>
      <c r="D1685">
        <v>25.157514837331</v>
      </c>
      <c r="E1685">
        <v>330273.13229178899</v>
      </c>
      <c r="F1685" s="1">
        <v>46131.606296296297</v>
      </c>
      <c r="G1685">
        <v>52.874525097077999</v>
      </c>
      <c r="H1685" t="s">
        <v>24</v>
      </c>
      <c r="J1685" t="s">
        <v>16</v>
      </c>
      <c r="K1685">
        <v>577007.90534456098</v>
      </c>
      <c r="L1685" t="s">
        <v>17</v>
      </c>
      <c r="M1685">
        <v>0</v>
      </c>
      <c r="N1685">
        <v>0.57238926751716801</v>
      </c>
    </row>
    <row r="1686" spans="1:14" x14ac:dyDescent="0.25">
      <c r="A1686" s="2"/>
      <c r="B1686" t="s">
        <v>14</v>
      </c>
      <c r="C1686" s="1">
        <v>46130.999988425923</v>
      </c>
      <c r="D1686">
        <v>25.157514837331</v>
      </c>
      <c r="E1686">
        <v>489933.00116242399</v>
      </c>
      <c r="F1686" s="1">
        <v>46128.099108796298</v>
      </c>
      <c r="G1686">
        <v>52.874525097077999</v>
      </c>
      <c r="H1686" t="s">
        <v>24</v>
      </c>
      <c r="J1686" t="s">
        <v>16</v>
      </c>
      <c r="K1686">
        <v>577007.90534456098</v>
      </c>
      <c r="L1686" t="s">
        <v>17</v>
      </c>
      <c r="M1686">
        <v>159659.86887063499</v>
      </c>
      <c r="N1686">
        <v>0.84909235493031998</v>
      </c>
    </row>
    <row r="1687" spans="1:14" x14ac:dyDescent="0.25">
      <c r="A1687" s="2"/>
      <c r="B1687" t="s">
        <v>14</v>
      </c>
      <c r="C1687" s="1">
        <v>46129.999988425923</v>
      </c>
      <c r="D1687">
        <v>25.157514837331</v>
      </c>
      <c r="E1687">
        <v>489933.00116242399</v>
      </c>
      <c r="F1687" s="1">
        <v>46128.099108796298</v>
      </c>
      <c r="G1687">
        <v>52.874525097077999</v>
      </c>
      <c r="H1687" t="s">
        <v>24</v>
      </c>
      <c r="J1687" t="s">
        <v>16</v>
      </c>
      <c r="K1687">
        <v>577007.90534456098</v>
      </c>
      <c r="L1687" t="s">
        <v>17</v>
      </c>
      <c r="M1687">
        <v>0</v>
      </c>
      <c r="N1687">
        <v>0.84909235493031998</v>
      </c>
    </row>
    <row r="1688" spans="1:14" x14ac:dyDescent="0.25">
      <c r="A1688" s="2"/>
      <c r="B1688" t="s">
        <v>14</v>
      </c>
      <c r="C1688" s="1">
        <v>46128.999988425923</v>
      </c>
      <c r="D1688">
        <v>25.157514837331</v>
      </c>
      <c r="E1688">
        <v>489933.00116242399</v>
      </c>
      <c r="F1688" s="1">
        <v>46128.099108796298</v>
      </c>
      <c r="G1688">
        <v>52.874525097077999</v>
      </c>
      <c r="H1688" t="s">
        <v>24</v>
      </c>
      <c r="J1688" t="s">
        <v>16</v>
      </c>
      <c r="K1688">
        <v>577007.90534456098</v>
      </c>
      <c r="L1688" t="s">
        <v>17</v>
      </c>
      <c r="M1688">
        <v>0</v>
      </c>
      <c r="N1688">
        <v>0.84909235493031998</v>
      </c>
    </row>
    <row r="1689" spans="1:14" x14ac:dyDescent="0.25">
      <c r="A1689" s="2"/>
      <c r="B1689" t="s">
        <v>14</v>
      </c>
      <c r="C1689" s="1">
        <v>46127.999988425923</v>
      </c>
      <c r="D1689">
        <v>25.157514837331</v>
      </c>
      <c r="E1689">
        <v>464358.58092353097</v>
      </c>
      <c r="F1689" s="1">
        <v>46125.605486111112</v>
      </c>
      <c r="G1689">
        <v>52.874525097077999</v>
      </c>
      <c r="H1689" t="s">
        <v>24</v>
      </c>
      <c r="J1689" t="s">
        <v>16</v>
      </c>
      <c r="K1689">
        <v>577007.90534456098</v>
      </c>
      <c r="L1689" t="s">
        <v>17</v>
      </c>
      <c r="M1689">
        <v>-25574.420238893399</v>
      </c>
      <c r="N1689">
        <v>0.80476987684638202</v>
      </c>
    </row>
    <row r="1690" spans="1:14" x14ac:dyDescent="0.25">
      <c r="A1690" s="2"/>
      <c r="B1690" t="s">
        <v>14</v>
      </c>
      <c r="C1690" s="1">
        <v>46126.999988425923</v>
      </c>
      <c r="D1690">
        <v>25.157514837331</v>
      </c>
      <c r="E1690">
        <v>464358.58092353097</v>
      </c>
      <c r="F1690" s="1">
        <v>46125.605486111112</v>
      </c>
      <c r="G1690">
        <v>52.874525097077999</v>
      </c>
      <c r="H1690" t="s">
        <v>24</v>
      </c>
      <c r="J1690" t="s">
        <v>16</v>
      </c>
      <c r="K1690">
        <v>577007.90534456098</v>
      </c>
      <c r="L1690" t="s">
        <v>17</v>
      </c>
      <c r="M1690">
        <v>0</v>
      </c>
      <c r="N1690">
        <v>0.80476987684638202</v>
      </c>
    </row>
    <row r="1691" spans="1:14" x14ac:dyDescent="0.25">
      <c r="A1691" s="2"/>
      <c r="B1691" t="s">
        <v>14</v>
      </c>
      <c r="C1691" s="1">
        <v>46125.999988425923</v>
      </c>
      <c r="D1691">
        <v>25.157514837331</v>
      </c>
      <c r="E1691">
        <v>464358.58092353097</v>
      </c>
      <c r="F1691" s="1">
        <v>46125.605486111112</v>
      </c>
      <c r="G1691">
        <v>52.874525097077999</v>
      </c>
      <c r="H1691" t="s">
        <v>24</v>
      </c>
      <c r="J1691" t="s">
        <v>16</v>
      </c>
      <c r="K1691">
        <v>577007.90534456098</v>
      </c>
      <c r="L1691" t="s">
        <v>17</v>
      </c>
      <c r="M1691">
        <v>0</v>
      </c>
      <c r="N1691">
        <v>0.80476987684638202</v>
      </c>
    </row>
    <row r="1692" spans="1:14" x14ac:dyDescent="0.25">
      <c r="A1692" s="2"/>
      <c r="B1692" t="s">
        <v>14</v>
      </c>
      <c r="C1692" s="1">
        <v>46124.999988425923</v>
      </c>
      <c r="D1692">
        <v>25.157514837331</v>
      </c>
      <c r="E1692">
        <v>316282.24140516098</v>
      </c>
      <c r="F1692" s="1">
        <v>46122.099803240744</v>
      </c>
      <c r="G1692">
        <v>52.874525097077999</v>
      </c>
      <c r="H1692" t="s">
        <v>24</v>
      </c>
      <c r="J1692" t="s">
        <v>16</v>
      </c>
      <c r="K1692">
        <v>577007.90534456098</v>
      </c>
      <c r="L1692" t="s">
        <v>17</v>
      </c>
      <c r="M1692">
        <v>-148076.33951836999</v>
      </c>
      <c r="N1692">
        <v>0.54814195520647502</v>
      </c>
    </row>
    <row r="1693" spans="1:14" x14ac:dyDescent="0.25">
      <c r="A1693" s="2"/>
      <c r="B1693" t="s">
        <v>14</v>
      </c>
      <c r="C1693" s="1">
        <v>46123.999988425923</v>
      </c>
      <c r="D1693">
        <v>25.157514837331</v>
      </c>
      <c r="E1693">
        <v>316282.24140516098</v>
      </c>
      <c r="F1693" s="1">
        <v>46122.099803240744</v>
      </c>
      <c r="G1693">
        <v>52.874525097077999</v>
      </c>
      <c r="H1693" t="s">
        <v>24</v>
      </c>
      <c r="J1693" t="s">
        <v>16</v>
      </c>
      <c r="K1693">
        <v>577007.90534456098</v>
      </c>
      <c r="L1693" t="s">
        <v>17</v>
      </c>
      <c r="M1693">
        <v>0</v>
      </c>
      <c r="N1693">
        <v>0.54814195520647502</v>
      </c>
    </row>
    <row r="1694" spans="1:14" x14ac:dyDescent="0.25">
      <c r="A1694" s="2"/>
      <c r="B1694" t="s">
        <v>14</v>
      </c>
      <c r="C1694" s="1">
        <v>46122.999988425923</v>
      </c>
      <c r="D1694">
        <v>25.157514837331</v>
      </c>
      <c r="E1694">
        <v>316282.24140516098</v>
      </c>
      <c r="F1694" s="1">
        <v>46122.099803240744</v>
      </c>
      <c r="G1694">
        <v>52.874525097077999</v>
      </c>
      <c r="H1694" t="s">
        <v>24</v>
      </c>
      <c r="J1694" t="s">
        <v>16</v>
      </c>
      <c r="K1694">
        <v>577007.90534456098</v>
      </c>
      <c r="L1694" t="s">
        <v>17</v>
      </c>
      <c r="M1694">
        <v>0</v>
      </c>
      <c r="N1694">
        <v>0.54814195520647502</v>
      </c>
    </row>
    <row r="1695" spans="1:14" x14ac:dyDescent="0.25">
      <c r="A1695" s="2"/>
      <c r="B1695" t="s">
        <v>14</v>
      </c>
      <c r="C1695" s="1">
        <v>46121.999988425923</v>
      </c>
      <c r="D1695">
        <v>25.157514837331</v>
      </c>
      <c r="E1695">
        <v>311313.11809399398</v>
      </c>
      <c r="F1695" s="1">
        <v>46119.606296296297</v>
      </c>
      <c r="G1695">
        <v>52.874525097077999</v>
      </c>
      <c r="H1695" t="s">
        <v>24</v>
      </c>
      <c r="J1695" t="s">
        <v>16</v>
      </c>
      <c r="K1695">
        <v>577007.90534456098</v>
      </c>
      <c r="L1695" t="s">
        <v>17</v>
      </c>
      <c r="M1695">
        <v>-4969.1233111669999</v>
      </c>
      <c r="N1695">
        <v>0.53953007438969602</v>
      </c>
    </row>
    <row r="1696" spans="1:14" x14ac:dyDescent="0.25">
      <c r="A1696" s="2"/>
      <c r="B1696" t="s">
        <v>14</v>
      </c>
      <c r="C1696" s="1">
        <v>46120.999988425923</v>
      </c>
      <c r="D1696">
        <v>25.157514837331</v>
      </c>
      <c r="E1696">
        <v>311313.11809399398</v>
      </c>
      <c r="F1696" s="1">
        <v>46119.606296296297</v>
      </c>
      <c r="G1696">
        <v>52.874525097077999</v>
      </c>
      <c r="H1696" t="s">
        <v>24</v>
      </c>
      <c r="J1696" t="s">
        <v>16</v>
      </c>
      <c r="K1696">
        <v>577007.90534456098</v>
      </c>
      <c r="L1696" t="s">
        <v>17</v>
      </c>
      <c r="M1696">
        <v>0</v>
      </c>
      <c r="N1696">
        <v>0.53953007438969602</v>
      </c>
    </row>
    <row r="1697" spans="1:14" x14ac:dyDescent="0.25">
      <c r="A1697" s="2"/>
      <c r="B1697" t="s">
        <v>14</v>
      </c>
      <c r="C1697" s="1">
        <v>46119.999988425923</v>
      </c>
      <c r="D1697">
        <v>25.157514837331</v>
      </c>
      <c r="E1697">
        <v>311313.11809399398</v>
      </c>
      <c r="F1697" s="1">
        <v>46119.606296296297</v>
      </c>
      <c r="G1697">
        <v>52.874525097077999</v>
      </c>
      <c r="H1697" t="s">
        <v>24</v>
      </c>
      <c r="J1697" t="s">
        <v>16</v>
      </c>
      <c r="K1697">
        <v>577007.90534456098</v>
      </c>
      <c r="L1697" t="s">
        <v>17</v>
      </c>
      <c r="M1697">
        <v>0</v>
      </c>
      <c r="N1697">
        <v>0.53953007438969602</v>
      </c>
    </row>
    <row r="1698" spans="1:14" x14ac:dyDescent="0.25">
      <c r="A1698" s="2"/>
      <c r="B1698" t="s">
        <v>14</v>
      </c>
      <c r="C1698" s="1">
        <v>46118.999988425923</v>
      </c>
      <c r="D1698">
        <v>25.157514837331</v>
      </c>
      <c r="E1698">
        <v>105242.67126427899</v>
      </c>
      <c r="F1698" s="1">
        <v>46116.099108796298</v>
      </c>
      <c r="G1698">
        <v>52.874525097077999</v>
      </c>
      <c r="H1698" t="s">
        <v>24</v>
      </c>
      <c r="J1698" t="s">
        <v>16</v>
      </c>
      <c r="K1698">
        <v>577007.90534456098</v>
      </c>
      <c r="L1698" t="s">
        <v>17</v>
      </c>
      <c r="M1698">
        <v>-206070.446829714</v>
      </c>
      <c r="N1698">
        <v>0.18239381174757599</v>
      </c>
    </row>
    <row r="1699" spans="1:14" x14ac:dyDescent="0.25">
      <c r="A1699" s="2"/>
      <c r="B1699" t="s">
        <v>14</v>
      </c>
      <c r="C1699" s="1">
        <v>46117.999988425923</v>
      </c>
      <c r="D1699">
        <v>25.157514837331</v>
      </c>
      <c r="E1699">
        <v>105242.67126427899</v>
      </c>
      <c r="F1699" s="1">
        <v>46116.099108796298</v>
      </c>
      <c r="G1699">
        <v>52.874525097077999</v>
      </c>
      <c r="H1699" t="s">
        <v>24</v>
      </c>
      <c r="J1699" t="s">
        <v>16</v>
      </c>
      <c r="K1699">
        <v>577007.90534456098</v>
      </c>
      <c r="L1699" t="s">
        <v>17</v>
      </c>
      <c r="M1699">
        <v>0</v>
      </c>
      <c r="N1699">
        <v>0.18239381174757599</v>
      </c>
    </row>
    <row r="1700" spans="1:14" x14ac:dyDescent="0.25">
      <c r="A1700" s="2"/>
      <c r="B1700" t="s">
        <v>14</v>
      </c>
      <c r="C1700" s="1">
        <v>46116.999988425923</v>
      </c>
      <c r="D1700">
        <v>25.157514837331</v>
      </c>
      <c r="E1700">
        <v>105242.67126427899</v>
      </c>
      <c r="F1700" s="1">
        <v>46116.099108796298</v>
      </c>
      <c r="G1700">
        <v>52.874525097077999</v>
      </c>
      <c r="H1700" t="s">
        <v>24</v>
      </c>
      <c r="J1700" t="s">
        <v>16</v>
      </c>
      <c r="K1700">
        <v>577007.90534456098</v>
      </c>
      <c r="L1700" t="s">
        <v>17</v>
      </c>
      <c r="M1700">
        <v>0</v>
      </c>
      <c r="N1700">
        <v>0.18239381174757599</v>
      </c>
    </row>
    <row r="1701" spans="1:14" x14ac:dyDescent="0.25">
      <c r="A1701" s="2"/>
      <c r="B1701" t="s">
        <v>14</v>
      </c>
      <c r="C1701" s="1">
        <v>46115.999988425923</v>
      </c>
      <c r="D1701">
        <v>25.157514837331</v>
      </c>
      <c r="E1701">
        <v>402162.40027225303</v>
      </c>
      <c r="F1701" s="1">
        <v>46113.605474537035</v>
      </c>
      <c r="G1701">
        <v>52.874525097077999</v>
      </c>
      <c r="H1701" t="s">
        <v>24</v>
      </c>
      <c r="J1701" t="s">
        <v>16</v>
      </c>
      <c r="K1701">
        <v>577007.90534456098</v>
      </c>
      <c r="L1701" t="s">
        <v>17</v>
      </c>
      <c r="M1701">
        <v>296919.72900797398</v>
      </c>
      <c r="N1701">
        <v>0.69697901284749597</v>
      </c>
    </row>
    <row r="1702" spans="1:14" x14ac:dyDescent="0.25">
      <c r="A1702" s="2"/>
      <c r="B1702" t="s">
        <v>14</v>
      </c>
      <c r="C1702" s="1">
        <v>46114.999988425923</v>
      </c>
      <c r="D1702">
        <v>25.157514837331</v>
      </c>
      <c r="E1702">
        <v>402162.40027225303</v>
      </c>
      <c r="F1702" s="1">
        <v>46113.605474537035</v>
      </c>
      <c r="G1702">
        <v>52.874525097077999</v>
      </c>
      <c r="H1702" t="s">
        <v>24</v>
      </c>
      <c r="J1702" t="s">
        <v>16</v>
      </c>
      <c r="K1702">
        <v>577007.90534456098</v>
      </c>
      <c r="L1702" t="s">
        <v>17</v>
      </c>
      <c r="M1702">
        <v>0</v>
      </c>
      <c r="N1702">
        <v>0.69697901284749597</v>
      </c>
    </row>
    <row r="1703" spans="1:14" x14ac:dyDescent="0.25">
      <c r="A1703" s="2"/>
      <c r="B1703" t="s">
        <v>14</v>
      </c>
      <c r="C1703" s="1">
        <v>46113.999988425923</v>
      </c>
      <c r="D1703">
        <v>25.157514837331</v>
      </c>
      <c r="E1703">
        <v>402162.40027225303</v>
      </c>
      <c r="F1703" s="1">
        <v>46113.605474537035</v>
      </c>
      <c r="G1703">
        <v>52.874525097077999</v>
      </c>
      <c r="H1703" t="s">
        <v>24</v>
      </c>
      <c r="J1703" t="s">
        <v>16</v>
      </c>
      <c r="K1703">
        <v>577007.90534456098</v>
      </c>
      <c r="L1703" t="s">
        <v>17</v>
      </c>
      <c r="M1703">
        <v>0</v>
      </c>
      <c r="N1703">
        <v>0.69697901284749597</v>
      </c>
    </row>
    <row r="1704" spans="1:14" x14ac:dyDescent="0.25">
      <c r="A1704" s="2"/>
      <c r="B1704" t="s">
        <v>14</v>
      </c>
      <c r="C1704" s="1">
        <v>46112.999988425923</v>
      </c>
      <c r="D1704">
        <v>25.157514837331</v>
      </c>
      <c r="E1704">
        <v>218897.86315733701</v>
      </c>
      <c r="F1704" s="1">
        <v>46110.099803240744</v>
      </c>
      <c r="G1704">
        <v>52.874525097077999</v>
      </c>
      <c r="H1704" t="s">
        <v>24</v>
      </c>
      <c r="J1704" t="s">
        <v>16</v>
      </c>
      <c r="K1704">
        <v>577007.90534456098</v>
      </c>
      <c r="L1704" t="s">
        <v>17</v>
      </c>
      <c r="M1704">
        <v>-183264.53711491599</v>
      </c>
      <c r="N1704">
        <v>0.37936718219938698</v>
      </c>
    </row>
    <row r="1705" spans="1:14" x14ac:dyDescent="0.25">
      <c r="A1705" s="2"/>
      <c r="B1705" t="s">
        <v>14</v>
      </c>
      <c r="C1705" s="1">
        <v>46111.999988425923</v>
      </c>
      <c r="D1705">
        <v>25.157514837331</v>
      </c>
      <c r="E1705">
        <v>218897.86315733701</v>
      </c>
      <c r="F1705" s="1">
        <v>46110.099803240744</v>
      </c>
      <c r="G1705">
        <v>52.874525097077999</v>
      </c>
      <c r="H1705" t="s">
        <v>24</v>
      </c>
      <c r="J1705" t="s">
        <v>16</v>
      </c>
      <c r="K1705">
        <v>577007.90534456098</v>
      </c>
      <c r="L1705" t="s">
        <v>17</v>
      </c>
      <c r="M1705">
        <v>0</v>
      </c>
      <c r="N1705">
        <v>0.37936718219938698</v>
      </c>
    </row>
    <row r="1706" spans="1:14" x14ac:dyDescent="0.25">
      <c r="A1706" s="2"/>
      <c r="B1706" t="s">
        <v>14</v>
      </c>
      <c r="C1706" s="1">
        <v>46110.999988425923</v>
      </c>
      <c r="D1706">
        <v>25.157514837331</v>
      </c>
      <c r="E1706">
        <v>218897.86315733701</v>
      </c>
      <c r="F1706" s="1">
        <v>46110.099803240744</v>
      </c>
      <c r="G1706">
        <v>52.874525097077999</v>
      </c>
      <c r="H1706" t="s">
        <v>24</v>
      </c>
      <c r="J1706" t="s">
        <v>16</v>
      </c>
      <c r="K1706">
        <v>577007.90534456098</v>
      </c>
      <c r="L1706" t="s">
        <v>17</v>
      </c>
      <c r="M1706">
        <v>0</v>
      </c>
      <c r="N1706">
        <v>0.37936718219938698</v>
      </c>
    </row>
    <row r="1707" spans="1:14" x14ac:dyDescent="0.25">
      <c r="A1707" s="2"/>
      <c r="B1707" t="s">
        <v>14</v>
      </c>
      <c r="C1707" s="1">
        <v>46109.999988425923</v>
      </c>
      <c r="D1707">
        <v>25.157514837331</v>
      </c>
      <c r="E1707">
        <v>207756.95282594301</v>
      </c>
      <c r="F1707" s="1">
        <v>46107.606296296297</v>
      </c>
      <c r="G1707">
        <v>52.874525097077999</v>
      </c>
      <c r="H1707" t="s">
        <v>24</v>
      </c>
      <c r="J1707" t="s">
        <v>16</v>
      </c>
      <c r="K1707">
        <v>577007.90534456098</v>
      </c>
      <c r="L1707" t="s">
        <v>17</v>
      </c>
      <c r="M1707">
        <v>-11140.9103313941</v>
      </c>
      <c r="N1707">
        <v>0.36005910993867601</v>
      </c>
    </row>
    <row r="1708" spans="1:14" x14ac:dyDescent="0.25">
      <c r="A1708" s="2"/>
      <c r="B1708" t="s">
        <v>14</v>
      </c>
      <c r="C1708" s="1">
        <v>46108.999988425923</v>
      </c>
      <c r="D1708">
        <v>25.157514837331</v>
      </c>
      <c r="E1708">
        <v>207756.95282594301</v>
      </c>
      <c r="F1708" s="1">
        <v>46107.606296296297</v>
      </c>
      <c r="G1708">
        <v>52.874525097077999</v>
      </c>
      <c r="H1708" t="s">
        <v>24</v>
      </c>
      <c r="J1708" t="s">
        <v>16</v>
      </c>
      <c r="K1708">
        <v>577007.90534456098</v>
      </c>
      <c r="L1708" t="s">
        <v>17</v>
      </c>
      <c r="M1708">
        <v>0</v>
      </c>
      <c r="N1708">
        <v>0.36005910993867601</v>
      </c>
    </row>
    <row r="1709" spans="1:14" x14ac:dyDescent="0.25">
      <c r="A1709" s="2"/>
      <c r="B1709" t="s">
        <v>14</v>
      </c>
      <c r="C1709" s="1">
        <v>46107.999988425923</v>
      </c>
      <c r="D1709">
        <v>25.157514837331</v>
      </c>
      <c r="E1709">
        <v>207756.95282594301</v>
      </c>
      <c r="F1709" s="1">
        <v>46107.606296296297</v>
      </c>
      <c r="G1709">
        <v>52.874525097077999</v>
      </c>
      <c r="H1709" t="s">
        <v>24</v>
      </c>
      <c r="J1709" t="s">
        <v>16</v>
      </c>
      <c r="K1709">
        <v>577007.90534456098</v>
      </c>
      <c r="L1709" t="s">
        <v>17</v>
      </c>
      <c r="M1709">
        <v>0</v>
      </c>
      <c r="N1709">
        <v>0.36005910993867601</v>
      </c>
    </row>
    <row r="1710" spans="1:14" x14ac:dyDescent="0.25">
      <c r="A1710" s="2"/>
      <c r="B1710" t="s">
        <v>14</v>
      </c>
      <c r="C1710" s="1">
        <v>46106.999988425923</v>
      </c>
      <c r="D1710">
        <v>25.157514837331</v>
      </c>
      <c r="E1710">
        <v>178553.96515053601</v>
      </c>
      <c r="F1710" s="1">
        <v>46104.099108796298</v>
      </c>
      <c r="G1710">
        <v>52.874525097077999</v>
      </c>
      <c r="H1710" t="s">
        <v>24</v>
      </c>
      <c r="J1710" t="s">
        <v>16</v>
      </c>
      <c r="K1710">
        <v>577007.90534456098</v>
      </c>
      <c r="L1710" t="s">
        <v>17</v>
      </c>
      <c r="M1710">
        <v>-29202.987675406701</v>
      </c>
      <c r="N1710">
        <v>0.30944803961379402</v>
      </c>
    </row>
    <row r="1711" spans="1:14" x14ac:dyDescent="0.25">
      <c r="A1711" s="2"/>
      <c r="B1711" t="s">
        <v>14</v>
      </c>
      <c r="C1711" s="1">
        <v>46105.999988425923</v>
      </c>
      <c r="D1711">
        <v>25.157514837331</v>
      </c>
      <c r="E1711">
        <v>178553.96515053601</v>
      </c>
      <c r="F1711" s="1">
        <v>46104.099108796298</v>
      </c>
      <c r="G1711">
        <v>52.874525097077999</v>
      </c>
      <c r="H1711" t="s">
        <v>24</v>
      </c>
      <c r="J1711" t="s">
        <v>16</v>
      </c>
      <c r="K1711">
        <v>577007.90534456098</v>
      </c>
      <c r="L1711" t="s">
        <v>17</v>
      </c>
      <c r="M1711">
        <v>0</v>
      </c>
      <c r="N1711">
        <v>0.30944803961379402</v>
      </c>
    </row>
    <row r="1712" spans="1:14" x14ac:dyDescent="0.25">
      <c r="A1712" s="2"/>
      <c r="B1712" t="s">
        <v>14</v>
      </c>
      <c r="C1712" s="1">
        <v>46104.999988425923</v>
      </c>
      <c r="D1712">
        <v>25.157514837331</v>
      </c>
      <c r="E1712">
        <v>178553.96515053601</v>
      </c>
      <c r="F1712" s="1">
        <v>46104.099108796298</v>
      </c>
      <c r="G1712">
        <v>52.874525097077999</v>
      </c>
      <c r="H1712" t="s">
        <v>24</v>
      </c>
      <c r="J1712" t="s">
        <v>16</v>
      </c>
      <c r="K1712">
        <v>577007.90534456098</v>
      </c>
      <c r="L1712" t="s">
        <v>17</v>
      </c>
      <c r="M1712">
        <v>0</v>
      </c>
      <c r="N1712">
        <v>0.30944803961379402</v>
      </c>
    </row>
    <row r="1713" spans="1:14" x14ac:dyDescent="0.25">
      <c r="A1713" s="2"/>
      <c r="B1713" t="s">
        <v>14</v>
      </c>
      <c r="C1713" s="1">
        <v>46103.999988425923</v>
      </c>
      <c r="D1713">
        <v>25.157514837331</v>
      </c>
      <c r="E1713">
        <v>107438.61175079099</v>
      </c>
      <c r="F1713" s="1">
        <v>46101.605474537035</v>
      </c>
      <c r="G1713">
        <v>52.874525097077999</v>
      </c>
      <c r="H1713" t="s">
        <v>24</v>
      </c>
      <c r="J1713" t="s">
        <v>16</v>
      </c>
      <c r="K1713">
        <v>577007.90534456098</v>
      </c>
      <c r="L1713" t="s">
        <v>17</v>
      </c>
      <c r="M1713">
        <v>-71115.353399744301</v>
      </c>
      <c r="N1713">
        <v>0.18619954901074401</v>
      </c>
    </row>
    <row r="1714" spans="1:14" x14ac:dyDescent="0.25">
      <c r="A1714" s="2"/>
      <c r="B1714" t="s">
        <v>14</v>
      </c>
      <c r="C1714" s="1">
        <v>46102.999988425923</v>
      </c>
      <c r="D1714">
        <v>25.157514837331</v>
      </c>
      <c r="E1714">
        <v>107438.61175079099</v>
      </c>
      <c r="F1714" s="1">
        <v>46101.605474537035</v>
      </c>
      <c r="G1714">
        <v>52.874525097077999</v>
      </c>
      <c r="H1714" t="s">
        <v>24</v>
      </c>
      <c r="J1714" t="s">
        <v>16</v>
      </c>
      <c r="K1714">
        <v>577007.90534456098</v>
      </c>
      <c r="L1714" t="s">
        <v>17</v>
      </c>
      <c r="M1714">
        <v>0</v>
      </c>
      <c r="N1714">
        <v>0.18619954901074401</v>
      </c>
    </row>
    <row r="1715" spans="1:14" x14ac:dyDescent="0.25">
      <c r="A1715" s="2"/>
      <c r="B1715" t="s">
        <v>14</v>
      </c>
      <c r="C1715" s="1">
        <v>46101.999988425923</v>
      </c>
      <c r="D1715">
        <v>25.157514837331</v>
      </c>
      <c r="E1715">
        <v>107438.61175079099</v>
      </c>
      <c r="F1715" s="1">
        <v>46101.605474537035</v>
      </c>
      <c r="G1715">
        <v>52.874525097077999</v>
      </c>
      <c r="H1715" t="s">
        <v>24</v>
      </c>
      <c r="J1715" t="s">
        <v>16</v>
      </c>
      <c r="K1715">
        <v>577007.90534456098</v>
      </c>
      <c r="L1715" t="s">
        <v>17</v>
      </c>
      <c r="M1715">
        <v>0</v>
      </c>
      <c r="N1715">
        <v>0.18619954901074401</v>
      </c>
    </row>
    <row r="1716" spans="1:14" x14ac:dyDescent="0.25">
      <c r="A1716" s="2"/>
      <c r="B1716" t="s">
        <v>14</v>
      </c>
      <c r="C1716" s="1">
        <v>46100.999988425923</v>
      </c>
      <c r="D1716">
        <v>25.157514837331</v>
      </c>
      <c r="E1716">
        <v>107609.57652150901</v>
      </c>
      <c r="F1716" s="1">
        <v>46098.099803240744</v>
      </c>
      <c r="G1716">
        <v>52.874525097077999</v>
      </c>
      <c r="H1716" t="s">
        <v>24</v>
      </c>
      <c r="J1716" t="s">
        <v>16</v>
      </c>
      <c r="K1716">
        <v>577007.90534456098</v>
      </c>
      <c r="L1716" t="s">
        <v>17</v>
      </c>
      <c r="M1716">
        <v>170.96477071783701</v>
      </c>
      <c r="N1716">
        <v>0.18649584438059</v>
      </c>
    </row>
    <row r="1717" spans="1:14" x14ac:dyDescent="0.25">
      <c r="A1717" s="2"/>
      <c r="B1717" t="s">
        <v>14</v>
      </c>
      <c r="C1717" s="1">
        <v>46099.999988425923</v>
      </c>
      <c r="D1717">
        <v>25.157514837331</v>
      </c>
      <c r="E1717">
        <v>107609.57652150901</v>
      </c>
      <c r="F1717" s="1">
        <v>46098.099803240744</v>
      </c>
      <c r="G1717">
        <v>52.874525097077999</v>
      </c>
      <c r="H1717" t="s">
        <v>24</v>
      </c>
      <c r="J1717" t="s">
        <v>16</v>
      </c>
      <c r="K1717">
        <v>577007.90534456098</v>
      </c>
      <c r="L1717" t="s">
        <v>17</v>
      </c>
      <c r="M1717">
        <v>0</v>
      </c>
      <c r="N1717">
        <v>0.18649584438059</v>
      </c>
    </row>
    <row r="1718" spans="1:14" x14ac:dyDescent="0.25">
      <c r="A1718" s="2"/>
      <c r="B1718" t="s">
        <v>14</v>
      </c>
      <c r="C1718" s="1">
        <v>46098.999988425923</v>
      </c>
      <c r="D1718">
        <v>25.157514837331</v>
      </c>
      <c r="E1718">
        <v>107609.57652150901</v>
      </c>
      <c r="F1718" s="1">
        <v>46098.099803240744</v>
      </c>
      <c r="G1718">
        <v>52.874525097077999</v>
      </c>
      <c r="H1718" t="s">
        <v>24</v>
      </c>
      <c r="J1718" t="s">
        <v>16</v>
      </c>
      <c r="K1718">
        <v>577007.90534456098</v>
      </c>
      <c r="L1718" t="s">
        <v>17</v>
      </c>
      <c r="M1718">
        <v>0</v>
      </c>
      <c r="N1718">
        <v>0.18649584438059</v>
      </c>
    </row>
    <row r="1719" spans="1:14" x14ac:dyDescent="0.25">
      <c r="A1719" s="2"/>
      <c r="B1719" t="s">
        <v>14</v>
      </c>
      <c r="C1719" s="1">
        <v>46097.999988425923</v>
      </c>
      <c r="D1719">
        <v>25.157514837331</v>
      </c>
      <c r="E1719">
        <v>104073.46814415199</v>
      </c>
      <c r="F1719" s="1">
        <v>46095.606296296297</v>
      </c>
      <c r="G1719">
        <v>52.874525097077999</v>
      </c>
      <c r="H1719" t="s">
        <v>24</v>
      </c>
      <c r="J1719" t="s">
        <v>16</v>
      </c>
      <c r="K1719">
        <v>577007.90534456098</v>
      </c>
      <c r="L1719" t="s">
        <v>17</v>
      </c>
      <c r="M1719">
        <v>-3536.1083773568898</v>
      </c>
      <c r="N1719">
        <v>0.18036749094798801</v>
      </c>
    </row>
    <row r="1720" spans="1:14" x14ac:dyDescent="0.25">
      <c r="A1720" s="2"/>
      <c r="B1720" t="s">
        <v>14</v>
      </c>
      <c r="C1720" s="1">
        <v>46096.999988425923</v>
      </c>
      <c r="D1720">
        <v>25.157514837331</v>
      </c>
      <c r="E1720">
        <v>104073.46814415199</v>
      </c>
      <c r="F1720" s="1">
        <v>46095.606296296297</v>
      </c>
      <c r="G1720">
        <v>52.874525097077999</v>
      </c>
      <c r="H1720" t="s">
        <v>24</v>
      </c>
      <c r="J1720" t="s">
        <v>16</v>
      </c>
      <c r="K1720">
        <v>577007.90534456098</v>
      </c>
      <c r="L1720" t="s">
        <v>17</v>
      </c>
      <c r="M1720">
        <v>0</v>
      </c>
      <c r="N1720">
        <v>0.18036749094798801</v>
      </c>
    </row>
    <row r="1721" spans="1:14" x14ac:dyDescent="0.25">
      <c r="A1721" s="2"/>
      <c r="B1721" t="s">
        <v>14</v>
      </c>
      <c r="C1721" s="1">
        <v>46095.999988425923</v>
      </c>
      <c r="D1721">
        <v>25.157514837331</v>
      </c>
      <c r="E1721">
        <v>104073.46814415199</v>
      </c>
      <c r="F1721" s="1">
        <v>46095.606296296297</v>
      </c>
      <c r="G1721">
        <v>52.874525097077999</v>
      </c>
      <c r="H1721" t="s">
        <v>24</v>
      </c>
      <c r="J1721" t="s">
        <v>16</v>
      </c>
      <c r="K1721">
        <v>577007.90534456098</v>
      </c>
      <c r="L1721" t="s">
        <v>17</v>
      </c>
      <c r="M1721">
        <v>0</v>
      </c>
      <c r="N1721">
        <v>0.18036749094798801</v>
      </c>
    </row>
    <row r="1722" spans="1:14" x14ac:dyDescent="0.25">
      <c r="A1722" s="2"/>
      <c r="B1722" t="s">
        <v>14</v>
      </c>
      <c r="C1722" s="1">
        <v>46094.999988425923</v>
      </c>
      <c r="D1722">
        <v>25.157514837331</v>
      </c>
      <c r="E1722">
        <v>102462.606813363</v>
      </c>
      <c r="F1722" s="1">
        <v>46092.099097222221</v>
      </c>
      <c r="G1722">
        <v>52.874525097077999</v>
      </c>
      <c r="H1722" t="s">
        <v>24</v>
      </c>
      <c r="J1722" t="s">
        <v>16</v>
      </c>
      <c r="K1722">
        <v>577007.90534456098</v>
      </c>
      <c r="L1722" t="s">
        <v>17</v>
      </c>
      <c r="M1722">
        <v>-1610.8613307893299</v>
      </c>
      <c r="N1722">
        <v>0.17757574179538799</v>
      </c>
    </row>
    <row r="1723" spans="1:14" x14ac:dyDescent="0.25">
      <c r="A1723" s="2"/>
      <c r="B1723" t="s">
        <v>14</v>
      </c>
      <c r="C1723" s="1">
        <v>46093.999988425923</v>
      </c>
      <c r="D1723">
        <v>25.157514837331</v>
      </c>
      <c r="E1723">
        <v>102462.606813363</v>
      </c>
      <c r="F1723" s="1">
        <v>46092.099097222221</v>
      </c>
      <c r="G1723">
        <v>52.874525097077999</v>
      </c>
      <c r="H1723" t="s">
        <v>24</v>
      </c>
      <c r="J1723" t="s">
        <v>16</v>
      </c>
      <c r="K1723">
        <v>577007.90534456098</v>
      </c>
      <c r="L1723" t="s">
        <v>17</v>
      </c>
      <c r="M1723">
        <v>0</v>
      </c>
      <c r="N1723">
        <v>0.17757574179538799</v>
      </c>
    </row>
    <row r="1724" spans="1:14" x14ac:dyDescent="0.25">
      <c r="A1724" s="2"/>
      <c r="B1724" t="s">
        <v>14</v>
      </c>
      <c r="C1724" s="1">
        <v>46092.999988425923</v>
      </c>
      <c r="D1724">
        <v>25.157514837331</v>
      </c>
      <c r="E1724">
        <v>102462.606813363</v>
      </c>
      <c r="F1724" s="1">
        <v>46092.099097222221</v>
      </c>
      <c r="G1724">
        <v>52.874525097077999</v>
      </c>
      <c r="H1724" t="s">
        <v>24</v>
      </c>
      <c r="J1724" t="s">
        <v>16</v>
      </c>
      <c r="K1724">
        <v>577007.90534456098</v>
      </c>
      <c r="L1724" t="s">
        <v>17</v>
      </c>
      <c r="M1724">
        <v>0</v>
      </c>
      <c r="N1724">
        <v>0.17757574179538799</v>
      </c>
    </row>
    <row r="1725" spans="1:14" x14ac:dyDescent="0.25">
      <c r="A1725" s="2"/>
      <c r="B1725" t="s">
        <v>14</v>
      </c>
      <c r="C1725" s="1">
        <v>46091.999988425923</v>
      </c>
      <c r="D1725">
        <v>25.157514837331</v>
      </c>
      <c r="E1725">
        <v>106469.91890151201</v>
      </c>
      <c r="F1725" s="1">
        <v>46089.605474537035</v>
      </c>
      <c r="G1725">
        <v>52.874525097077999</v>
      </c>
      <c r="H1725" t="s">
        <v>24</v>
      </c>
      <c r="J1725" t="s">
        <v>16</v>
      </c>
      <c r="K1725">
        <v>577007.90534456098</v>
      </c>
      <c r="L1725" t="s">
        <v>17</v>
      </c>
      <c r="M1725">
        <v>4007.3120881486602</v>
      </c>
      <c r="N1725">
        <v>0.18452072825229901</v>
      </c>
    </row>
    <row r="1726" spans="1:14" x14ac:dyDescent="0.25">
      <c r="A1726" s="2"/>
      <c r="B1726" t="s">
        <v>14</v>
      </c>
      <c r="C1726" s="1">
        <v>46090.999988425923</v>
      </c>
      <c r="D1726">
        <v>25.157514837331</v>
      </c>
      <c r="E1726">
        <v>106469.91890151201</v>
      </c>
      <c r="F1726" s="1">
        <v>46089.605474537035</v>
      </c>
      <c r="G1726">
        <v>52.874525097077999</v>
      </c>
      <c r="H1726" t="s">
        <v>24</v>
      </c>
      <c r="J1726" t="s">
        <v>16</v>
      </c>
      <c r="K1726">
        <v>577007.90534456098</v>
      </c>
      <c r="L1726" t="s">
        <v>17</v>
      </c>
      <c r="M1726">
        <v>0</v>
      </c>
      <c r="N1726">
        <v>0.18452072825229901</v>
      </c>
    </row>
    <row r="1727" spans="1:14" x14ac:dyDescent="0.25">
      <c r="A1727" s="2"/>
      <c r="B1727" t="s">
        <v>14</v>
      </c>
      <c r="C1727" s="1">
        <v>46089.999988425923</v>
      </c>
      <c r="D1727">
        <v>25.157514837331</v>
      </c>
      <c r="E1727">
        <v>106469.91890151201</v>
      </c>
      <c r="F1727" s="1">
        <v>46089.605474537035</v>
      </c>
      <c r="G1727">
        <v>52.874525097077999</v>
      </c>
      <c r="H1727" t="s">
        <v>24</v>
      </c>
      <c r="J1727" t="s">
        <v>16</v>
      </c>
      <c r="K1727">
        <v>577007.90534456098</v>
      </c>
      <c r="L1727" t="s">
        <v>17</v>
      </c>
      <c r="M1727">
        <v>0</v>
      </c>
      <c r="N1727">
        <v>0.18452072825229901</v>
      </c>
    </row>
    <row r="1728" spans="1:14" x14ac:dyDescent="0.25">
      <c r="A1728" s="2"/>
      <c r="B1728" t="s">
        <v>14</v>
      </c>
      <c r="C1728" s="1">
        <v>46088.999988425923</v>
      </c>
      <c r="D1728">
        <v>25.157514837331</v>
      </c>
      <c r="E1728">
        <v>577007.90534456098</v>
      </c>
      <c r="F1728" s="1">
        <v>46086.099803240744</v>
      </c>
      <c r="G1728">
        <v>52.874525097077999</v>
      </c>
      <c r="H1728" t="s">
        <v>24</v>
      </c>
      <c r="J1728" t="s">
        <v>16</v>
      </c>
      <c r="K1728">
        <v>577007.90534456098</v>
      </c>
      <c r="L1728" t="s">
        <v>17</v>
      </c>
      <c r="M1728">
        <v>470537.98644304898</v>
      </c>
      <c r="N1728">
        <v>1</v>
      </c>
    </row>
    <row r="1729" spans="1:14" x14ac:dyDescent="0.25">
      <c r="A1729" s="2"/>
      <c r="B1729" t="s">
        <v>14</v>
      </c>
      <c r="C1729" s="1">
        <v>46087.999988425923</v>
      </c>
      <c r="D1729">
        <v>25.157514837331</v>
      </c>
      <c r="E1729">
        <v>577007.90534456098</v>
      </c>
      <c r="F1729" s="1">
        <v>46086.099803240744</v>
      </c>
      <c r="G1729">
        <v>52.874525097077999</v>
      </c>
      <c r="H1729" t="s">
        <v>24</v>
      </c>
      <c r="J1729" t="s">
        <v>16</v>
      </c>
      <c r="K1729">
        <v>577007.90534456098</v>
      </c>
      <c r="L1729" t="s">
        <v>17</v>
      </c>
      <c r="M1729">
        <v>0</v>
      </c>
      <c r="N1729">
        <v>1</v>
      </c>
    </row>
    <row r="1730" spans="1:14" x14ac:dyDescent="0.25">
      <c r="A1730" s="2"/>
      <c r="B1730" t="s">
        <v>14</v>
      </c>
      <c r="C1730" s="1">
        <v>46086.999988425923</v>
      </c>
      <c r="D1730">
        <v>25.157514837331</v>
      </c>
      <c r="E1730">
        <v>577007.90534456098</v>
      </c>
      <c r="F1730" s="1">
        <v>46086.099803240744</v>
      </c>
      <c r="G1730">
        <v>52.874525097077999</v>
      </c>
      <c r="H1730" t="s">
        <v>24</v>
      </c>
      <c r="J1730" t="s">
        <v>16</v>
      </c>
      <c r="K1730">
        <v>577007.90534456098</v>
      </c>
      <c r="L1730" t="s">
        <v>17</v>
      </c>
      <c r="M1730">
        <v>0</v>
      </c>
      <c r="N1730">
        <v>1</v>
      </c>
    </row>
    <row r="1731" spans="1:14" x14ac:dyDescent="0.25">
      <c r="A1731" s="2"/>
      <c r="B1731" t="s">
        <v>14</v>
      </c>
      <c r="C1731" s="1">
        <v>46085.999988425923</v>
      </c>
      <c r="D1731">
        <v>25.157514837331</v>
      </c>
      <c r="E1731">
        <v>502831.01670420798</v>
      </c>
      <c r="F1731" s="1">
        <v>46083.60628472222</v>
      </c>
      <c r="G1731">
        <v>52.874525097077999</v>
      </c>
      <c r="H1731" t="s">
        <v>24</v>
      </c>
      <c r="J1731" t="s">
        <v>16</v>
      </c>
      <c r="K1731">
        <v>577007.90534456098</v>
      </c>
      <c r="L1731" t="s">
        <v>17</v>
      </c>
      <c r="M1731">
        <v>-74176.888640353005</v>
      </c>
      <c r="N1731">
        <v>0.87144562846836804</v>
      </c>
    </row>
    <row r="1732" spans="1:14" x14ac:dyDescent="0.25">
      <c r="A1732" s="2"/>
      <c r="B1732" t="s">
        <v>14</v>
      </c>
      <c r="C1732" s="1">
        <v>46084.999988425923</v>
      </c>
      <c r="D1732">
        <v>25.157514837331</v>
      </c>
      <c r="E1732">
        <v>502831.01670420798</v>
      </c>
      <c r="F1732" s="1">
        <v>46083.60628472222</v>
      </c>
      <c r="G1732">
        <v>52.874525097077999</v>
      </c>
      <c r="H1732" t="s">
        <v>24</v>
      </c>
      <c r="J1732" t="s">
        <v>16</v>
      </c>
      <c r="K1732">
        <v>577007.90534456098</v>
      </c>
      <c r="L1732" t="s">
        <v>17</v>
      </c>
      <c r="M1732">
        <v>0</v>
      </c>
      <c r="N1732">
        <v>0.87144562846836804</v>
      </c>
    </row>
    <row r="1733" spans="1:14" x14ac:dyDescent="0.25">
      <c r="A1733" s="2"/>
      <c r="B1733" t="s">
        <v>14</v>
      </c>
      <c r="C1733" s="1">
        <v>46083.999988425923</v>
      </c>
      <c r="D1733">
        <v>25.157514837331</v>
      </c>
      <c r="E1733">
        <v>502831.01670420798</v>
      </c>
      <c r="F1733" s="1">
        <v>46083.60628472222</v>
      </c>
      <c r="G1733">
        <v>52.874525097077999</v>
      </c>
      <c r="H1733" t="s">
        <v>24</v>
      </c>
      <c r="J1733" t="s">
        <v>16</v>
      </c>
      <c r="K1733">
        <v>577007.90534456098</v>
      </c>
      <c r="L1733" t="s">
        <v>17</v>
      </c>
      <c r="M1733">
        <v>0</v>
      </c>
      <c r="N1733">
        <v>0.87144562846836804</v>
      </c>
    </row>
    <row r="1734" spans="1:14" x14ac:dyDescent="0.25">
      <c r="A1734" s="2"/>
      <c r="B1734" t="s">
        <v>14</v>
      </c>
      <c r="C1734" s="1">
        <v>46082.999988425923</v>
      </c>
      <c r="D1734">
        <v>25.157514837331</v>
      </c>
      <c r="E1734">
        <v>178169.33660839501</v>
      </c>
      <c r="F1734" s="1">
        <v>46080.099097222221</v>
      </c>
      <c r="G1734">
        <v>52.874525097077999</v>
      </c>
      <c r="H1734" t="s">
        <v>24</v>
      </c>
      <c r="J1734" t="s">
        <v>16</v>
      </c>
      <c r="K1734">
        <v>577007.90534456098</v>
      </c>
      <c r="L1734" t="s">
        <v>17</v>
      </c>
      <c r="M1734">
        <v>-324661.680095813</v>
      </c>
      <c r="N1734">
        <v>0.308781448153645</v>
      </c>
    </row>
    <row r="1735" spans="1:14" x14ac:dyDescent="0.25">
      <c r="A1735" s="2"/>
      <c r="B1735" t="s">
        <v>14</v>
      </c>
      <c r="C1735" s="1">
        <v>46081.999988425923</v>
      </c>
      <c r="D1735">
        <v>25.157514837331</v>
      </c>
      <c r="E1735">
        <v>178169.33660839501</v>
      </c>
      <c r="F1735" s="1">
        <v>46080.099097222221</v>
      </c>
      <c r="G1735">
        <v>52.874525097077999</v>
      </c>
      <c r="H1735" t="s">
        <v>24</v>
      </c>
      <c r="J1735" t="s">
        <v>16</v>
      </c>
      <c r="K1735">
        <v>577007.90534456098</v>
      </c>
      <c r="L1735" t="s">
        <v>17</v>
      </c>
      <c r="M1735">
        <v>0</v>
      </c>
      <c r="N1735">
        <v>0.308781448153645</v>
      </c>
    </row>
    <row r="1736" spans="1:14" x14ac:dyDescent="0.25">
      <c r="A1736" s="2"/>
      <c r="B1736" t="s">
        <v>14</v>
      </c>
      <c r="C1736" s="1">
        <v>46080.999988425923</v>
      </c>
      <c r="D1736">
        <v>25.157514837331</v>
      </c>
      <c r="E1736">
        <v>178169.33660839501</v>
      </c>
      <c r="F1736" s="1">
        <v>46080.099097222221</v>
      </c>
      <c r="G1736">
        <v>52.874525097077999</v>
      </c>
      <c r="H1736" t="s">
        <v>24</v>
      </c>
      <c r="J1736" t="s">
        <v>16</v>
      </c>
      <c r="K1736">
        <v>577007.90534456098</v>
      </c>
      <c r="L1736" t="s">
        <v>17</v>
      </c>
      <c r="M1736">
        <v>0</v>
      </c>
      <c r="N1736">
        <v>0.308781448153645</v>
      </c>
    </row>
    <row r="1737" spans="1:14" x14ac:dyDescent="0.25">
      <c r="A1737" s="2"/>
      <c r="B1737" t="s">
        <v>14</v>
      </c>
      <c r="C1737" s="1">
        <v>46079.999988425923</v>
      </c>
      <c r="D1737">
        <v>25.157514837331</v>
      </c>
      <c r="E1737">
        <v>577007.90534456098</v>
      </c>
      <c r="F1737" s="1">
        <v>46077.605474537035</v>
      </c>
      <c r="G1737">
        <v>52.874525097077999</v>
      </c>
      <c r="H1737" t="s">
        <v>24</v>
      </c>
      <c r="J1737" t="s">
        <v>16</v>
      </c>
      <c r="K1737">
        <v>577007.90534456098</v>
      </c>
      <c r="L1737" t="s">
        <v>17</v>
      </c>
      <c r="M1737">
        <v>398838.56873616599</v>
      </c>
      <c r="N1737">
        <v>1</v>
      </c>
    </row>
    <row r="1738" spans="1:14" x14ac:dyDescent="0.25">
      <c r="A1738" s="2"/>
      <c r="B1738" t="s">
        <v>14</v>
      </c>
      <c r="C1738" s="1">
        <v>46078.999988425923</v>
      </c>
      <c r="D1738">
        <v>25.157514837331</v>
      </c>
      <c r="E1738">
        <v>577007.90534456098</v>
      </c>
      <c r="F1738" s="1">
        <v>46077.605474537035</v>
      </c>
      <c r="G1738">
        <v>52.874525097077999</v>
      </c>
      <c r="H1738" t="s">
        <v>24</v>
      </c>
      <c r="J1738" t="s">
        <v>16</v>
      </c>
      <c r="K1738">
        <v>577007.90534456098</v>
      </c>
      <c r="L1738" t="s">
        <v>17</v>
      </c>
      <c r="M1738">
        <v>0</v>
      </c>
      <c r="N1738">
        <v>1</v>
      </c>
    </row>
    <row r="1739" spans="1:14" x14ac:dyDescent="0.25">
      <c r="A1739" s="2"/>
      <c r="B1739" t="s">
        <v>14</v>
      </c>
      <c r="C1739" s="1">
        <v>46077.999988425923</v>
      </c>
      <c r="D1739">
        <v>25.157514837331</v>
      </c>
      <c r="E1739">
        <v>577007.90534456098</v>
      </c>
      <c r="F1739" s="1">
        <v>46077.605474537035</v>
      </c>
      <c r="G1739">
        <v>52.874525097077999</v>
      </c>
      <c r="H1739" t="s">
        <v>24</v>
      </c>
      <c r="J1739" t="s">
        <v>16</v>
      </c>
      <c r="K1739">
        <v>577007.90534456098</v>
      </c>
      <c r="L1739" t="s">
        <v>17</v>
      </c>
      <c r="M1739">
        <v>0</v>
      </c>
      <c r="N1739">
        <v>1</v>
      </c>
    </row>
    <row r="1740" spans="1:14" x14ac:dyDescent="0.25">
      <c r="A1740" s="2"/>
      <c r="B1740" t="s">
        <v>14</v>
      </c>
      <c r="C1740" s="1">
        <v>46076.999988425923</v>
      </c>
      <c r="D1740">
        <v>25.157514837331</v>
      </c>
      <c r="E1740">
        <v>577007.90534456098</v>
      </c>
      <c r="F1740" s="1">
        <v>46074.099803240744</v>
      </c>
      <c r="G1740">
        <v>52.874525097077999</v>
      </c>
      <c r="H1740" t="s">
        <v>24</v>
      </c>
      <c r="J1740" t="s">
        <v>16</v>
      </c>
      <c r="K1740">
        <v>577007.90534456098</v>
      </c>
      <c r="L1740" t="s">
        <v>17</v>
      </c>
      <c r="M1740">
        <v>0</v>
      </c>
      <c r="N1740">
        <v>1</v>
      </c>
    </row>
    <row r="1741" spans="1:14" x14ac:dyDescent="0.25">
      <c r="A1741" s="2"/>
      <c r="B1741" t="s">
        <v>14</v>
      </c>
      <c r="C1741" s="1">
        <v>46075.999988425923</v>
      </c>
      <c r="D1741">
        <v>25.157514837331</v>
      </c>
      <c r="E1741">
        <v>577007.90534456098</v>
      </c>
      <c r="F1741" s="1">
        <v>46074.099803240744</v>
      </c>
      <c r="G1741">
        <v>52.874525097077999</v>
      </c>
      <c r="H1741" t="s">
        <v>24</v>
      </c>
      <c r="J1741" t="s">
        <v>16</v>
      </c>
      <c r="K1741">
        <v>577007.90534456098</v>
      </c>
      <c r="L1741" t="s">
        <v>17</v>
      </c>
      <c r="M1741">
        <v>0</v>
      </c>
      <c r="N1741">
        <v>1</v>
      </c>
    </row>
    <row r="1742" spans="1:14" x14ac:dyDescent="0.25">
      <c r="A1742" s="2"/>
      <c r="B1742" t="s">
        <v>14</v>
      </c>
      <c r="C1742" s="1">
        <v>46074.999988425923</v>
      </c>
      <c r="D1742">
        <v>25.157514837331</v>
      </c>
      <c r="E1742">
        <v>577007.90534456098</v>
      </c>
      <c r="F1742" s="1">
        <v>46074.099803240744</v>
      </c>
      <c r="G1742">
        <v>52.874525097077999</v>
      </c>
      <c r="H1742" t="s">
        <v>24</v>
      </c>
      <c r="J1742" t="s">
        <v>16</v>
      </c>
      <c r="K1742">
        <v>577007.90534456098</v>
      </c>
      <c r="L1742" t="s">
        <v>17</v>
      </c>
      <c r="M1742">
        <v>0</v>
      </c>
      <c r="N1742">
        <v>1</v>
      </c>
    </row>
    <row r="1743" spans="1:14" x14ac:dyDescent="0.25">
      <c r="A1743" s="2"/>
      <c r="B1743" t="s">
        <v>14</v>
      </c>
      <c r="C1743" s="1">
        <v>46073.999988425923</v>
      </c>
      <c r="D1743">
        <v>25.157514837331</v>
      </c>
      <c r="E1743">
        <v>118433.16044434901</v>
      </c>
      <c r="F1743" s="1">
        <v>46071.606296296297</v>
      </c>
      <c r="G1743">
        <v>52.874525097077999</v>
      </c>
      <c r="H1743" t="s">
        <v>24</v>
      </c>
      <c r="J1743" t="s">
        <v>16</v>
      </c>
      <c r="K1743">
        <v>577007.90534456098</v>
      </c>
      <c r="L1743" t="s">
        <v>17</v>
      </c>
      <c r="M1743">
        <v>-458574.74490021099</v>
      </c>
      <c r="N1743">
        <v>0.205253965062449</v>
      </c>
    </row>
    <row r="1744" spans="1:14" x14ac:dyDescent="0.25">
      <c r="A1744" s="2"/>
      <c r="B1744" t="s">
        <v>14</v>
      </c>
      <c r="C1744" s="1">
        <v>46072.999988425923</v>
      </c>
      <c r="D1744">
        <v>25.157514837331</v>
      </c>
      <c r="E1744">
        <v>118433.16044434901</v>
      </c>
      <c r="F1744" s="1">
        <v>46071.606296296297</v>
      </c>
      <c r="G1744">
        <v>52.874525097077999</v>
      </c>
      <c r="H1744" t="s">
        <v>24</v>
      </c>
      <c r="J1744" t="s">
        <v>16</v>
      </c>
      <c r="K1744">
        <v>577007.90534456098</v>
      </c>
      <c r="L1744" t="s">
        <v>17</v>
      </c>
      <c r="M1744">
        <v>0</v>
      </c>
      <c r="N1744">
        <v>0.205253965062449</v>
      </c>
    </row>
    <row r="1745" spans="1:14" x14ac:dyDescent="0.25">
      <c r="A1745" s="2"/>
      <c r="B1745" t="s">
        <v>14</v>
      </c>
      <c r="C1745" s="1">
        <v>46071.999988425923</v>
      </c>
      <c r="D1745">
        <v>25.157514837331</v>
      </c>
      <c r="E1745">
        <v>118433.16044434901</v>
      </c>
      <c r="F1745" s="1">
        <v>46071.606296296297</v>
      </c>
      <c r="G1745">
        <v>52.874525097077999</v>
      </c>
      <c r="H1745" t="s">
        <v>24</v>
      </c>
      <c r="J1745" t="s">
        <v>16</v>
      </c>
      <c r="K1745">
        <v>577007.90534456098</v>
      </c>
      <c r="L1745" t="s">
        <v>17</v>
      </c>
      <c r="M1745">
        <v>0</v>
      </c>
      <c r="N1745">
        <v>0.205253965062449</v>
      </c>
    </row>
    <row r="1746" spans="1:14" x14ac:dyDescent="0.25">
      <c r="A1746" s="2"/>
      <c r="B1746" t="s">
        <v>14</v>
      </c>
      <c r="C1746" s="1">
        <v>46070.999988425923</v>
      </c>
      <c r="D1746">
        <v>25.157514837331</v>
      </c>
      <c r="E1746">
        <v>577007.90534456098</v>
      </c>
      <c r="F1746" s="1">
        <v>46068.099097222221</v>
      </c>
      <c r="G1746">
        <v>52.874525097077999</v>
      </c>
      <c r="H1746" t="s">
        <v>24</v>
      </c>
      <c r="J1746" t="s">
        <v>16</v>
      </c>
      <c r="K1746">
        <v>577007.90534456098</v>
      </c>
      <c r="L1746" t="s">
        <v>17</v>
      </c>
      <c r="M1746">
        <v>458574.74490021099</v>
      </c>
      <c r="N1746">
        <v>1</v>
      </c>
    </row>
    <row r="1747" spans="1:14" x14ac:dyDescent="0.25">
      <c r="A1747" s="2"/>
      <c r="B1747" t="s">
        <v>14</v>
      </c>
      <c r="C1747" s="1">
        <v>46069.999988425923</v>
      </c>
      <c r="D1747">
        <v>25.157514837331</v>
      </c>
      <c r="E1747">
        <v>577007.90534456098</v>
      </c>
      <c r="F1747" s="1">
        <v>46068.099097222221</v>
      </c>
      <c r="G1747">
        <v>52.874525097077999</v>
      </c>
      <c r="H1747" t="s">
        <v>24</v>
      </c>
      <c r="J1747" t="s">
        <v>16</v>
      </c>
      <c r="K1747">
        <v>577007.90534456098</v>
      </c>
      <c r="L1747" t="s">
        <v>17</v>
      </c>
      <c r="M1747">
        <v>0</v>
      </c>
      <c r="N1747">
        <v>1</v>
      </c>
    </row>
    <row r="1748" spans="1:14" x14ac:dyDescent="0.25">
      <c r="A1748" s="2"/>
      <c r="B1748" t="s">
        <v>14</v>
      </c>
      <c r="C1748" s="1">
        <v>46068.999988425923</v>
      </c>
      <c r="D1748">
        <v>25.157514837331</v>
      </c>
      <c r="E1748">
        <v>577007.90534456098</v>
      </c>
      <c r="F1748" s="1">
        <v>46068.099097222221</v>
      </c>
      <c r="G1748">
        <v>52.874525097077999</v>
      </c>
      <c r="H1748" t="s">
        <v>24</v>
      </c>
      <c r="J1748" t="s">
        <v>16</v>
      </c>
      <c r="K1748">
        <v>577007.90534456098</v>
      </c>
      <c r="L1748" t="s">
        <v>17</v>
      </c>
      <c r="M1748">
        <v>0</v>
      </c>
      <c r="N1748">
        <v>1</v>
      </c>
    </row>
    <row r="1749" spans="1:14" x14ac:dyDescent="0.25">
      <c r="A1749" s="2"/>
      <c r="B1749" t="s">
        <v>14</v>
      </c>
      <c r="C1749" s="1">
        <v>46067.999988425923</v>
      </c>
      <c r="D1749">
        <v>25.157514837331</v>
      </c>
      <c r="E1749">
        <v>198765.87561960399</v>
      </c>
      <c r="F1749" s="1">
        <v>46065.605474537035</v>
      </c>
      <c r="G1749">
        <v>52.874525097077999</v>
      </c>
      <c r="H1749" t="s">
        <v>24</v>
      </c>
      <c r="J1749" t="s">
        <v>16</v>
      </c>
      <c r="K1749">
        <v>577007.90534456098</v>
      </c>
      <c r="L1749" t="s">
        <v>17</v>
      </c>
      <c r="M1749">
        <v>-378242.02972495701</v>
      </c>
      <c r="N1749">
        <v>0.34447686726390803</v>
      </c>
    </row>
    <row r="1750" spans="1:14" x14ac:dyDescent="0.25">
      <c r="A1750" s="2"/>
      <c r="B1750" t="s">
        <v>14</v>
      </c>
      <c r="C1750" s="1">
        <v>46066.999988425923</v>
      </c>
      <c r="D1750">
        <v>25.157514837331</v>
      </c>
      <c r="E1750">
        <v>198765.87561960399</v>
      </c>
      <c r="F1750" s="1">
        <v>46065.605474537035</v>
      </c>
      <c r="G1750">
        <v>52.874525097077999</v>
      </c>
      <c r="H1750" t="s">
        <v>24</v>
      </c>
      <c r="J1750" t="s">
        <v>16</v>
      </c>
      <c r="K1750">
        <v>577007.90534456098</v>
      </c>
      <c r="L1750" t="s">
        <v>17</v>
      </c>
      <c r="M1750">
        <v>0</v>
      </c>
      <c r="N1750">
        <v>0.34447686726390803</v>
      </c>
    </row>
    <row r="1751" spans="1:14" x14ac:dyDescent="0.25">
      <c r="A1751" s="2"/>
      <c r="B1751" t="s">
        <v>14</v>
      </c>
      <c r="C1751" s="1">
        <v>46065.999988425923</v>
      </c>
      <c r="D1751">
        <v>25.157514837331</v>
      </c>
      <c r="E1751">
        <v>198765.87561960399</v>
      </c>
      <c r="F1751" s="1">
        <v>46065.605474537035</v>
      </c>
      <c r="G1751">
        <v>52.874525097077999</v>
      </c>
      <c r="H1751" t="s">
        <v>24</v>
      </c>
      <c r="J1751" t="s">
        <v>16</v>
      </c>
      <c r="K1751">
        <v>577007.90534456098</v>
      </c>
      <c r="L1751" t="s">
        <v>17</v>
      </c>
      <c r="M1751">
        <v>0</v>
      </c>
      <c r="N1751">
        <v>0.34447686726390803</v>
      </c>
    </row>
    <row r="1752" spans="1:14" x14ac:dyDescent="0.25">
      <c r="A1752" s="2"/>
      <c r="B1752" t="s">
        <v>14</v>
      </c>
      <c r="C1752" s="1">
        <v>46064.999988425923</v>
      </c>
      <c r="D1752">
        <v>25.157514837331</v>
      </c>
      <c r="E1752">
        <v>577007.90534456098</v>
      </c>
      <c r="F1752" s="1">
        <v>46062.099814814814</v>
      </c>
      <c r="G1752">
        <v>52.874525097077999</v>
      </c>
      <c r="H1752" t="s">
        <v>24</v>
      </c>
      <c r="J1752" t="s">
        <v>16</v>
      </c>
      <c r="K1752">
        <v>577007.90534456098</v>
      </c>
      <c r="L1752" t="s">
        <v>17</v>
      </c>
      <c r="M1752">
        <v>378242.02972495701</v>
      </c>
      <c r="N1752">
        <v>1</v>
      </c>
    </row>
    <row r="1753" spans="1:14" x14ac:dyDescent="0.25">
      <c r="A1753" s="2"/>
      <c r="B1753" t="s">
        <v>14</v>
      </c>
      <c r="C1753" s="1">
        <v>46063.999988425923</v>
      </c>
      <c r="D1753">
        <v>25.157514837331</v>
      </c>
      <c r="E1753">
        <v>577007.90534456098</v>
      </c>
      <c r="F1753" s="1">
        <v>46062.099814814814</v>
      </c>
      <c r="G1753">
        <v>52.874525097077999</v>
      </c>
      <c r="H1753" t="s">
        <v>24</v>
      </c>
      <c r="J1753" t="s">
        <v>16</v>
      </c>
      <c r="K1753">
        <v>577007.90534456098</v>
      </c>
      <c r="L1753" t="s">
        <v>17</v>
      </c>
      <c r="M1753">
        <v>0</v>
      </c>
      <c r="N1753">
        <v>1</v>
      </c>
    </row>
    <row r="1754" spans="1:14" x14ac:dyDescent="0.25">
      <c r="A1754" s="2"/>
      <c r="B1754" t="s">
        <v>14</v>
      </c>
      <c r="C1754" s="1">
        <v>46062.999988425923</v>
      </c>
      <c r="D1754">
        <v>25.157514837331</v>
      </c>
      <c r="E1754">
        <v>577007.90534456098</v>
      </c>
      <c r="F1754" s="1">
        <v>46062.099814814814</v>
      </c>
      <c r="G1754">
        <v>52.874525097077999</v>
      </c>
      <c r="H1754" t="s">
        <v>24</v>
      </c>
      <c r="J1754" t="s">
        <v>16</v>
      </c>
      <c r="K1754">
        <v>577007.90534456098</v>
      </c>
      <c r="L1754" t="s">
        <v>17</v>
      </c>
      <c r="M1754">
        <v>0</v>
      </c>
      <c r="N1754">
        <v>1</v>
      </c>
    </row>
    <row r="1755" spans="1:14" x14ac:dyDescent="0.25">
      <c r="A1755" s="2"/>
      <c r="B1755" t="s">
        <v>14</v>
      </c>
      <c r="C1755" s="1">
        <v>46061.999988425923</v>
      </c>
      <c r="D1755">
        <v>25.157514837331</v>
      </c>
      <c r="E1755">
        <v>564132.64574217203</v>
      </c>
      <c r="F1755" s="1">
        <v>46059.606296296297</v>
      </c>
      <c r="G1755">
        <v>52.874525097077999</v>
      </c>
      <c r="H1755" t="s">
        <v>24</v>
      </c>
      <c r="J1755" t="s">
        <v>16</v>
      </c>
      <c r="K1755">
        <v>577007.90534456098</v>
      </c>
      <c r="L1755" t="s">
        <v>17</v>
      </c>
      <c r="M1755">
        <v>-12875.2596023887</v>
      </c>
      <c r="N1755">
        <v>0.97768616429145705</v>
      </c>
    </row>
    <row r="1756" spans="1:14" x14ac:dyDescent="0.25">
      <c r="A1756" s="2"/>
      <c r="B1756" t="s">
        <v>14</v>
      </c>
      <c r="C1756" s="1">
        <v>46060.999988425923</v>
      </c>
      <c r="D1756">
        <v>25.157514837331</v>
      </c>
      <c r="E1756">
        <v>564132.64574217203</v>
      </c>
      <c r="F1756" s="1">
        <v>46059.606296296297</v>
      </c>
      <c r="G1756">
        <v>52.874525097077999</v>
      </c>
      <c r="H1756" t="s">
        <v>24</v>
      </c>
      <c r="J1756" t="s">
        <v>16</v>
      </c>
      <c r="K1756">
        <v>577007.90534456098</v>
      </c>
      <c r="L1756" t="s">
        <v>17</v>
      </c>
      <c r="M1756">
        <v>0</v>
      </c>
      <c r="N1756">
        <v>0.97768616429145705</v>
      </c>
    </row>
    <row r="1757" spans="1:14" x14ac:dyDescent="0.25">
      <c r="A1757" s="2"/>
      <c r="B1757" t="s">
        <v>14</v>
      </c>
      <c r="C1757" s="1">
        <v>46059.999988425923</v>
      </c>
      <c r="D1757">
        <v>25.157514837331</v>
      </c>
      <c r="E1757">
        <v>564132.64574217203</v>
      </c>
      <c r="F1757" s="1">
        <v>46059.606296296297</v>
      </c>
      <c r="G1757">
        <v>52.874525097077999</v>
      </c>
      <c r="H1757" t="s">
        <v>24</v>
      </c>
      <c r="J1757" t="s">
        <v>16</v>
      </c>
      <c r="K1757">
        <v>577007.90534456098</v>
      </c>
      <c r="L1757" t="s">
        <v>17</v>
      </c>
      <c r="M1757">
        <v>0</v>
      </c>
      <c r="N1757">
        <v>0.97768616429145705</v>
      </c>
    </row>
    <row r="1758" spans="1:14" x14ac:dyDescent="0.25">
      <c r="A1758" s="2"/>
      <c r="B1758" t="s">
        <v>14</v>
      </c>
      <c r="C1758" s="1">
        <v>46058.999988425923</v>
      </c>
      <c r="D1758">
        <v>25.157514837331</v>
      </c>
      <c r="E1758">
        <v>118199.94453495101</v>
      </c>
      <c r="F1758" s="1">
        <v>46056.099097222221</v>
      </c>
      <c r="G1758">
        <v>52.874525097077999</v>
      </c>
      <c r="H1758" t="s">
        <v>24</v>
      </c>
      <c r="J1758" t="s">
        <v>16</v>
      </c>
      <c r="K1758">
        <v>577007.90534456098</v>
      </c>
      <c r="L1758" t="s">
        <v>17</v>
      </c>
      <c r="M1758">
        <v>-445932.70120721997</v>
      </c>
      <c r="N1758">
        <v>0.20484978358202599</v>
      </c>
    </row>
    <row r="1759" spans="1:14" x14ac:dyDescent="0.25">
      <c r="A1759" s="2"/>
      <c r="B1759" t="s">
        <v>14</v>
      </c>
      <c r="C1759" s="1">
        <v>46057.999988425923</v>
      </c>
      <c r="D1759">
        <v>25.157514837331</v>
      </c>
      <c r="E1759">
        <v>118199.94453495101</v>
      </c>
      <c r="F1759" s="1">
        <v>46056.099097222221</v>
      </c>
      <c r="G1759">
        <v>52.874525097077999</v>
      </c>
      <c r="H1759" t="s">
        <v>24</v>
      </c>
      <c r="J1759" t="s">
        <v>16</v>
      </c>
      <c r="K1759">
        <v>577007.90534456098</v>
      </c>
      <c r="L1759" t="s">
        <v>17</v>
      </c>
      <c r="M1759">
        <v>0</v>
      </c>
      <c r="N1759">
        <v>0.20484978358202599</v>
      </c>
    </row>
    <row r="1760" spans="1:14" x14ac:dyDescent="0.25">
      <c r="A1760" s="2"/>
      <c r="B1760" t="s">
        <v>14</v>
      </c>
      <c r="C1760" s="1">
        <v>46056.999988425923</v>
      </c>
      <c r="D1760">
        <v>25.157514837331</v>
      </c>
      <c r="E1760">
        <v>118199.94453495101</v>
      </c>
      <c r="F1760" s="1">
        <v>46056.099097222221</v>
      </c>
      <c r="G1760">
        <v>52.874525097077999</v>
      </c>
      <c r="H1760" t="s">
        <v>24</v>
      </c>
      <c r="J1760" t="s">
        <v>16</v>
      </c>
      <c r="K1760">
        <v>577007.90534456098</v>
      </c>
      <c r="L1760" t="s">
        <v>17</v>
      </c>
      <c r="M1760">
        <v>0</v>
      </c>
      <c r="N1760">
        <v>0.20484978358202599</v>
      </c>
    </row>
    <row r="1761" spans="1:14" x14ac:dyDescent="0.25">
      <c r="A1761" s="2"/>
      <c r="B1761" t="s">
        <v>14</v>
      </c>
      <c r="C1761" s="1">
        <v>46055.999988425923</v>
      </c>
      <c r="D1761">
        <v>25.157514837331</v>
      </c>
      <c r="E1761">
        <v>577007.90534456098</v>
      </c>
      <c r="F1761" s="1">
        <v>46053.605474537035</v>
      </c>
      <c r="G1761">
        <v>52.874525097077999</v>
      </c>
      <c r="H1761" t="s">
        <v>24</v>
      </c>
      <c r="J1761" t="s">
        <v>16</v>
      </c>
      <c r="K1761">
        <v>577007.90534456098</v>
      </c>
      <c r="L1761" t="s">
        <v>17</v>
      </c>
      <c r="M1761">
        <v>458807.96080960898</v>
      </c>
      <c r="N1761">
        <v>1</v>
      </c>
    </row>
    <row r="1762" spans="1:14" x14ac:dyDescent="0.25">
      <c r="A1762" s="2"/>
      <c r="B1762" t="s">
        <v>14</v>
      </c>
      <c r="C1762" s="1">
        <v>46054.999988425923</v>
      </c>
      <c r="D1762">
        <v>25.157514837331</v>
      </c>
      <c r="E1762">
        <v>577007.90534456098</v>
      </c>
      <c r="F1762" s="1">
        <v>46053.605474537035</v>
      </c>
      <c r="G1762">
        <v>52.874525097077999</v>
      </c>
      <c r="H1762" t="s">
        <v>24</v>
      </c>
      <c r="J1762" t="s">
        <v>16</v>
      </c>
      <c r="K1762">
        <v>577007.90534456098</v>
      </c>
      <c r="L1762" t="s">
        <v>17</v>
      </c>
      <c r="M1762">
        <v>0</v>
      </c>
      <c r="N1762">
        <v>1</v>
      </c>
    </row>
    <row r="1763" spans="1:14" x14ac:dyDescent="0.25">
      <c r="A1763" s="2"/>
      <c r="B1763" t="s">
        <v>14</v>
      </c>
      <c r="C1763" s="1">
        <v>46053.999988425923</v>
      </c>
      <c r="D1763">
        <v>25.157514837331</v>
      </c>
      <c r="E1763">
        <v>577007.90534456098</v>
      </c>
      <c r="F1763" s="1">
        <v>46053.605474537035</v>
      </c>
      <c r="G1763">
        <v>52.874525097077999</v>
      </c>
      <c r="H1763" t="s">
        <v>24</v>
      </c>
      <c r="J1763" t="s">
        <v>16</v>
      </c>
      <c r="K1763">
        <v>577007.90534456098</v>
      </c>
      <c r="L1763" t="s">
        <v>17</v>
      </c>
      <c r="M1763">
        <v>0</v>
      </c>
      <c r="N1763">
        <v>1</v>
      </c>
    </row>
    <row r="1764" spans="1:14" x14ac:dyDescent="0.25">
      <c r="A1764" s="2"/>
      <c r="B1764" t="s">
        <v>14</v>
      </c>
      <c r="C1764" s="1">
        <v>46052.999988425923</v>
      </c>
      <c r="D1764">
        <v>25.157514837331</v>
      </c>
      <c r="E1764">
        <v>216063.451307713</v>
      </c>
      <c r="F1764" s="1">
        <v>46050.099814814814</v>
      </c>
      <c r="G1764">
        <v>52.874525097077999</v>
      </c>
      <c r="H1764" t="s">
        <v>24</v>
      </c>
      <c r="J1764" t="s">
        <v>16</v>
      </c>
      <c r="K1764">
        <v>577007.90534456098</v>
      </c>
      <c r="L1764" t="s">
        <v>17</v>
      </c>
      <c r="M1764">
        <v>-360944.45403684699</v>
      </c>
      <c r="N1764">
        <v>0.37445492393850399</v>
      </c>
    </row>
    <row r="1765" spans="1:14" x14ac:dyDescent="0.25">
      <c r="A1765" s="2"/>
      <c r="B1765" t="s">
        <v>14</v>
      </c>
      <c r="C1765" s="1">
        <v>46051.999988425923</v>
      </c>
      <c r="D1765">
        <v>25.157514837331</v>
      </c>
      <c r="E1765">
        <v>216063.451307713</v>
      </c>
      <c r="F1765" s="1">
        <v>46050.099814814814</v>
      </c>
      <c r="G1765">
        <v>52.874525097077999</v>
      </c>
      <c r="H1765" t="s">
        <v>24</v>
      </c>
      <c r="J1765" t="s">
        <v>16</v>
      </c>
      <c r="K1765">
        <v>577007.90534456098</v>
      </c>
      <c r="L1765" t="s">
        <v>17</v>
      </c>
      <c r="M1765">
        <v>0</v>
      </c>
      <c r="N1765">
        <v>0.37445492393850399</v>
      </c>
    </row>
    <row r="1766" spans="1:14" x14ac:dyDescent="0.25">
      <c r="A1766" s="2"/>
      <c r="B1766" t="s">
        <v>14</v>
      </c>
      <c r="C1766" s="1">
        <v>46050.999988425923</v>
      </c>
      <c r="D1766">
        <v>25.157514837331</v>
      </c>
      <c r="E1766">
        <v>216063.451307713</v>
      </c>
      <c r="F1766" s="1">
        <v>46050.099814814814</v>
      </c>
      <c r="G1766">
        <v>52.874525097077999</v>
      </c>
      <c r="H1766" t="s">
        <v>24</v>
      </c>
      <c r="J1766" t="s">
        <v>16</v>
      </c>
      <c r="K1766">
        <v>577007.90534456098</v>
      </c>
      <c r="L1766" t="s">
        <v>17</v>
      </c>
      <c r="M1766">
        <v>0</v>
      </c>
      <c r="N1766">
        <v>0.37445492393850399</v>
      </c>
    </row>
    <row r="1767" spans="1:14" x14ac:dyDescent="0.25">
      <c r="A1767" s="2"/>
      <c r="B1767" t="s">
        <v>14</v>
      </c>
      <c r="C1767" s="1">
        <v>46049.999988425923</v>
      </c>
      <c r="D1767">
        <v>25.157514837331</v>
      </c>
      <c r="E1767">
        <v>276303.10252116999</v>
      </c>
      <c r="F1767" s="1">
        <v>46047.606307870374</v>
      </c>
      <c r="G1767">
        <v>52.874525097077999</v>
      </c>
      <c r="H1767" t="s">
        <v>24</v>
      </c>
      <c r="J1767" t="s">
        <v>16</v>
      </c>
      <c r="K1767">
        <v>577007.90534456098</v>
      </c>
      <c r="L1767" t="s">
        <v>17</v>
      </c>
      <c r="M1767">
        <v>60239.651213457102</v>
      </c>
      <c r="N1767">
        <v>0.47885496881741302</v>
      </c>
    </row>
    <row r="1768" spans="1:14" x14ac:dyDescent="0.25">
      <c r="A1768" s="2"/>
      <c r="B1768" t="s">
        <v>14</v>
      </c>
      <c r="C1768" s="1">
        <v>46048.999988425923</v>
      </c>
      <c r="D1768">
        <v>25.157514837331</v>
      </c>
      <c r="E1768">
        <v>276303.10252116999</v>
      </c>
      <c r="F1768" s="1">
        <v>46047.606307870374</v>
      </c>
      <c r="G1768">
        <v>52.874525097077999</v>
      </c>
      <c r="H1768" t="s">
        <v>24</v>
      </c>
      <c r="J1768" t="s">
        <v>16</v>
      </c>
      <c r="K1768">
        <v>577007.90534456098</v>
      </c>
      <c r="L1768" t="s">
        <v>17</v>
      </c>
      <c r="M1768">
        <v>0</v>
      </c>
      <c r="N1768">
        <v>0.47885496881741302</v>
      </c>
    </row>
    <row r="1769" spans="1:14" x14ac:dyDescent="0.25">
      <c r="A1769" s="2"/>
      <c r="B1769" t="s">
        <v>14</v>
      </c>
      <c r="C1769" s="1">
        <v>46047.999988425923</v>
      </c>
      <c r="D1769">
        <v>25.157514837331</v>
      </c>
      <c r="E1769">
        <v>276303.10252116999</v>
      </c>
      <c r="F1769" s="1">
        <v>46047.606307870374</v>
      </c>
      <c r="G1769">
        <v>52.874525097077999</v>
      </c>
      <c r="H1769" t="s">
        <v>24</v>
      </c>
      <c r="J1769" t="s">
        <v>16</v>
      </c>
      <c r="K1769">
        <v>577007.90534456098</v>
      </c>
      <c r="L1769" t="s">
        <v>17</v>
      </c>
      <c r="M1769">
        <v>0</v>
      </c>
      <c r="N1769">
        <v>0.47885496881741302</v>
      </c>
    </row>
    <row r="1770" spans="1:14" x14ac:dyDescent="0.25">
      <c r="A1770" s="2"/>
      <c r="B1770" t="s">
        <v>14</v>
      </c>
      <c r="C1770" s="1">
        <v>46046.999988425923</v>
      </c>
      <c r="D1770">
        <v>25.157514837331</v>
      </c>
      <c r="E1770">
        <v>194626.927568691</v>
      </c>
      <c r="F1770" s="1">
        <v>46041.605486111112</v>
      </c>
      <c r="G1770">
        <v>52.874525097077999</v>
      </c>
      <c r="H1770" t="s">
        <v>24</v>
      </c>
      <c r="J1770" t="s">
        <v>16</v>
      </c>
      <c r="K1770">
        <v>577007.90534456098</v>
      </c>
      <c r="L1770" t="s">
        <v>17</v>
      </c>
      <c r="M1770">
        <v>-81676.174952479094</v>
      </c>
      <c r="N1770">
        <v>0.337303745348982</v>
      </c>
    </row>
    <row r="1771" spans="1:14" x14ac:dyDescent="0.25">
      <c r="A1771" s="2"/>
      <c r="B1771" t="s">
        <v>14</v>
      </c>
      <c r="C1771" s="1">
        <v>46045.999988425923</v>
      </c>
      <c r="D1771">
        <v>25.157514837331</v>
      </c>
      <c r="E1771">
        <v>194626.927568691</v>
      </c>
      <c r="F1771" s="1">
        <v>46041.605486111112</v>
      </c>
      <c r="G1771">
        <v>52.874525097077999</v>
      </c>
      <c r="H1771" t="s">
        <v>24</v>
      </c>
      <c r="J1771" t="s">
        <v>16</v>
      </c>
      <c r="K1771">
        <v>577007.90534456098</v>
      </c>
      <c r="L1771" t="s">
        <v>17</v>
      </c>
      <c r="M1771">
        <v>0</v>
      </c>
      <c r="N1771">
        <v>0.337303745348982</v>
      </c>
    </row>
    <row r="1772" spans="1:14" x14ac:dyDescent="0.25">
      <c r="A1772" s="2"/>
      <c r="B1772" t="s">
        <v>14</v>
      </c>
      <c r="C1772" s="1">
        <v>46044.999988425923</v>
      </c>
      <c r="D1772">
        <v>25.157514837331</v>
      </c>
      <c r="E1772">
        <v>194626.927568691</v>
      </c>
      <c r="F1772" s="1">
        <v>46041.605486111112</v>
      </c>
      <c r="G1772">
        <v>52.874525097077999</v>
      </c>
      <c r="H1772" t="s">
        <v>24</v>
      </c>
      <c r="J1772" t="s">
        <v>16</v>
      </c>
      <c r="K1772">
        <v>577007.90534456098</v>
      </c>
      <c r="L1772" t="s">
        <v>17</v>
      </c>
      <c r="M1772">
        <v>0</v>
      </c>
      <c r="N1772">
        <v>0.337303745348982</v>
      </c>
    </row>
    <row r="1773" spans="1:14" x14ac:dyDescent="0.25">
      <c r="A1773" s="2"/>
      <c r="B1773" t="s">
        <v>14</v>
      </c>
      <c r="C1773" s="1">
        <v>46043.999988425923</v>
      </c>
      <c r="D1773">
        <v>25.157514837331</v>
      </c>
      <c r="E1773">
        <v>194626.927568691</v>
      </c>
      <c r="F1773" s="1">
        <v>46041.605486111112</v>
      </c>
      <c r="G1773">
        <v>52.874525097077999</v>
      </c>
      <c r="H1773" t="s">
        <v>24</v>
      </c>
      <c r="J1773" t="s">
        <v>16</v>
      </c>
      <c r="K1773">
        <v>577007.90534456098</v>
      </c>
      <c r="L1773" t="s">
        <v>17</v>
      </c>
      <c r="M1773">
        <v>0</v>
      </c>
      <c r="N1773">
        <v>0.337303745348982</v>
      </c>
    </row>
    <row r="1774" spans="1:14" x14ac:dyDescent="0.25">
      <c r="A1774" s="2"/>
      <c r="B1774" t="s">
        <v>14</v>
      </c>
      <c r="C1774" s="1">
        <v>46042.999988425923</v>
      </c>
      <c r="D1774">
        <v>25.157514837331</v>
      </c>
      <c r="E1774">
        <v>194626.927568691</v>
      </c>
      <c r="F1774" s="1">
        <v>46041.605486111112</v>
      </c>
      <c r="G1774">
        <v>52.874525097077999</v>
      </c>
      <c r="H1774" t="s">
        <v>24</v>
      </c>
      <c r="J1774" t="s">
        <v>16</v>
      </c>
      <c r="K1774">
        <v>577007.90534456098</v>
      </c>
      <c r="L1774" t="s">
        <v>17</v>
      </c>
      <c r="M1774">
        <v>0</v>
      </c>
      <c r="N1774">
        <v>0.337303745348982</v>
      </c>
    </row>
    <row r="1775" spans="1:14" x14ac:dyDescent="0.25">
      <c r="A1775" s="2"/>
      <c r="B1775" t="s">
        <v>14</v>
      </c>
      <c r="C1775" s="1">
        <v>46041.999988425923</v>
      </c>
      <c r="D1775">
        <v>25.157514837331</v>
      </c>
      <c r="E1775">
        <v>194626.927568691</v>
      </c>
      <c r="F1775" s="1">
        <v>46041.605486111112</v>
      </c>
      <c r="G1775">
        <v>52.874525097077999</v>
      </c>
      <c r="H1775" t="s">
        <v>24</v>
      </c>
      <c r="J1775" t="s">
        <v>16</v>
      </c>
      <c r="K1775">
        <v>577007.90534456098</v>
      </c>
      <c r="L1775" t="s">
        <v>17</v>
      </c>
      <c r="M1775">
        <v>0</v>
      </c>
      <c r="N1775">
        <v>0.337303745348982</v>
      </c>
    </row>
    <row r="1776" spans="1:14" x14ac:dyDescent="0.25">
      <c r="A1776" s="2"/>
      <c r="B1776" t="s">
        <v>14</v>
      </c>
      <c r="C1776" s="1">
        <v>46040.999988425923</v>
      </c>
      <c r="D1776">
        <v>25.157514837331</v>
      </c>
      <c r="E1776">
        <v>118816.435428685</v>
      </c>
      <c r="F1776" s="1">
        <v>46038.099826388891</v>
      </c>
      <c r="G1776">
        <v>52.874525097077999</v>
      </c>
      <c r="H1776" t="s">
        <v>24</v>
      </c>
      <c r="J1776" t="s">
        <v>16</v>
      </c>
      <c r="K1776">
        <v>577007.90534456098</v>
      </c>
      <c r="L1776" t="s">
        <v>17</v>
      </c>
      <c r="M1776">
        <v>-75810.492140006405</v>
      </c>
      <c r="N1776">
        <v>0.205918210700655</v>
      </c>
    </row>
    <row r="1777" spans="1:14" x14ac:dyDescent="0.25">
      <c r="A1777" s="2"/>
      <c r="B1777" t="s">
        <v>14</v>
      </c>
      <c r="C1777" s="1">
        <v>46039.999988425923</v>
      </c>
      <c r="D1777">
        <v>25.157514837331</v>
      </c>
      <c r="E1777">
        <v>118816.435428685</v>
      </c>
      <c r="F1777" s="1">
        <v>46038.099826388891</v>
      </c>
      <c r="G1777">
        <v>52.874525097077999</v>
      </c>
      <c r="H1777" t="s">
        <v>24</v>
      </c>
      <c r="J1777" t="s">
        <v>16</v>
      </c>
      <c r="K1777">
        <v>577007.90534456098</v>
      </c>
      <c r="L1777" t="s">
        <v>17</v>
      </c>
      <c r="M1777">
        <v>0</v>
      </c>
      <c r="N1777">
        <v>0.205918210700655</v>
      </c>
    </row>
    <row r="1778" spans="1:14" x14ac:dyDescent="0.25">
      <c r="A1778" s="2"/>
      <c r="B1778" t="s">
        <v>14</v>
      </c>
      <c r="C1778" s="1">
        <v>46038.999988425923</v>
      </c>
      <c r="D1778">
        <v>25.157514837331</v>
      </c>
      <c r="E1778">
        <v>118816.435428685</v>
      </c>
      <c r="F1778" s="1">
        <v>46038.099826388891</v>
      </c>
      <c r="G1778">
        <v>52.874525097077999</v>
      </c>
      <c r="H1778" t="s">
        <v>24</v>
      </c>
      <c r="J1778" t="s">
        <v>16</v>
      </c>
      <c r="K1778">
        <v>577007.90534456098</v>
      </c>
      <c r="L1778" t="s">
        <v>17</v>
      </c>
      <c r="M1778">
        <v>0</v>
      </c>
      <c r="N1778">
        <v>0.205918210700655</v>
      </c>
    </row>
    <row r="1779" spans="1:14" x14ac:dyDescent="0.25">
      <c r="A1779" s="2"/>
      <c r="B1779" t="s">
        <v>14</v>
      </c>
      <c r="C1779" s="1">
        <v>46037.999988425923</v>
      </c>
      <c r="D1779">
        <v>25.157514837331</v>
      </c>
      <c r="E1779">
        <v>118950.03899848201</v>
      </c>
      <c r="F1779" s="1">
        <v>46035.606319444443</v>
      </c>
      <c r="G1779">
        <v>52.874525097077999</v>
      </c>
      <c r="H1779" t="s">
        <v>24</v>
      </c>
      <c r="J1779" t="s">
        <v>16</v>
      </c>
      <c r="K1779">
        <v>577007.90534456098</v>
      </c>
      <c r="L1779" t="s">
        <v>17</v>
      </c>
      <c r="M1779">
        <v>133.60356979724</v>
      </c>
      <c r="N1779">
        <v>0.20614975617613199</v>
      </c>
    </row>
    <row r="1780" spans="1:14" x14ac:dyDescent="0.25">
      <c r="A1780" s="2"/>
      <c r="B1780" t="s">
        <v>14</v>
      </c>
      <c r="C1780" s="1">
        <v>46036.999988425923</v>
      </c>
      <c r="D1780">
        <v>25.157514837331</v>
      </c>
      <c r="E1780">
        <v>118950.03899848201</v>
      </c>
      <c r="F1780" s="1">
        <v>46035.606319444443</v>
      </c>
      <c r="G1780">
        <v>52.874525097077999</v>
      </c>
      <c r="H1780" t="s">
        <v>24</v>
      </c>
      <c r="J1780" t="s">
        <v>16</v>
      </c>
      <c r="K1780">
        <v>577007.90534456098</v>
      </c>
      <c r="L1780" t="s">
        <v>17</v>
      </c>
      <c r="M1780">
        <v>0</v>
      </c>
      <c r="N1780">
        <v>0.20614975617613199</v>
      </c>
    </row>
    <row r="1781" spans="1:14" x14ac:dyDescent="0.25">
      <c r="A1781" s="2"/>
      <c r="B1781" t="s">
        <v>14</v>
      </c>
      <c r="C1781" s="1">
        <v>46035.999988425923</v>
      </c>
      <c r="D1781">
        <v>25.157514837331</v>
      </c>
      <c r="E1781">
        <v>118950.03899848201</v>
      </c>
      <c r="F1781" s="1">
        <v>46035.606319444443</v>
      </c>
      <c r="G1781">
        <v>52.874525097077999</v>
      </c>
      <c r="H1781" t="s">
        <v>24</v>
      </c>
      <c r="J1781" t="s">
        <v>16</v>
      </c>
      <c r="K1781">
        <v>577007.90534456098</v>
      </c>
      <c r="L1781" t="s">
        <v>17</v>
      </c>
      <c r="M1781">
        <v>0</v>
      </c>
      <c r="N1781">
        <v>0.20614975617613199</v>
      </c>
    </row>
    <row r="1782" spans="1:14" x14ac:dyDescent="0.25">
      <c r="A1782" s="2"/>
      <c r="B1782" t="s">
        <v>14</v>
      </c>
      <c r="C1782" s="1">
        <v>46034.999988425923</v>
      </c>
      <c r="D1782">
        <v>25.157514837331</v>
      </c>
      <c r="E1782">
        <v>469990.06960963202</v>
      </c>
      <c r="F1782" s="1">
        <v>46032.099108796298</v>
      </c>
      <c r="G1782">
        <v>52.874525097077999</v>
      </c>
      <c r="H1782" t="s">
        <v>24</v>
      </c>
      <c r="J1782" t="s">
        <v>16</v>
      </c>
      <c r="K1782">
        <v>577007.90534456098</v>
      </c>
      <c r="L1782" t="s">
        <v>17</v>
      </c>
      <c r="M1782">
        <v>351040.03061115002</v>
      </c>
      <c r="N1782">
        <v>0.81452968885924804</v>
      </c>
    </row>
    <row r="1783" spans="1:14" x14ac:dyDescent="0.25">
      <c r="A1783" s="2"/>
      <c r="B1783" t="s">
        <v>14</v>
      </c>
      <c r="C1783" s="1">
        <v>46033.999988425923</v>
      </c>
      <c r="D1783">
        <v>25.157514837331</v>
      </c>
      <c r="E1783">
        <v>469990.06960963202</v>
      </c>
      <c r="F1783" s="1">
        <v>46032.099108796298</v>
      </c>
      <c r="G1783">
        <v>52.874525097077999</v>
      </c>
      <c r="H1783" t="s">
        <v>24</v>
      </c>
      <c r="J1783" t="s">
        <v>16</v>
      </c>
      <c r="K1783">
        <v>577007.90534456098</v>
      </c>
      <c r="L1783" t="s">
        <v>17</v>
      </c>
      <c r="M1783">
        <v>0</v>
      </c>
      <c r="N1783">
        <v>0.81452968885924804</v>
      </c>
    </row>
    <row r="1784" spans="1:14" x14ac:dyDescent="0.25">
      <c r="A1784" s="2"/>
      <c r="B1784" t="s">
        <v>14</v>
      </c>
      <c r="C1784" s="1">
        <v>46032.999988425923</v>
      </c>
      <c r="D1784">
        <v>25.157514837331</v>
      </c>
      <c r="E1784">
        <v>469990.06960963202</v>
      </c>
      <c r="F1784" s="1">
        <v>46032.099108796298</v>
      </c>
      <c r="G1784">
        <v>52.874525097077999</v>
      </c>
      <c r="H1784" t="s">
        <v>24</v>
      </c>
      <c r="J1784" t="s">
        <v>16</v>
      </c>
      <c r="K1784">
        <v>577007.90534456098</v>
      </c>
      <c r="L1784" t="s">
        <v>17</v>
      </c>
      <c r="M1784">
        <v>0</v>
      </c>
      <c r="N1784">
        <v>0.81452968885924804</v>
      </c>
    </row>
    <row r="1785" spans="1:14" x14ac:dyDescent="0.25">
      <c r="A1785" s="2"/>
      <c r="B1785" t="s">
        <v>14</v>
      </c>
      <c r="C1785" s="1">
        <v>46031.999988425923</v>
      </c>
      <c r="D1785">
        <v>25.157514837331</v>
      </c>
      <c r="E1785">
        <v>577007.90534456098</v>
      </c>
      <c r="F1785" s="1">
        <v>46029.605486111112</v>
      </c>
      <c r="G1785">
        <v>52.874525097077999</v>
      </c>
      <c r="H1785" t="s">
        <v>24</v>
      </c>
      <c r="J1785" t="s">
        <v>16</v>
      </c>
      <c r="K1785">
        <v>577007.90534456098</v>
      </c>
      <c r="L1785" t="s">
        <v>17</v>
      </c>
      <c r="M1785">
        <v>107017.835734928</v>
      </c>
      <c r="N1785">
        <v>1</v>
      </c>
    </row>
    <row r="1786" spans="1:14" x14ac:dyDescent="0.25">
      <c r="A1786" s="2"/>
      <c r="B1786" t="s">
        <v>14</v>
      </c>
      <c r="C1786" s="1">
        <v>46030.999988425923</v>
      </c>
      <c r="D1786">
        <v>25.157514837331</v>
      </c>
      <c r="E1786">
        <v>577007.90534456098</v>
      </c>
      <c r="F1786" s="1">
        <v>46029.605486111112</v>
      </c>
      <c r="G1786">
        <v>52.874525097077999</v>
      </c>
      <c r="H1786" t="s">
        <v>24</v>
      </c>
      <c r="J1786" t="s">
        <v>16</v>
      </c>
      <c r="K1786">
        <v>577007.90534456098</v>
      </c>
      <c r="L1786" t="s">
        <v>17</v>
      </c>
      <c r="M1786">
        <v>0</v>
      </c>
      <c r="N1786">
        <v>1</v>
      </c>
    </row>
    <row r="1787" spans="1:14" x14ac:dyDescent="0.25">
      <c r="A1787" s="2"/>
      <c r="B1787" t="s">
        <v>14</v>
      </c>
      <c r="C1787" s="1">
        <v>46029.999988425923</v>
      </c>
      <c r="D1787">
        <v>25.157514837331</v>
      </c>
      <c r="E1787">
        <v>577007.90534456098</v>
      </c>
      <c r="F1787" s="1">
        <v>46029.605486111112</v>
      </c>
      <c r="G1787">
        <v>52.874525097077999</v>
      </c>
      <c r="H1787" t="s">
        <v>24</v>
      </c>
      <c r="J1787" t="s">
        <v>16</v>
      </c>
      <c r="K1787">
        <v>577007.90534456098</v>
      </c>
      <c r="L1787" t="s">
        <v>17</v>
      </c>
      <c r="M1787">
        <v>0</v>
      </c>
      <c r="N1787">
        <v>1</v>
      </c>
    </row>
    <row r="1788" spans="1:14" x14ac:dyDescent="0.25">
      <c r="A1788" s="2"/>
      <c r="B1788" t="s">
        <v>14</v>
      </c>
      <c r="C1788" s="1">
        <v>46028.999988425923</v>
      </c>
      <c r="D1788">
        <v>25.157514837331</v>
      </c>
      <c r="E1788">
        <v>107255.75439670301</v>
      </c>
      <c r="F1788" s="1">
        <v>46026.09983796296</v>
      </c>
      <c r="G1788">
        <v>52.874525097077999</v>
      </c>
      <c r="H1788" t="s">
        <v>24</v>
      </c>
      <c r="J1788" t="s">
        <v>16</v>
      </c>
      <c r="K1788">
        <v>577007.90534456098</v>
      </c>
      <c r="L1788" t="s">
        <v>17</v>
      </c>
      <c r="M1788">
        <v>-469752.150947858</v>
      </c>
      <c r="N1788">
        <v>0.185882642860248</v>
      </c>
    </row>
    <row r="1789" spans="1:14" x14ac:dyDescent="0.25">
      <c r="A1789" s="2"/>
      <c r="B1789" t="s">
        <v>14</v>
      </c>
      <c r="C1789" s="1">
        <v>46027.999988425923</v>
      </c>
      <c r="D1789">
        <v>25.157514837331</v>
      </c>
      <c r="E1789">
        <v>107255.75439670301</v>
      </c>
      <c r="F1789" s="1">
        <v>46026.09983796296</v>
      </c>
      <c r="G1789">
        <v>52.874525097077999</v>
      </c>
      <c r="H1789" t="s">
        <v>24</v>
      </c>
      <c r="J1789" t="s">
        <v>16</v>
      </c>
      <c r="K1789">
        <v>577007.90534456098</v>
      </c>
      <c r="L1789" t="s">
        <v>17</v>
      </c>
      <c r="M1789">
        <v>0</v>
      </c>
      <c r="N1789">
        <v>0.185882642860248</v>
      </c>
    </row>
    <row r="1790" spans="1:14" x14ac:dyDescent="0.25">
      <c r="A1790" s="2"/>
      <c r="B1790" t="s">
        <v>14</v>
      </c>
      <c r="C1790" s="1">
        <v>46026.999988425923</v>
      </c>
      <c r="D1790">
        <v>25.157514837331</v>
      </c>
      <c r="E1790">
        <v>107255.75439670301</v>
      </c>
      <c r="F1790" s="1">
        <v>46026.09983796296</v>
      </c>
      <c r="G1790">
        <v>52.874525097077999</v>
      </c>
      <c r="H1790" t="s">
        <v>24</v>
      </c>
      <c r="J1790" t="s">
        <v>16</v>
      </c>
      <c r="K1790">
        <v>577007.90534456098</v>
      </c>
      <c r="L1790" t="s">
        <v>17</v>
      </c>
      <c r="M1790">
        <v>0</v>
      </c>
      <c r="N1790">
        <v>0.185882642860248</v>
      </c>
    </row>
    <row r="1791" spans="1:14" x14ac:dyDescent="0.25">
      <c r="A1791" s="2"/>
      <c r="B1791" t="s">
        <v>14</v>
      </c>
      <c r="C1791" s="1">
        <v>46025.999988425923</v>
      </c>
      <c r="D1791">
        <v>25.157514837331</v>
      </c>
      <c r="E1791">
        <v>577007.90534456098</v>
      </c>
      <c r="F1791" s="1">
        <v>46023.60633101852</v>
      </c>
      <c r="G1791">
        <v>52.874525097077999</v>
      </c>
      <c r="H1791" t="s">
        <v>24</v>
      </c>
      <c r="J1791" t="s">
        <v>16</v>
      </c>
      <c r="K1791">
        <v>577007.90534456098</v>
      </c>
      <c r="L1791" t="s">
        <v>17</v>
      </c>
      <c r="M1791">
        <v>469752.150947858</v>
      </c>
      <c r="N1791">
        <v>1</v>
      </c>
    </row>
    <row r="1792" spans="1:14" x14ac:dyDescent="0.25">
      <c r="A1792" s="2"/>
      <c r="B1792" t="s">
        <v>14</v>
      </c>
      <c r="C1792" s="1">
        <v>46024.999988425923</v>
      </c>
      <c r="D1792">
        <v>25.157514837331</v>
      </c>
      <c r="E1792">
        <v>577007.90534456098</v>
      </c>
      <c r="F1792" s="1">
        <v>46023.60633101852</v>
      </c>
      <c r="G1792">
        <v>52.874525097077999</v>
      </c>
      <c r="H1792" t="s">
        <v>24</v>
      </c>
      <c r="J1792" t="s">
        <v>16</v>
      </c>
      <c r="K1792">
        <v>577007.90534456098</v>
      </c>
      <c r="L1792" t="s">
        <v>17</v>
      </c>
      <c r="M1792">
        <v>0</v>
      </c>
      <c r="N1792">
        <v>1</v>
      </c>
    </row>
    <row r="1793" spans="1:14" x14ac:dyDescent="0.25">
      <c r="A1793" s="2"/>
      <c r="B1793" t="s">
        <v>14</v>
      </c>
      <c r="C1793" s="1">
        <v>46023.999988425923</v>
      </c>
      <c r="D1793">
        <v>25.157514837331</v>
      </c>
      <c r="E1793">
        <v>577007.90534456098</v>
      </c>
      <c r="F1793" s="1">
        <v>46023.60633101852</v>
      </c>
      <c r="G1793">
        <v>52.874525097077999</v>
      </c>
      <c r="H1793" t="s">
        <v>24</v>
      </c>
      <c r="J1793" t="s">
        <v>16</v>
      </c>
      <c r="K1793">
        <v>577007.90534456098</v>
      </c>
      <c r="L1793" t="s">
        <v>17</v>
      </c>
      <c r="M1793">
        <v>0</v>
      </c>
      <c r="N1793">
        <v>1</v>
      </c>
    </row>
    <row r="1794" spans="1:14" x14ac:dyDescent="0.25">
      <c r="A1794" s="2"/>
      <c r="B1794" t="s">
        <v>14</v>
      </c>
      <c r="C1794" s="1">
        <v>46246.999988425923</v>
      </c>
      <c r="D1794">
        <v>25.158621908218102</v>
      </c>
      <c r="E1794">
        <v>13136.913397701001</v>
      </c>
      <c r="F1794" s="1">
        <v>46246.605821759258</v>
      </c>
      <c r="G1794">
        <v>52.875832232124502</v>
      </c>
      <c r="H1794" t="s">
        <v>25</v>
      </c>
      <c r="J1794" t="s">
        <v>16</v>
      </c>
      <c r="K1794">
        <v>168621.722777477</v>
      </c>
      <c r="L1794" t="s">
        <v>17</v>
      </c>
      <c r="M1794">
        <v>0</v>
      </c>
      <c r="N1794">
        <v>7.7907598032533804E-2</v>
      </c>
    </row>
    <row r="1795" spans="1:14" x14ac:dyDescent="0.25">
      <c r="A1795" s="2"/>
      <c r="B1795" t="s">
        <v>14</v>
      </c>
      <c r="C1795" s="1">
        <v>46245.999988425923</v>
      </c>
      <c r="D1795">
        <v>25.158621908218102</v>
      </c>
      <c r="E1795">
        <v>12858.417514614899</v>
      </c>
      <c r="F1795" s="1">
        <v>46243.09915509259</v>
      </c>
      <c r="G1795">
        <v>52.875832232124502</v>
      </c>
      <c r="H1795" t="s">
        <v>25</v>
      </c>
      <c r="J1795" t="s">
        <v>16</v>
      </c>
      <c r="K1795">
        <v>168621.722777477</v>
      </c>
      <c r="L1795" t="s">
        <v>17</v>
      </c>
      <c r="M1795">
        <v>-278.49588308614301</v>
      </c>
      <c r="N1795">
        <v>7.6255996575148199E-2</v>
      </c>
    </row>
    <row r="1796" spans="1:14" x14ac:dyDescent="0.25">
      <c r="A1796" s="2"/>
      <c r="B1796" t="s">
        <v>14</v>
      </c>
      <c r="C1796" s="1">
        <v>46244.999988425923</v>
      </c>
      <c r="D1796">
        <v>25.158621908218102</v>
      </c>
      <c r="E1796">
        <v>12858.417514614899</v>
      </c>
      <c r="F1796" s="1">
        <v>46243.09915509259</v>
      </c>
      <c r="G1796">
        <v>52.875832232124502</v>
      </c>
      <c r="H1796" t="s">
        <v>25</v>
      </c>
      <c r="J1796" t="s">
        <v>16</v>
      </c>
      <c r="K1796">
        <v>168621.722777477</v>
      </c>
      <c r="L1796" t="s">
        <v>17</v>
      </c>
      <c r="M1796">
        <v>0</v>
      </c>
      <c r="N1796">
        <v>7.6255996575148199E-2</v>
      </c>
    </row>
    <row r="1797" spans="1:14" x14ac:dyDescent="0.25">
      <c r="A1797" s="2"/>
      <c r="B1797" t="s">
        <v>14</v>
      </c>
      <c r="C1797" s="1">
        <v>46243.999988425923</v>
      </c>
      <c r="D1797">
        <v>25.158621908218102</v>
      </c>
      <c r="E1797">
        <v>12858.417514614899</v>
      </c>
      <c r="F1797" s="1">
        <v>46243.09915509259</v>
      </c>
      <c r="G1797">
        <v>52.875832232124502</v>
      </c>
      <c r="H1797" t="s">
        <v>25</v>
      </c>
      <c r="J1797" t="s">
        <v>16</v>
      </c>
      <c r="K1797">
        <v>168621.722777477</v>
      </c>
      <c r="L1797" t="s">
        <v>17</v>
      </c>
      <c r="M1797">
        <v>0</v>
      </c>
      <c r="N1797">
        <v>7.6255996575148199E-2</v>
      </c>
    </row>
    <row r="1798" spans="1:14" x14ac:dyDescent="0.25">
      <c r="A1798" s="2"/>
      <c r="B1798" t="s">
        <v>14</v>
      </c>
      <c r="C1798" s="1">
        <v>46242.999988425923</v>
      </c>
      <c r="D1798">
        <v>25.158621908218102</v>
      </c>
      <c r="E1798">
        <v>13384.2624975328</v>
      </c>
      <c r="F1798" s="1">
        <v>46240.605520833335</v>
      </c>
      <c r="G1798">
        <v>52.875832232124502</v>
      </c>
      <c r="H1798" t="s">
        <v>25</v>
      </c>
      <c r="J1798" t="s">
        <v>16</v>
      </c>
      <c r="K1798">
        <v>168621.722777477</v>
      </c>
      <c r="L1798" t="s">
        <v>17</v>
      </c>
      <c r="M1798">
        <v>525.844982917886</v>
      </c>
      <c r="N1798">
        <v>7.9374485547128504E-2</v>
      </c>
    </row>
    <row r="1799" spans="1:14" x14ac:dyDescent="0.25">
      <c r="A1799" s="2"/>
      <c r="B1799" t="s">
        <v>14</v>
      </c>
      <c r="C1799" s="1">
        <v>46241.999988425923</v>
      </c>
      <c r="D1799">
        <v>25.158621908218102</v>
      </c>
      <c r="E1799">
        <v>13384.2624975328</v>
      </c>
      <c r="F1799" s="1">
        <v>46240.605520833335</v>
      </c>
      <c r="G1799">
        <v>52.875832232124502</v>
      </c>
      <c r="H1799" t="s">
        <v>25</v>
      </c>
      <c r="J1799" t="s">
        <v>16</v>
      </c>
      <c r="K1799">
        <v>168621.722777477</v>
      </c>
      <c r="L1799" t="s">
        <v>17</v>
      </c>
      <c r="M1799">
        <v>0</v>
      </c>
      <c r="N1799">
        <v>7.9374485547128504E-2</v>
      </c>
    </row>
    <row r="1800" spans="1:14" x14ac:dyDescent="0.25">
      <c r="A1800" s="2"/>
      <c r="B1800" t="s">
        <v>14</v>
      </c>
      <c r="C1800" s="1">
        <v>46240.999988425923</v>
      </c>
      <c r="D1800">
        <v>25.158621908218102</v>
      </c>
      <c r="E1800">
        <v>13384.2624975328</v>
      </c>
      <c r="F1800" s="1">
        <v>46240.605520833335</v>
      </c>
      <c r="G1800">
        <v>52.875832232124502</v>
      </c>
      <c r="H1800" t="s">
        <v>25</v>
      </c>
      <c r="J1800" t="s">
        <v>16</v>
      </c>
      <c r="K1800">
        <v>168621.722777477</v>
      </c>
      <c r="L1800" t="s">
        <v>17</v>
      </c>
      <c r="M1800">
        <v>0</v>
      </c>
      <c r="N1800">
        <v>7.9374485547128504E-2</v>
      </c>
    </row>
    <row r="1801" spans="1:14" x14ac:dyDescent="0.25">
      <c r="A1801" s="2"/>
      <c r="B1801" t="s">
        <v>14</v>
      </c>
      <c r="C1801" s="1">
        <v>46239.999988425923</v>
      </c>
      <c r="D1801">
        <v>25.158621908218102</v>
      </c>
      <c r="E1801">
        <v>12394.078563130101</v>
      </c>
      <c r="F1801" s="1">
        <v>46237.099328703705</v>
      </c>
      <c r="G1801">
        <v>52.875832232124502</v>
      </c>
      <c r="H1801" t="s">
        <v>25</v>
      </c>
      <c r="J1801" t="s">
        <v>16</v>
      </c>
      <c r="K1801">
        <v>168621.722777477</v>
      </c>
      <c r="L1801" t="s">
        <v>17</v>
      </c>
      <c r="M1801">
        <v>-990.18393440270995</v>
      </c>
      <c r="N1801">
        <v>7.3502265063950301E-2</v>
      </c>
    </row>
    <row r="1802" spans="1:14" x14ac:dyDescent="0.25">
      <c r="A1802" s="2"/>
      <c r="B1802" t="s">
        <v>14</v>
      </c>
      <c r="C1802" s="1">
        <v>46238.999988425923</v>
      </c>
      <c r="D1802">
        <v>25.158621908218102</v>
      </c>
      <c r="E1802">
        <v>12394.078563130101</v>
      </c>
      <c r="F1802" s="1">
        <v>46237.099328703705</v>
      </c>
      <c r="G1802">
        <v>52.875832232124502</v>
      </c>
      <c r="H1802" t="s">
        <v>25</v>
      </c>
      <c r="J1802" t="s">
        <v>16</v>
      </c>
      <c r="K1802">
        <v>168621.722777477</v>
      </c>
      <c r="L1802" t="s">
        <v>17</v>
      </c>
      <c r="M1802">
        <v>0</v>
      </c>
      <c r="N1802">
        <v>7.3502265063950301E-2</v>
      </c>
    </row>
    <row r="1803" spans="1:14" x14ac:dyDescent="0.25">
      <c r="A1803" s="2"/>
      <c r="B1803" t="s">
        <v>14</v>
      </c>
      <c r="C1803" s="1">
        <v>46237.999988425923</v>
      </c>
      <c r="D1803">
        <v>25.158621908218102</v>
      </c>
      <c r="E1803">
        <v>12394.078563130101</v>
      </c>
      <c r="F1803" s="1">
        <v>46237.099328703705</v>
      </c>
      <c r="G1803">
        <v>52.875832232124502</v>
      </c>
      <c r="H1803" t="s">
        <v>25</v>
      </c>
      <c r="J1803" t="s">
        <v>16</v>
      </c>
      <c r="K1803">
        <v>168621.722777477</v>
      </c>
      <c r="L1803" t="s">
        <v>17</v>
      </c>
      <c r="M1803">
        <v>0</v>
      </c>
      <c r="N1803">
        <v>7.3502265063950301E-2</v>
      </c>
    </row>
    <row r="1804" spans="1:14" x14ac:dyDescent="0.25">
      <c r="A1804" s="2"/>
      <c r="B1804" t="s">
        <v>14</v>
      </c>
      <c r="C1804" s="1">
        <v>46236.999988425923</v>
      </c>
      <c r="D1804">
        <v>25.158621908218102</v>
      </c>
      <c r="E1804">
        <v>15538.3332594699</v>
      </c>
      <c r="F1804" s="1">
        <v>46234.605810185189</v>
      </c>
      <c r="G1804">
        <v>52.875832232124502</v>
      </c>
      <c r="H1804" t="s">
        <v>25</v>
      </c>
      <c r="J1804" t="s">
        <v>16</v>
      </c>
      <c r="K1804">
        <v>168621.722777477</v>
      </c>
      <c r="L1804" t="s">
        <v>17</v>
      </c>
      <c r="M1804">
        <v>3144.2546963398299</v>
      </c>
      <c r="N1804">
        <v>9.2149060058976898E-2</v>
      </c>
    </row>
    <row r="1805" spans="1:14" x14ac:dyDescent="0.25">
      <c r="A1805" s="2"/>
      <c r="B1805" t="s">
        <v>14</v>
      </c>
      <c r="C1805" s="1">
        <v>46235.999988425923</v>
      </c>
      <c r="D1805">
        <v>25.158621908218102</v>
      </c>
      <c r="E1805">
        <v>15538.3332594699</v>
      </c>
      <c r="F1805" s="1">
        <v>46234.605810185189</v>
      </c>
      <c r="G1805">
        <v>52.875832232124502</v>
      </c>
      <c r="H1805" t="s">
        <v>25</v>
      </c>
      <c r="J1805" t="s">
        <v>16</v>
      </c>
      <c r="K1805">
        <v>168621.722777477</v>
      </c>
      <c r="L1805" t="s">
        <v>17</v>
      </c>
      <c r="M1805">
        <v>0</v>
      </c>
      <c r="N1805">
        <v>9.2149060058976898E-2</v>
      </c>
    </row>
    <row r="1806" spans="1:14" x14ac:dyDescent="0.25">
      <c r="A1806" s="2"/>
      <c r="B1806" t="s">
        <v>14</v>
      </c>
      <c r="C1806" s="1">
        <v>46234.999988425923</v>
      </c>
      <c r="D1806">
        <v>25.158621908218102</v>
      </c>
      <c r="E1806">
        <v>15538.3332594699</v>
      </c>
      <c r="F1806" s="1">
        <v>46234.605810185189</v>
      </c>
      <c r="G1806">
        <v>52.875832232124502</v>
      </c>
      <c r="H1806" t="s">
        <v>25</v>
      </c>
      <c r="J1806" t="s">
        <v>16</v>
      </c>
      <c r="K1806">
        <v>168621.722777477</v>
      </c>
      <c r="L1806" t="s">
        <v>17</v>
      </c>
      <c r="M1806">
        <v>0</v>
      </c>
      <c r="N1806">
        <v>9.2149060058976898E-2</v>
      </c>
    </row>
    <row r="1807" spans="1:14" x14ac:dyDescent="0.25">
      <c r="A1807" s="2"/>
      <c r="B1807" t="s">
        <v>14</v>
      </c>
      <c r="C1807" s="1">
        <v>46233.999988425923</v>
      </c>
      <c r="D1807">
        <v>25.158621908218102</v>
      </c>
      <c r="E1807">
        <v>11979.041900086901</v>
      </c>
      <c r="F1807" s="1">
        <v>46231.09915509259</v>
      </c>
      <c r="G1807">
        <v>52.875832232124502</v>
      </c>
      <c r="H1807" t="s">
        <v>25</v>
      </c>
      <c r="J1807" t="s">
        <v>16</v>
      </c>
      <c r="K1807">
        <v>168621.722777477</v>
      </c>
      <c r="L1807" t="s">
        <v>17</v>
      </c>
      <c r="M1807">
        <v>-3559.2913593829699</v>
      </c>
      <c r="N1807">
        <v>7.1040917521019306E-2</v>
      </c>
    </row>
    <row r="1808" spans="1:14" x14ac:dyDescent="0.25">
      <c r="A1808" s="2"/>
      <c r="B1808" t="s">
        <v>14</v>
      </c>
      <c r="C1808" s="1">
        <v>46232.999988425923</v>
      </c>
      <c r="D1808">
        <v>25.158621908218102</v>
      </c>
      <c r="E1808">
        <v>11979.041900086901</v>
      </c>
      <c r="F1808" s="1">
        <v>46231.09915509259</v>
      </c>
      <c r="G1808">
        <v>52.875832232124502</v>
      </c>
      <c r="H1808" t="s">
        <v>25</v>
      </c>
      <c r="J1808" t="s">
        <v>16</v>
      </c>
      <c r="K1808">
        <v>168621.722777477</v>
      </c>
      <c r="L1808" t="s">
        <v>17</v>
      </c>
      <c r="M1808">
        <v>0</v>
      </c>
      <c r="N1808">
        <v>7.1040917521019306E-2</v>
      </c>
    </row>
    <row r="1809" spans="1:14" x14ac:dyDescent="0.25">
      <c r="A1809" s="2"/>
      <c r="B1809" t="s">
        <v>14</v>
      </c>
      <c r="C1809" s="1">
        <v>46231.999988425923</v>
      </c>
      <c r="D1809">
        <v>25.158621908218102</v>
      </c>
      <c r="E1809">
        <v>11979.041900086901</v>
      </c>
      <c r="F1809" s="1">
        <v>46231.09915509259</v>
      </c>
      <c r="G1809">
        <v>52.875832232124502</v>
      </c>
      <c r="H1809" t="s">
        <v>25</v>
      </c>
      <c r="J1809" t="s">
        <v>16</v>
      </c>
      <c r="K1809">
        <v>168621.722777477</v>
      </c>
      <c r="L1809" t="s">
        <v>17</v>
      </c>
      <c r="M1809">
        <v>0</v>
      </c>
      <c r="N1809">
        <v>7.1040917521019306E-2</v>
      </c>
    </row>
    <row r="1810" spans="1:14" x14ac:dyDescent="0.25">
      <c r="A1810" s="2"/>
      <c r="B1810" t="s">
        <v>14</v>
      </c>
      <c r="C1810" s="1">
        <v>46230.999988425923</v>
      </c>
      <c r="D1810">
        <v>25.158621908218102</v>
      </c>
      <c r="E1810">
        <v>12560.864170422799</v>
      </c>
      <c r="F1810" s="1">
        <v>46228.605520833335</v>
      </c>
      <c r="G1810">
        <v>52.875832232124502</v>
      </c>
      <c r="H1810" t="s">
        <v>25</v>
      </c>
      <c r="J1810" t="s">
        <v>16</v>
      </c>
      <c r="K1810">
        <v>168621.722777477</v>
      </c>
      <c r="L1810" t="s">
        <v>17</v>
      </c>
      <c r="M1810">
        <v>581.82227033586196</v>
      </c>
      <c r="N1810">
        <v>7.4491376102228696E-2</v>
      </c>
    </row>
    <row r="1811" spans="1:14" x14ac:dyDescent="0.25">
      <c r="A1811" s="2"/>
      <c r="B1811" t="s">
        <v>14</v>
      </c>
      <c r="C1811" s="1">
        <v>46229.999988425923</v>
      </c>
      <c r="D1811">
        <v>25.158621908218102</v>
      </c>
      <c r="E1811">
        <v>12560.864170422799</v>
      </c>
      <c r="F1811" s="1">
        <v>46228.605520833335</v>
      </c>
      <c r="G1811">
        <v>52.875832232124502</v>
      </c>
      <c r="H1811" t="s">
        <v>25</v>
      </c>
      <c r="J1811" t="s">
        <v>16</v>
      </c>
      <c r="K1811">
        <v>168621.722777477</v>
      </c>
      <c r="L1811" t="s">
        <v>17</v>
      </c>
      <c r="M1811">
        <v>0</v>
      </c>
      <c r="N1811">
        <v>7.4491376102228696E-2</v>
      </c>
    </row>
    <row r="1812" spans="1:14" x14ac:dyDescent="0.25">
      <c r="A1812" s="2"/>
      <c r="B1812" t="s">
        <v>14</v>
      </c>
      <c r="C1812" s="1">
        <v>46228.999988425923</v>
      </c>
      <c r="D1812">
        <v>25.158621908218102</v>
      </c>
      <c r="E1812">
        <v>12560.864170422799</v>
      </c>
      <c r="F1812" s="1">
        <v>46228.605520833335</v>
      </c>
      <c r="G1812">
        <v>52.875832232124502</v>
      </c>
      <c r="H1812" t="s">
        <v>25</v>
      </c>
      <c r="J1812" t="s">
        <v>16</v>
      </c>
      <c r="K1812">
        <v>168621.722777477</v>
      </c>
      <c r="L1812" t="s">
        <v>17</v>
      </c>
      <c r="M1812">
        <v>0</v>
      </c>
      <c r="N1812">
        <v>7.4491376102228696E-2</v>
      </c>
    </row>
    <row r="1813" spans="1:14" x14ac:dyDescent="0.25">
      <c r="A1813" s="2"/>
      <c r="B1813" t="s">
        <v>14</v>
      </c>
      <c r="C1813" s="1">
        <v>46227.999988425923</v>
      </c>
      <c r="D1813">
        <v>25.158621908218102</v>
      </c>
      <c r="E1813">
        <v>13357.194954217201</v>
      </c>
      <c r="F1813" s="1">
        <v>46225.099317129629</v>
      </c>
      <c r="G1813">
        <v>52.875832232124502</v>
      </c>
      <c r="H1813" t="s">
        <v>25</v>
      </c>
      <c r="J1813" t="s">
        <v>16</v>
      </c>
      <c r="K1813">
        <v>168621.722777477</v>
      </c>
      <c r="L1813" t="s">
        <v>17</v>
      </c>
      <c r="M1813">
        <v>796.33078379445897</v>
      </c>
      <c r="N1813">
        <v>7.9213963267616302E-2</v>
      </c>
    </row>
    <row r="1814" spans="1:14" x14ac:dyDescent="0.25">
      <c r="A1814" s="2"/>
      <c r="B1814" t="s">
        <v>14</v>
      </c>
      <c r="C1814" s="1">
        <v>46226.999988425923</v>
      </c>
      <c r="D1814">
        <v>25.158621908218102</v>
      </c>
      <c r="E1814">
        <v>13357.194954217201</v>
      </c>
      <c r="F1814" s="1">
        <v>46225.099317129629</v>
      </c>
      <c r="G1814">
        <v>52.875832232124502</v>
      </c>
      <c r="H1814" t="s">
        <v>25</v>
      </c>
      <c r="J1814" t="s">
        <v>16</v>
      </c>
      <c r="K1814">
        <v>168621.722777477</v>
      </c>
      <c r="L1814" t="s">
        <v>17</v>
      </c>
      <c r="M1814">
        <v>0</v>
      </c>
      <c r="N1814">
        <v>7.9213963267616302E-2</v>
      </c>
    </row>
    <row r="1815" spans="1:14" x14ac:dyDescent="0.25">
      <c r="A1815" s="2"/>
      <c r="B1815" t="s">
        <v>14</v>
      </c>
      <c r="C1815" s="1">
        <v>46225.999988425923</v>
      </c>
      <c r="D1815">
        <v>25.158621908218102</v>
      </c>
      <c r="E1815">
        <v>13357.194954217201</v>
      </c>
      <c r="F1815" s="1">
        <v>46225.099317129629</v>
      </c>
      <c r="G1815">
        <v>52.875832232124502</v>
      </c>
      <c r="H1815" t="s">
        <v>25</v>
      </c>
      <c r="J1815" t="s">
        <v>16</v>
      </c>
      <c r="K1815">
        <v>168621.722777477</v>
      </c>
      <c r="L1815" t="s">
        <v>17</v>
      </c>
      <c r="M1815">
        <v>0</v>
      </c>
      <c r="N1815">
        <v>7.9213963267616302E-2</v>
      </c>
    </row>
    <row r="1816" spans="1:14" x14ac:dyDescent="0.25">
      <c r="A1816" s="2"/>
      <c r="B1816" t="s">
        <v>14</v>
      </c>
      <c r="C1816" s="1">
        <v>46224.999988425923</v>
      </c>
      <c r="D1816">
        <v>25.158621908218102</v>
      </c>
      <c r="E1816">
        <v>15182.0944695178</v>
      </c>
      <c r="F1816" s="1">
        <v>46222.605810185189</v>
      </c>
      <c r="G1816">
        <v>52.875832232124502</v>
      </c>
      <c r="H1816" t="s">
        <v>25</v>
      </c>
      <c r="J1816" t="s">
        <v>16</v>
      </c>
      <c r="K1816">
        <v>168621.722777477</v>
      </c>
      <c r="L1816" t="s">
        <v>17</v>
      </c>
      <c r="M1816">
        <v>1824.8995153005501</v>
      </c>
      <c r="N1816">
        <v>9.00364094224856E-2</v>
      </c>
    </row>
    <row r="1817" spans="1:14" x14ac:dyDescent="0.25">
      <c r="A1817" s="2"/>
      <c r="B1817" t="s">
        <v>14</v>
      </c>
      <c r="C1817" s="1">
        <v>46223.999988425923</v>
      </c>
      <c r="D1817">
        <v>25.158621908218102</v>
      </c>
      <c r="E1817">
        <v>15182.0944695178</v>
      </c>
      <c r="F1817" s="1">
        <v>46222.605810185189</v>
      </c>
      <c r="G1817">
        <v>52.875832232124502</v>
      </c>
      <c r="H1817" t="s">
        <v>25</v>
      </c>
      <c r="J1817" t="s">
        <v>16</v>
      </c>
      <c r="K1817">
        <v>168621.722777477</v>
      </c>
      <c r="L1817" t="s">
        <v>17</v>
      </c>
      <c r="M1817">
        <v>0</v>
      </c>
      <c r="N1817">
        <v>9.00364094224856E-2</v>
      </c>
    </row>
    <row r="1818" spans="1:14" x14ac:dyDescent="0.25">
      <c r="A1818" s="2"/>
      <c r="B1818" t="s">
        <v>14</v>
      </c>
      <c r="C1818" s="1">
        <v>46222.999988425923</v>
      </c>
      <c r="D1818">
        <v>25.158621908218102</v>
      </c>
      <c r="E1818">
        <v>15182.0944695178</v>
      </c>
      <c r="F1818" s="1">
        <v>46222.605810185189</v>
      </c>
      <c r="G1818">
        <v>52.875832232124502</v>
      </c>
      <c r="H1818" t="s">
        <v>25</v>
      </c>
      <c r="J1818" t="s">
        <v>16</v>
      </c>
      <c r="K1818">
        <v>168621.722777477</v>
      </c>
      <c r="L1818" t="s">
        <v>17</v>
      </c>
      <c r="M1818">
        <v>0</v>
      </c>
      <c r="N1818">
        <v>9.00364094224856E-2</v>
      </c>
    </row>
    <row r="1819" spans="1:14" x14ac:dyDescent="0.25">
      <c r="A1819" s="2"/>
      <c r="B1819" t="s">
        <v>14</v>
      </c>
      <c r="C1819" s="1">
        <v>46221.999988425923</v>
      </c>
      <c r="D1819">
        <v>25.158621908218102</v>
      </c>
      <c r="E1819">
        <v>12633.7055394772</v>
      </c>
      <c r="F1819" s="1">
        <v>46219.099143518521</v>
      </c>
      <c r="G1819">
        <v>52.875832232124502</v>
      </c>
      <c r="H1819" t="s">
        <v>25</v>
      </c>
      <c r="J1819" t="s">
        <v>16</v>
      </c>
      <c r="K1819">
        <v>168621.722777477</v>
      </c>
      <c r="L1819" t="s">
        <v>17</v>
      </c>
      <c r="M1819">
        <v>-2548.3889300405499</v>
      </c>
      <c r="N1819">
        <v>7.49233570347837E-2</v>
      </c>
    </row>
    <row r="1820" spans="1:14" x14ac:dyDescent="0.25">
      <c r="A1820" s="2"/>
      <c r="B1820" t="s">
        <v>14</v>
      </c>
      <c r="C1820" s="1">
        <v>46220.999988425923</v>
      </c>
      <c r="D1820">
        <v>25.158621908218102</v>
      </c>
      <c r="E1820">
        <v>12633.7055394772</v>
      </c>
      <c r="F1820" s="1">
        <v>46219.099143518521</v>
      </c>
      <c r="G1820">
        <v>52.875832232124502</v>
      </c>
      <c r="H1820" t="s">
        <v>25</v>
      </c>
      <c r="J1820" t="s">
        <v>16</v>
      </c>
      <c r="K1820">
        <v>168621.722777477</v>
      </c>
      <c r="L1820" t="s">
        <v>17</v>
      </c>
      <c r="M1820">
        <v>0</v>
      </c>
      <c r="N1820">
        <v>7.49233570347837E-2</v>
      </c>
    </row>
    <row r="1821" spans="1:14" x14ac:dyDescent="0.25">
      <c r="A1821" s="2"/>
      <c r="B1821" t="s">
        <v>14</v>
      </c>
      <c r="C1821" s="1">
        <v>46219.999988425923</v>
      </c>
      <c r="D1821">
        <v>25.158621908218102</v>
      </c>
      <c r="E1821">
        <v>12633.7055394772</v>
      </c>
      <c r="F1821" s="1">
        <v>46219.099143518521</v>
      </c>
      <c r="G1821">
        <v>52.875832232124502</v>
      </c>
      <c r="H1821" t="s">
        <v>25</v>
      </c>
      <c r="J1821" t="s">
        <v>16</v>
      </c>
      <c r="K1821">
        <v>168621.722777477</v>
      </c>
      <c r="L1821" t="s">
        <v>17</v>
      </c>
      <c r="M1821">
        <v>0</v>
      </c>
      <c r="N1821">
        <v>7.49233570347837E-2</v>
      </c>
    </row>
    <row r="1822" spans="1:14" x14ac:dyDescent="0.25">
      <c r="A1822" s="2"/>
      <c r="B1822" t="s">
        <v>14</v>
      </c>
      <c r="C1822" s="1">
        <v>46218.999988425923</v>
      </c>
      <c r="D1822">
        <v>25.158621908218102</v>
      </c>
      <c r="E1822">
        <v>12584.055778875399</v>
      </c>
      <c r="F1822" s="1">
        <v>46216.605509259258</v>
      </c>
      <c r="G1822">
        <v>52.875832232124502</v>
      </c>
      <c r="H1822" t="s">
        <v>25</v>
      </c>
      <c r="J1822" t="s">
        <v>16</v>
      </c>
      <c r="K1822">
        <v>168621.722777477</v>
      </c>
      <c r="L1822" t="s">
        <v>17</v>
      </c>
      <c r="M1822">
        <v>-49.649760601838302</v>
      </c>
      <c r="N1822">
        <v>7.4628912405799802E-2</v>
      </c>
    </row>
    <row r="1823" spans="1:14" x14ac:dyDescent="0.25">
      <c r="A1823" s="2"/>
      <c r="B1823" t="s">
        <v>14</v>
      </c>
      <c r="C1823" s="1">
        <v>46217.999988425923</v>
      </c>
      <c r="D1823">
        <v>25.158621908218102</v>
      </c>
      <c r="E1823">
        <v>12584.055778875399</v>
      </c>
      <c r="F1823" s="1">
        <v>46216.605509259258</v>
      </c>
      <c r="G1823">
        <v>52.875832232124502</v>
      </c>
      <c r="H1823" t="s">
        <v>25</v>
      </c>
      <c r="J1823" t="s">
        <v>16</v>
      </c>
      <c r="K1823">
        <v>168621.722777477</v>
      </c>
      <c r="L1823" t="s">
        <v>17</v>
      </c>
      <c r="M1823">
        <v>0</v>
      </c>
      <c r="N1823">
        <v>7.4628912405799802E-2</v>
      </c>
    </row>
    <row r="1824" spans="1:14" x14ac:dyDescent="0.25">
      <c r="A1824" s="2"/>
      <c r="B1824" t="s">
        <v>14</v>
      </c>
      <c r="C1824" s="1">
        <v>46216.999988425923</v>
      </c>
      <c r="D1824">
        <v>25.158621908218102</v>
      </c>
      <c r="E1824">
        <v>12584.055778875399</v>
      </c>
      <c r="F1824" s="1">
        <v>46216.605509259258</v>
      </c>
      <c r="G1824">
        <v>52.875832232124502</v>
      </c>
      <c r="H1824" t="s">
        <v>25</v>
      </c>
      <c r="J1824" t="s">
        <v>16</v>
      </c>
      <c r="K1824">
        <v>168621.722777477</v>
      </c>
      <c r="L1824" t="s">
        <v>17</v>
      </c>
      <c r="M1824">
        <v>0</v>
      </c>
      <c r="N1824">
        <v>7.4628912405799802E-2</v>
      </c>
    </row>
    <row r="1825" spans="1:14" x14ac:dyDescent="0.25">
      <c r="A1825" s="2"/>
      <c r="B1825" t="s">
        <v>14</v>
      </c>
      <c r="C1825" s="1">
        <v>46215.999988425923</v>
      </c>
      <c r="D1825">
        <v>25.158621908218102</v>
      </c>
      <c r="E1825">
        <v>13658.667957703499</v>
      </c>
      <c r="F1825" s="1">
        <v>46213.099305555559</v>
      </c>
      <c r="G1825">
        <v>52.875832232124502</v>
      </c>
      <c r="H1825" t="s">
        <v>25</v>
      </c>
      <c r="J1825" t="s">
        <v>16</v>
      </c>
      <c r="K1825">
        <v>168621.722777477</v>
      </c>
      <c r="L1825" t="s">
        <v>17</v>
      </c>
      <c r="M1825">
        <v>1074.6121788281</v>
      </c>
      <c r="N1825">
        <v>8.1001829021331198E-2</v>
      </c>
    </row>
    <row r="1826" spans="1:14" x14ac:dyDescent="0.25">
      <c r="A1826" s="2"/>
      <c r="B1826" t="s">
        <v>14</v>
      </c>
      <c r="C1826" s="1">
        <v>46214.999988425923</v>
      </c>
      <c r="D1826">
        <v>25.158621908218102</v>
      </c>
      <c r="E1826">
        <v>13658.667957703499</v>
      </c>
      <c r="F1826" s="1">
        <v>46213.099305555559</v>
      </c>
      <c r="G1826">
        <v>52.875832232124502</v>
      </c>
      <c r="H1826" t="s">
        <v>25</v>
      </c>
      <c r="J1826" t="s">
        <v>16</v>
      </c>
      <c r="K1826">
        <v>168621.722777477</v>
      </c>
      <c r="L1826" t="s">
        <v>17</v>
      </c>
      <c r="M1826">
        <v>0</v>
      </c>
      <c r="N1826">
        <v>8.1001829021331198E-2</v>
      </c>
    </row>
    <row r="1827" spans="1:14" x14ac:dyDescent="0.25">
      <c r="B1827" t="s">
        <v>14</v>
      </c>
      <c r="C1827" s="1">
        <v>46213.999988425923</v>
      </c>
      <c r="D1827">
        <v>25.158621908218102</v>
      </c>
      <c r="E1827">
        <v>13658.667957703499</v>
      </c>
      <c r="F1827" s="1">
        <v>46213.099305555559</v>
      </c>
      <c r="G1827">
        <v>52.875832232124502</v>
      </c>
      <c r="H1827" t="s">
        <v>25</v>
      </c>
      <c r="J1827" t="s">
        <v>16</v>
      </c>
      <c r="K1827">
        <v>168621.722777477</v>
      </c>
      <c r="L1827" t="s">
        <v>17</v>
      </c>
      <c r="M1827">
        <v>0</v>
      </c>
      <c r="N1827">
        <v>8.1001829021331198E-2</v>
      </c>
    </row>
    <row r="1828" spans="1:14" x14ac:dyDescent="0.25">
      <c r="B1828" t="s">
        <v>14</v>
      </c>
      <c r="C1828" s="1">
        <v>46212.999988425923</v>
      </c>
      <c r="D1828">
        <v>25.158621908218102</v>
      </c>
      <c r="E1828">
        <v>12409.9429004577</v>
      </c>
      <c r="F1828" s="1">
        <v>46210.605798611112</v>
      </c>
      <c r="G1828">
        <v>52.875832232124502</v>
      </c>
      <c r="H1828" t="s">
        <v>25</v>
      </c>
      <c r="J1828" t="s">
        <v>16</v>
      </c>
      <c r="K1828">
        <v>168621.722777477</v>
      </c>
      <c r="L1828" t="s">
        <v>17</v>
      </c>
      <c r="M1828">
        <v>-1248.7250572457499</v>
      </c>
      <c r="N1828">
        <v>7.3596347469623596E-2</v>
      </c>
    </row>
    <row r="1829" spans="1:14" x14ac:dyDescent="0.25">
      <c r="B1829" t="s">
        <v>14</v>
      </c>
      <c r="C1829" s="1">
        <v>46211.999988425923</v>
      </c>
      <c r="D1829">
        <v>25.158621908218102</v>
      </c>
      <c r="E1829">
        <v>12409.9429004577</v>
      </c>
      <c r="F1829" s="1">
        <v>46210.605798611112</v>
      </c>
      <c r="G1829">
        <v>52.875832232124502</v>
      </c>
      <c r="H1829" t="s">
        <v>25</v>
      </c>
      <c r="J1829" t="s">
        <v>16</v>
      </c>
      <c r="K1829">
        <v>168621.722777477</v>
      </c>
      <c r="L1829" t="s">
        <v>17</v>
      </c>
      <c r="M1829">
        <v>0</v>
      </c>
      <c r="N1829">
        <v>7.3596347469623596E-2</v>
      </c>
    </row>
    <row r="1830" spans="1:14" x14ac:dyDescent="0.25">
      <c r="B1830" t="s">
        <v>14</v>
      </c>
      <c r="C1830" s="1">
        <v>46210.999988425923</v>
      </c>
      <c r="D1830">
        <v>25.158621908218102</v>
      </c>
      <c r="E1830">
        <v>12409.9429004577</v>
      </c>
      <c r="F1830" s="1">
        <v>46210.605798611112</v>
      </c>
      <c r="G1830">
        <v>52.875832232124502</v>
      </c>
      <c r="H1830" t="s">
        <v>25</v>
      </c>
      <c r="J1830" t="s">
        <v>16</v>
      </c>
      <c r="K1830">
        <v>168621.722777477</v>
      </c>
      <c r="L1830" t="s">
        <v>17</v>
      </c>
      <c r="M1830">
        <v>0</v>
      </c>
      <c r="N1830">
        <v>7.3596347469623596E-2</v>
      </c>
    </row>
    <row r="1831" spans="1:14" x14ac:dyDescent="0.25">
      <c r="B1831" t="s">
        <v>14</v>
      </c>
      <c r="C1831" s="1">
        <v>46209.999988425923</v>
      </c>
      <c r="D1831">
        <v>25.158621908218102</v>
      </c>
      <c r="E1831">
        <v>13209.846774376299</v>
      </c>
      <c r="F1831" s="1">
        <v>46207.099131944444</v>
      </c>
      <c r="G1831">
        <v>52.875832232124502</v>
      </c>
      <c r="H1831" t="s">
        <v>25</v>
      </c>
      <c r="J1831" t="s">
        <v>16</v>
      </c>
      <c r="K1831">
        <v>168621.722777477</v>
      </c>
      <c r="L1831" t="s">
        <v>17</v>
      </c>
      <c r="M1831">
        <v>799.90387391851903</v>
      </c>
      <c r="N1831">
        <v>7.8340124610212503E-2</v>
      </c>
    </row>
    <row r="1832" spans="1:14" x14ac:dyDescent="0.25">
      <c r="B1832" t="s">
        <v>14</v>
      </c>
      <c r="C1832" s="1">
        <v>46208.999988425923</v>
      </c>
      <c r="D1832">
        <v>25.158621908218102</v>
      </c>
      <c r="E1832">
        <v>13209.846774376299</v>
      </c>
      <c r="F1832" s="1">
        <v>46207.099131944444</v>
      </c>
      <c r="G1832">
        <v>52.875832232124502</v>
      </c>
      <c r="H1832" t="s">
        <v>25</v>
      </c>
      <c r="J1832" t="s">
        <v>16</v>
      </c>
      <c r="K1832">
        <v>168621.722777477</v>
      </c>
      <c r="L1832" t="s">
        <v>17</v>
      </c>
      <c r="M1832">
        <v>0</v>
      </c>
      <c r="N1832">
        <v>7.8340124610212503E-2</v>
      </c>
    </row>
    <row r="1833" spans="1:14" x14ac:dyDescent="0.25">
      <c r="B1833" t="s">
        <v>14</v>
      </c>
      <c r="C1833" s="1">
        <v>46207.999988425923</v>
      </c>
      <c r="D1833">
        <v>25.158621908218102</v>
      </c>
      <c r="E1833">
        <v>13209.846774376299</v>
      </c>
      <c r="F1833" s="1">
        <v>46207.099131944444</v>
      </c>
      <c r="G1833">
        <v>52.875832232124502</v>
      </c>
      <c r="H1833" t="s">
        <v>25</v>
      </c>
      <c r="J1833" t="s">
        <v>16</v>
      </c>
      <c r="K1833">
        <v>168621.722777477</v>
      </c>
      <c r="L1833" t="s">
        <v>17</v>
      </c>
      <c r="M1833">
        <v>0</v>
      </c>
      <c r="N1833">
        <v>7.8340124610212503E-2</v>
      </c>
    </row>
    <row r="1834" spans="1:14" x14ac:dyDescent="0.25">
      <c r="B1834" t="s">
        <v>14</v>
      </c>
      <c r="C1834" s="1">
        <v>46206.999988425923</v>
      </c>
      <c r="D1834">
        <v>25.158621908218102</v>
      </c>
      <c r="E1834">
        <v>7147.8405873040001</v>
      </c>
      <c r="F1834" s="1">
        <v>46204.605509259258</v>
      </c>
      <c r="G1834">
        <v>52.875832232124502</v>
      </c>
      <c r="H1834" t="s">
        <v>25</v>
      </c>
      <c r="J1834" t="s">
        <v>16</v>
      </c>
      <c r="K1834">
        <v>168621.722777477</v>
      </c>
      <c r="L1834" t="s">
        <v>17</v>
      </c>
      <c r="M1834">
        <v>-6062.0061870723102</v>
      </c>
      <c r="N1834">
        <v>4.2389796934625502E-2</v>
      </c>
    </row>
    <row r="1835" spans="1:14" x14ac:dyDescent="0.25">
      <c r="B1835" t="s">
        <v>14</v>
      </c>
      <c r="C1835" s="1">
        <v>46205.999988425923</v>
      </c>
      <c r="D1835">
        <v>25.158621908218102</v>
      </c>
      <c r="E1835">
        <v>7147.8405873040001</v>
      </c>
      <c r="F1835" s="1">
        <v>46204.605509259258</v>
      </c>
      <c r="G1835">
        <v>52.875832232124502</v>
      </c>
      <c r="H1835" t="s">
        <v>25</v>
      </c>
      <c r="J1835" t="s">
        <v>16</v>
      </c>
      <c r="K1835">
        <v>168621.722777477</v>
      </c>
      <c r="L1835" t="s">
        <v>17</v>
      </c>
      <c r="M1835">
        <v>0</v>
      </c>
      <c r="N1835">
        <v>4.2389796934625502E-2</v>
      </c>
    </row>
    <row r="1836" spans="1:14" x14ac:dyDescent="0.25">
      <c r="B1836" t="s">
        <v>14</v>
      </c>
      <c r="C1836" s="1">
        <v>46204.999988425923</v>
      </c>
      <c r="D1836">
        <v>25.158621908218102</v>
      </c>
      <c r="E1836">
        <v>7147.8405873040001</v>
      </c>
      <c r="F1836" s="1">
        <v>46204.605509259258</v>
      </c>
      <c r="G1836">
        <v>52.875832232124502</v>
      </c>
      <c r="H1836" t="s">
        <v>25</v>
      </c>
      <c r="J1836" t="s">
        <v>16</v>
      </c>
      <c r="K1836">
        <v>168621.722777477</v>
      </c>
      <c r="L1836" t="s">
        <v>17</v>
      </c>
      <c r="M1836">
        <v>0</v>
      </c>
      <c r="N1836">
        <v>4.2389796934625502E-2</v>
      </c>
    </row>
    <row r="1837" spans="1:14" x14ac:dyDescent="0.25">
      <c r="B1837" t="s">
        <v>14</v>
      </c>
      <c r="C1837" s="1">
        <v>46203.999988425923</v>
      </c>
      <c r="D1837">
        <v>25.158621908218102</v>
      </c>
      <c r="E1837">
        <v>13110.9185516829</v>
      </c>
      <c r="F1837" s="1">
        <v>46201.099305555559</v>
      </c>
      <c r="G1837">
        <v>52.875832232124502</v>
      </c>
      <c r="H1837" t="s">
        <v>25</v>
      </c>
      <c r="J1837" t="s">
        <v>16</v>
      </c>
      <c r="K1837">
        <v>168621.722777477</v>
      </c>
      <c r="L1837" t="s">
        <v>17</v>
      </c>
      <c r="M1837">
        <v>5963.0779643789501</v>
      </c>
      <c r="N1837">
        <v>7.7753437313559104E-2</v>
      </c>
    </row>
    <row r="1838" spans="1:14" x14ac:dyDescent="0.25">
      <c r="B1838" t="s">
        <v>14</v>
      </c>
      <c r="C1838" s="1">
        <v>46202.999988425923</v>
      </c>
      <c r="D1838">
        <v>25.158621908218102</v>
      </c>
      <c r="E1838">
        <v>13110.9185516829</v>
      </c>
      <c r="F1838" s="1">
        <v>46201.099305555559</v>
      </c>
      <c r="G1838">
        <v>52.875832232124502</v>
      </c>
      <c r="H1838" t="s">
        <v>25</v>
      </c>
      <c r="J1838" t="s">
        <v>16</v>
      </c>
      <c r="K1838">
        <v>168621.722777477</v>
      </c>
      <c r="L1838" t="s">
        <v>17</v>
      </c>
      <c r="M1838">
        <v>0</v>
      </c>
      <c r="N1838">
        <v>7.7753437313559104E-2</v>
      </c>
    </row>
    <row r="1839" spans="1:14" x14ac:dyDescent="0.25">
      <c r="B1839" t="s">
        <v>14</v>
      </c>
      <c r="C1839" s="1">
        <v>46201.999988425923</v>
      </c>
      <c r="D1839">
        <v>25.158621908218102</v>
      </c>
      <c r="E1839">
        <v>13110.9185516829</v>
      </c>
      <c r="F1839" s="1">
        <v>46201.099305555559</v>
      </c>
      <c r="G1839">
        <v>52.875832232124502</v>
      </c>
      <c r="H1839" t="s">
        <v>25</v>
      </c>
      <c r="J1839" t="s">
        <v>16</v>
      </c>
      <c r="K1839">
        <v>168621.722777477</v>
      </c>
      <c r="L1839" t="s">
        <v>17</v>
      </c>
      <c r="M1839">
        <v>0</v>
      </c>
      <c r="N1839">
        <v>7.7753437313559104E-2</v>
      </c>
    </row>
    <row r="1840" spans="1:14" x14ac:dyDescent="0.25">
      <c r="B1840" t="s">
        <v>14</v>
      </c>
      <c r="C1840" s="1">
        <v>46200.999988425923</v>
      </c>
      <c r="D1840">
        <v>25.158621908218102</v>
      </c>
      <c r="E1840">
        <v>15167.0766383931</v>
      </c>
      <c r="F1840" s="1">
        <v>46198.605787037035</v>
      </c>
      <c r="G1840">
        <v>52.875832232124502</v>
      </c>
      <c r="H1840" t="s">
        <v>25</v>
      </c>
      <c r="J1840" t="s">
        <v>16</v>
      </c>
      <c r="K1840">
        <v>168621.722777477</v>
      </c>
      <c r="L1840" t="s">
        <v>17</v>
      </c>
      <c r="M1840">
        <v>2056.1580867101702</v>
      </c>
      <c r="N1840">
        <v>8.9947347165990094E-2</v>
      </c>
    </row>
    <row r="1841" spans="2:14" x14ac:dyDescent="0.25">
      <c r="B1841" t="s">
        <v>14</v>
      </c>
      <c r="C1841" s="1">
        <v>46199.999988425923</v>
      </c>
      <c r="D1841">
        <v>25.158621908218102</v>
      </c>
      <c r="E1841">
        <v>15167.0766383931</v>
      </c>
      <c r="F1841" s="1">
        <v>46198.605787037035</v>
      </c>
      <c r="G1841">
        <v>52.875832232124502</v>
      </c>
      <c r="H1841" t="s">
        <v>25</v>
      </c>
      <c r="J1841" t="s">
        <v>16</v>
      </c>
      <c r="K1841">
        <v>168621.722777477</v>
      </c>
      <c r="L1841" t="s">
        <v>17</v>
      </c>
      <c r="M1841">
        <v>0</v>
      </c>
      <c r="N1841">
        <v>8.9947347165990094E-2</v>
      </c>
    </row>
    <row r="1842" spans="2:14" x14ac:dyDescent="0.25">
      <c r="B1842" t="s">
        <v>14</v>
      </c>
      <c r="C1842" s="1">
        <v>46198.999988425923</v>
      </c>
      <c r="D1842">
        <v>25.158621908218102</v>
      </c>
      <c r="E1842">
        <v>15167.0766383931</v>
      </c>
      <c r="F1842" s="1">
        <v>46198.605787037035</v>
      </c>
      <c r="G1842">
        <v>52.875832232124502</v>
      </c>
      <c r="H1842" t="s">
        <v>25</v>
      </c>
      <c r="J1842" t="s">
        <v>16</v>
      </c>
      <c r="K1842">
        <v>168621.722777477</v>
      </c>
      <c r="L1842" t="s">
        <v>17</v>
      </c>
      <c r="M1842">
        <v>0</v>
      </c>
      <c r="N1842">
        <v>8.9947347165990094E-2</v>
      </c>
    </row>
    <row r="1843" spans="2:14" x14ac:dyDescent="0.25">
      <c r="B1843" t="s">
        <v>14</v>
      </c>
      <c r="C1843" s="1">
        <v>46197.999988425923</v>
      </c>
      <c r="D1843">
        <v>25.158621908218102</v>
      </c>
      <c r="E1843">
        <v>13531.699798515399</v>
      </c>
      <c r="F1843" s="1">
        <v>46194.099780092591</v>
      </c>
      <c r="G1843">
        <v>52.875832232124502</v>
      </c>
      <c r="H1843" t="s">
        <v>25</v>
      </c>
      <c r="J1843" t="s">
        <v>16</v>
      </c>
      <c r="K1843">
        <v>168621.722777477</v>
      </c>
      <c r="L1843" t="s">
        <v>17</v>
      </c>
      <c r="M1843">
        <v>-1635.3768398776499</v>
      </c>
      <c r="N1843">
        <v>8.0248852731582096E-2</v>
      </c>
    </row>
    <row r="1844" spans="2:14" x14ac:dyDescent="0.25">
      <c r="B1844" t="s">
        <v>14</v>
      </c>
      <c r="C1844" s="1">
        <v>46196.999988425923</v>
      </c>
      <c r="D1844">
        <v>25.158621908218102</v>
      </c>
      <c r="E1844">
        <v>13531.699798515399</v>
      </c>
      <c r="F1844" s="1">
        <v>46194.099780092591</v>
      </c>
      <c r="G1844">
        <v>52.875832232124502</v>
      </c>
      <c r="H1844" t="s">
        <v>25</v>
      </c>
      <c r="J1844" t="s">
        <v>16</v>
      </c>
      <c r="K1844">
        <v>168621.722777477</v>
      </c>
      <c r="L1844" t="s">
        <v>17</v>
      </c>
      <c r="M1844">
        <v>0</v>
      </c>
      <c r="N1844">
        <v>8.0248852731582096E-2</v>
      </c>
    </row>
    <row r="1845" spans="2:14" x14ac:dyDescent="0.25">
      <c r="B1845" t="s">
        <v>14</v>
      </c>
      <c r="C1845" s="1">
        <v>46195.999988425923</v>
      </c>
      <c r="D1845">
        <v>25.158621908218102</v>
      </c>
      <c r="E1845">
        <v>13531.699798515399</v>
      </c>
      <c r="F1845" s="1">
        <v>46194.099780092591</v>
      </c>
      <c r="G1845">
        <v>52.875832232124502</v>
      </c>
      <c r="H1845" t="s">
        <v>25</v>
      </c>
      <c r="J1845" t="s">
        <v>16</v>
      </c>
      <c r="K1845">
        <v>168621.722777477</v>
      </c>
      <c r="L1845" t="s">
        <v>17</v>
      </c>
      <c r="M1845">
        <v>0</v>
      </c>
      <c r="N1845">
        <v>8.0248852731582096E-2</v>
      </c>
    </row>
    <row r="1846" spans="2:14" x14ac:dyDescent="0.25">
      <c r="B1846" t="s">
        <v>14</v>
      </c>
      <c r="C1846" s="1">
        <v>46194.999988425923</v>
      </c>
      <c r="D1846">
        <v>25.158621908218102</v>
      </c>
      <c r="E1846">
        <v>13531.699798515399</v>
      </c>
      <c r="F1846" s="1">
        <v>46194.099780092591</v>
      </c>
      <c r="G1846">
        <v>52.875832232124502</v>
      </c>
      <c r="H1846" t="s">
        <v>25</v>
      </c>
      <c r="J1846" t="s">
        <v>16</v>
      </c>
      <c r="K1846">
        <v>168621.722777477</v>
      </c>
      <c r="L1846" t="s">
        <v>17</v>
      </c>
      <c r="M1846">
        <v>0</v>
      </c>
      <c r="N1846">
        <v>8.0248852731582096E-2</v>
      </c>
    </row>
    <row r="1847" spans="2:14" x14ac:dyDescent="0.25">
      <c r="B1847" t="s">
        <v>14</v>
      </c>
      <c r="C1847" s="1">
        <v>46193.999988425923</v>
      </c>
      <c r="D1847">
        <v>25.158621908218102</v>
      </c>
      <c r="E1847">
        <v>10972.5833375282</v>
      </c>
      <c r="F1847" s="1">
        <v>46191.606261574074</v>
      </c>
      <c r="G1847">
        <v>52.875832232124502</v>
      </c>
      <c r="H1847" t="s">
        <v>25</v>
      </c>
      <c r="J1847" t="s">
        <v>16</v>
      </c>
      <c r="K1847">
        <v>168621.722777477</v>
      </c>
      <c r="L1847" t="s">
        <v>17</v>
      </c>
      <c r="M1847">
        <v>-2559.1164609872499</v>
      </c>
      <c r="N1847">
        <v>6.5072181429484205E-2</v>
      </c>
    </row>
    <row r="1848" spans="2:14" x14ac:dyDescent="0.25">
      <c r="B1848" t="s">
        <v>14</v>
      </c>
      <c r="C1848" s="1">
        <v>46192.999988425923</v>
      </c>
      <c r="D1848">
        <v>25.158621908218102</v>
      </c>
      <c r="E1848">
        <v>10972.5833375282</v>
      </c>
      <c r="F1848" s="1">
        <v>46191.606261574074</v>
      </c>
      <c r="G1848">
        <v>52.875832232124502</v>
      </c>
      <c r="H1848" t="s">
        <v>25</v>
      </c>
      <c r="J1848" t="s">
        <v>16</v>
      </c>
      <c r="K1848">
        <v>168621.722777477</v>
      </c>
      <c r="L1848" t="s">
        <v>17</v>
      </c>
      <c r="M1848">
        <v>0</v>
      </c>
      <c r="N1848">
        <v>6.5072181429484205E-2</v>
      </c>
    </row>
    <row r="1849" spans="2:14" x14ac:dyDescent="0.25">
      <c r="B1849" t="s">
        <v>14</v>
      </c>
      <c r="C1849" s="1">
        <v>46191.999988425923</v>
      </c>
      <c r="D1849">
        <v>25.158621908218102</v>
      </c>
      <c r="E1849">
        <v>10972.5833375282</v>
      </c>
      <c r="F1849" s="1">
        <v>46191.606261574074</v>
      </c>
      <c r="G1849">
        <v>52.875832232124502</v>
      </c>
      <c r="H1849" t="s">
        <v>25</v>
      </c>
      <c r="J1849" t="s">
        <v>16</v>
      </c>
      <c r="K1849">
        <v>168621.722777477</v>
      </c>
      <c r="L1849" t="s">
        <v>17</v>
      </c>
      <c r="M1849">
        <v>0</v>
      </c>
      <c r="N1849">
        <v>6.5072181429484205E-2</v>
      </c>
    </row>
    <row r="1850" spans="2:14" x14ac:dyDescent="0.25">
      <c r="B1850" t="s">
        <v>14</v>
      </c>
      <c r="C1850" s="1">
        <v>46190.999988425923</v>
      </c>
      <c r="D1850">
        <v>25.158621908218102</v>
      </c>
      <c r="E1850">
        <v>14056.2861508101</v>
      </c>
      <c r="F1850" s="1">
        <v>46189.099270833336</v>
      </c>
      <c r="G1850">
        <v>52.875832232124502</v>
      </c>
      <c r="H1850" t="s">
        <v>25</v>
      </c>
      <c r="J1850" t="s">
        <v>16</v>
      </c>
      <c r="K1850">
        <v>168621.722777477</v>
      </c>
      <c r="L1850" t="s">
        <v>17</v>
      </c>
      <c r="M1850">
        <v>3083.70281328188</v>
      </c>
      <c r="N1850">
        <v>8.3359877477705097E-2</v>
      </c>
    </row>
    <row r="1851" spans="2:14" x14ac:dyDescent="0.25">
      <c r="B1851" t="s">
        <v>14</v>
      </c>
      <c r="C1851" s="1">
        <v>46189.999988425923</v>
      </c>
      <c r="D1851">
        <v>25.158621908218102</v>
      </c>
      <c r="E1851">
        <v>14056.2861508101</v>
      </c>
      <c r="F1851" s="1">
        <v>46189.099270833336</v>
      </c>
      <c r="G1851">
        <v>52.875832232124502</v>
      </c>
      <c r="H1851" t="s">
        <v>25</v>
      </c>
      <c r="J1851" t="s">
        <v>16</v>
      </c>
      <c r="K1851">
        <v>168621.722777477</v>
      </c>
      <c r="L1851" t="s">
        <v>17</v>
      </c>
      <c r="M1851">
        <v>0</v>
      </c>
      <c r="N1851">
        <v>8.3359877477705097E-2</v>
      </c>
    </row>
    <row r="1852" spans="2:14" x14ac:dyDescent="0.25">
      <c r="B1852" t="s">
        <v>14</v>
      </c>
      <c r="C1852" s="1">
        <v>46188.999988425923</v>
      </c>
      <c r="D1852">
        <v>25.158621908218102</v>
      </c>
      <c r="E1852">
        <v>13908.0457417698</v>
      </c>
      <c r="F1852" s="1">
        <v>46186.60564814815</v>
      </c>
      <c r="G1852">
        <v>52.875832232124502</v>
      </c>
      <c r="H1852" t="s">
        <v>25</v>
      </c>
      <c r="J1852" t="s">
        <v>16</v>
      </c>
      <c r="K1852">
        <v>168621.722777477</v>
      </c>
      <c r="L1852" t="s">
        <v>17</v>
      </c>
      <c r="M1852">
        <v>-148.240409040299</v>
      </c>
      <c r="N1852">
        <v>8.2480747513910796E-2</v>
      </c>
    </row>
    <row r="1853" spans="2:14" x14ac:dyDescent="0.25">
      <c r="B1853" t="s">
        <v>14</v>
      </c>
      <c r="C1853" s="1">
        <v>46187.999988425923</v>
      </c>
      <c r="D1853">
        <v>25.158621908218102</v>
      </c>
      <c r="E1853">
        <v>13908.0457417698</v>
      </c>
      <c r="F1853" s="1">
        <v>46186.60564814815</v>
      </c>
      <c r="G1853">
        <v>52.875832232124502</v>
      </c>
      <c r="H1853" t="s">
        <v>25</v>
      </c>
      <c r="J1853" t="s">
        <v>16</v>
      </c>
      <c r="K1853">
        <v>168621.722777477</v>
      </c>
      <c r="L1853" t="s">
        <v>17</v>
      </c>
      <c r="M1853">
        <v>0</v>
      </c>
      <c r="N1853">
        <v>8.2480747513910796E-2</v>
      </c>
    </row>
    <row r="1854" spans="2:14" x14ac:dyDescent="0.25">
      <c r="B1854" t="s">
        <v>14</v>
      </c>
      <c r="C1854" s="1">
        <v>46186.999988425923</v>
      </c>
      <c r="D1854">
        <v>25.158621908218102</v>
      </c>
      <c r="E1854">
        <v>13908.0457417698</v>
      </c>
      <c r="F1854" s="1">
        <v>46186.60564814815</v>
      </c>
      <c r="G1854">
        <v>52.875832232124502</v>
      </c>
      <c r="H1854" t="s">
        <v>25</v>
      </c>
      <c r="J1854" t="s">
        <v>16</v>
      </c>
      <c r="K1854">
        <v>168621.722777477</v>
      </c>
      <c r="L1854" t="s">
        <v>17</v>
      </c>
      <c r="M1854">
        <v>0</v>
      </c>
      <c r="N1854">
        <v>8.2480747513910796E-2</v>
      </c>
    </row>
    <row r="1855" spans="2:14" x14ac:dyDescent="0.25">
      <c r="B1855" t="s">
        <v>14</v>
      </c>
      <c r="C1855" s="1">
        <v>46185.999988425923</v>
      </c>
      <c r="D1855">
        <v>25.158621908218102</v>
      </c>
      <c r="E1855">
        <v>13287.7949651332</v>
      </c>
      <c r="F1855" s="1">
        <v>46182.099780092591</v>
      </c>
      <c r="G1855">
        <v>52.875832232124502</v>
      </c>
      <c r="H1855" t="s">
        <v>25</v>
      </c>
      <c r="J1855" t="s">
        <v>16</v>
      </c>
      <c r="K1855">
        <v>168621.722777477</v>
      </c>
      <c r="L1855" t="s">
        <v>17</v>
      </c>
      <c r="M1855">
        <v>-620.25077663652996</v>
      </c>
      <c r="N1855">
        <v>7.8802391211887701E-2</v>
      </c>
    </row>
    <row r="1856" spans="2:14" x14ac:dyDescent="0.25">
      <c r="B1856" t="s">
        <v>14</v>
      </c>
      <c r="C1856" s="1">
        <v>46184.999988425923</v>
      </c>
      <c r="D1856">
        <v>25.158621908218102</v>
      </c>
      <c r="E1856">
        <v>13287.7949651332</v>
      </c>
      <c r="F1856" s="1">
        <v>46182.099780092591</v>
      </c>
      <c r="G1856">
        <v>52.875832232124502</v>
      </c>
      <c r="H1856" t="s">
        <v>25</v>
      </c>
      <c r="J1856" t="s">
        <v>16</v>
      </c>
      <c r="K1856">
        <v>168621.722777477</v>
      </c>
      <c r="L1856" t="s">
        <v>17</v>
      </c>
      <c r="M1856">
        <v>0</v>
      </c>
      <c r="N1856">
        <v>7.8802391211887701E-2</v>
      </c>
    </row>
    <row r="1857" spans="2:14" x14ac:dyDescent="0.25">
      <c r="B1857" t="s">
        <v>14</v>
      </c>
      <c r="C1857" s="1">
        <v>46183.999988425923</v>
      </c>
      <c r="D1857">
        <v>25.158621908218102</v>
      </c>
      <c r="E1857">
        <v>13287.7949651332</v>
      </c>
      <c r="F1857" s="1">
        <v>46182.099780092591</v>
      </c>
      <c r="G1857">
        <v>52.875832232124502</v>
      </c>
      <c r="H1857" t="s">
        <v>25</v>
      </c>
      <c r="J1857" t="s">
        <v>16</v>
      </c>
      <c r="K1857">
        <v>168621.722777477</v>
      </c>
      <c r="L1857" t="s">
        <v>17</v>
      </c>
      <c r="M1857">
        <v>0</v>
      </c>
      <c r="N1857">
        <v>7.8802391211887701E-2</v>
      </c>
    </row>
    <row r="1858" spans="2:14" x14ac:dyDescent="0.25">
      <c r="B1858" t="s">
        <v>14</v>
      </c>
      <c r="C1858" s="1">
        <v>46182.999988425923</v>
      </c>
      <c r="D1858">
        <v>25.158621908218102</v>
      </c>
      <c r="E1858">
        <v>13287.7949651332</v>
      </c>
      <c r="F1858" s="1">
        <v>46182.099780092591</v>
      </c>
      <c r="G1858">
        <v>52.875832232124502</v>
      </c>
      <c r="H1858" t="s">
        <v>25</v>
      </c>
      <c r="J1858" t="s">
        <v>16</v>
      </c>
      <c r="K1858">
        <v>168621.722777477</v>
      </c>
      <c r="L1858" t="s">
        <v>17</v>
      </c>
      <c r="M1858">
        <v>0</v>
      </c>
      <c r="N1858">
        <v>7.8802391211887701E-2</v>
      </c>
    </row>
    <row r="1859" spans="2:14" x14ac:dyDescent="0.25">
      <c r="B1859" t="s">
        <v>14</v>
      </c>
      <c r="C1859" s="1">
        <v>46181.999988425923</v>
      </c>
      <c r="D1859">
        <v>25.158621908218102</v>
      </c>
      <c r="E1859">
        <v>11815.826621239499</v>
      </c>
      <c r="F1859" s="1">
        <v>46179.606273148151</v>
      </c>
      <c r="G1859">
        <v>52.875832232124502</v>
      </c>
      <c r="H1859" t="s">
        <v>25</v>
      </c>
      <c r="J1859" t="s">
        <v>16</v>
      </c>
      <c r="K1859">
        <v>168621.722777477</v>
      </c>
      <c r="L1859" t="s">
        <v>17</v>
      </c>
      <c r="M1859">
        <v>-1471.96834389373</v>
      </c>
      <c r="N1859">
        <v>7.0072980079988495E-2</v>
      </c>
    </row>
    <row r="1860" spans="2:14" x14ac:dyDescent="0.25">
      <c r="B1860" t="s">
        <v>14</v>
      </c>
      <c r="C1860" s="1">
        <v>46180.999988425923</v>
      </c>
      <c r="D1860">
        <v>25.158621908218102</v>
      </c>
      <c r="E1860">
        <v>11815.826621239499</v>
      </c>
      <c r="F1860" s="1">
        <v>46179.606273148151</v>
      </c>
      <c r="G1860">
        <v>52.875832232124502</v>
      </c>
      <c r="H1860" t="s">
        <v>25</v>
      </c>
      <c r="J1860" t="s">
        <v>16</v>
      </c>
      <c r="K1860">
        <v>168621.722777477</v>
      </c>
      <c r="L1860" t="s">
        <v>17</v>
      </c>
      <c r="M1860">
        <v>0</v>
      </c>
      <c r="N1860">
        <v>7.0072980079988495E-2</v>
      </c>
    </row>
    <row r="1861" spans="2:14" x14ac:dyDescent="0.25">
      <c r="B1861" t="s">
        <v>14</v>
      </c>
      <c r="C1861" s="1">
        <v>46179.999988425923</v>
      </c>
      <c r="D1861">
        <v>25.158621908218102</v>
      </c>
      <c r="E1861">
        <v>11815.826621239499</v>
      </c>
      <c r="F1861" s="1">
        <v>46179.606273148151</v>
      </c>
      <c r="G1861">
        <v>52.875832232124502</v>
      </c>
      <c r="H1861" t="s">
        <v>25</v>
      </c>
      <c r="J1861" t="s">
        <v>16</v>
      </c>
      <c r="K1861">
        <v>168621.722777477</v>
      </c>
      <c r="L1861" t="s">
        <v>17</v>
      </c>
      <c r="M1861">
        <v>0</v>
      </c>
      <c r="N1861">
        <v>7.0072980079988495E-2</v>
      </c>
    </row>
    <row r="1862" spans="2:14" x14ac:dyDescent="0.25">
      <c r="B1862" t="s">
        <v>14</v>
      </c>
      <c r="C1862" s="1">
        <v>46178.999988425923</v>
      </c>
      <c r="D1862">
        <v>25.158621908218102</v>
      </c>
      <c r="E1862">
        <v>13228.6628392165</v>
      </c>
      <c r="F1862" s="1">
        <v>46177.099259259259</v>
      </c>
      <c r="G1862">
        <v>52.875832232124502</v>
      </c>
      <c r="H1862" t="s">
        <v>25</v>
      </c>
      <c r="J1862" t="s">
        <v>16</v>
      </c>
      <c r="K1862">
        <v>168621.722777477</v>
      </c>
      <c r="L1862" t="s">
        <v>17</v>
      </c>
      <c r="M1862">
        <v>1412.8362179769899</v>
      </c>
      <c r="N1862">
        <v>7.8451712041121696E-2</v>
      </c>
    </row>
    <row r="1863" spans="2:14" x14ac:dyDescent="0.25">
      <c r="B1863" t="s">
        <v>14</v>
      </c>
      <c r="C1863" s="1">
        <v>46177.999988425923</v>
      </c>
      <c r="D1863">
        <v>25.158621908218102</v>
      </c>
      <c r="E1863">
        <v>13228.6628392165</v>
      </c>
      <c r="F1863" s="1">
        <v>46177.099259259259</v>
      </c>
      <c r="G1863">
        <v>52.875832232124502</v>
      </c>
      <c r="H1863" t="s">
        <v>25</v>
      </c>
      <c r="J1863" t="s">
        <v>16</v>
      </c>
      <c r="K1863">
        <v>168621.722777477</v>
      </c>
      <c r="L1863" t="s">
        <v>17</v>
      </c>
      <c r="M1863">
        <v>0</v>
      </c>
      <c r="N1863">
        <v>7.8451712041121696E-2</v>
      </c>
    </row>
    <row r="1864" spans="2:14" x14ac:dyDescent="0.25">
      <c r="B1864" t="s">
        <v>14</v>
      </c>
      <c r="C1864" s="1">
        <v>46176.999988425923</v>
      </c>
      <c r="D1864">
        <v>25.158621908218102</v>
      </c>
      <c r="E1864">
        <v>12904.8400401406</v>
      </c>
      <c r="F1864" s="1">
        <v>46176.099143518521</v>
      </c>
      <c r="G1864">
        <v>52.875832232124502</v>
      </c>
      <c r="H1864" t="s">
        <v>25</v>
      </c>
      <c r="J1864" t="s">
        <v>16</v>
      </c>
      <c r="K1864">
        <v>168621.722777477</v>
      </c>
      <c r="L1864" t="s">
        <v>17</v>
      </c>
      <c r="M1864">
        <v>-323.82279907586002</v>
      </c>
      <c r="N1864">
        <v>7.6531302299470499E-2</v>
      </c>
    </row>
    <row r="1865" spans="2:14" x14ac:dyDescent="0.25">
      <c r="B1865" t="s">
        <v>14</v>
      </c>
      <c r="C1865" s="1">
        <v>46175.999988425923</v>
      </c>
      <c r="D1865">
        <v>25.158621908218102</v>
      </c>
      <c r="E1865">
        <v>10859.559531250999</v>
      </c>
      <c r="F1865" s="1">
        <v>46173.605520833335</v>
      </c>
      <c r="G1865">
        <v>52.875832232124502</v>
      </c>
      <c r="H1865" t="s">
        <v>25</v>
      </c>
      <c r="J1865" t="s">
        <v>16</v>
      </c>
      <c r="K1865">
        <v>168621.722777477</v>
      </c>
      <c r="L1865" t="s">
        <v>17</v>
      </c>
      <c r="M1865">
        <v>-2045.28050888961</v>
      </c>
      <c r="N1865">
        <v>6.4401901204519801E-2</v>
      </c>
    </row>
    <row r="1866" spans="2:14" x14ac:dyDescent="0.25">
      <c r="B1866" t="s">
        <v>14</v>
      </c>
      <c r="C1866" s="1">
        <v>46174.999988425923</v>
      </c>
      <c r="D1866">
        <v>25.158621908218102</v>
      </c>
      <c r="E1866">
        <v>10859.559531250999</v>
      </c>
      <c r="F1866" s="1">
        <v>46173.605520833335</v>
      </c>
      <c r="G1866">
        <v>52.875832232124502</v>
      </c>
      <c r="H1866" t="s">
        <v>25</v>
      </c>
      <c r="J1866" t="s">
        <v>16</v>
      </c>
      <c r="K1866">
        <v>168621.722777477</v>
      </c>
      <c r="L1866" t="s">
        <v>17</v>
      </c>
      <c r="M1866">
        <v>0</v>
      </c>
      <c r="N1866">
        <v>6.4401901204519801E-2</v>
      </c>
    </row>
    <row r="1867" spans="2:14" x14ac:dyDescent="0.25">
      <c r="B1867" t="s">
        <v>14</v>
      </c>
      <c r="C1867" s="1">
        <v>46173.999988425923</v>
      </c>
      <c r="D1867">
        <v>25.158621908218102</v>
      </c>
      <c r="E1867">
        <v>10859.559531250999</v>
      </c>
      <c r="F1867" s="1">
        <v>46173.605520833335</v>
      </c>
      <c r="G1867">
        <v>52.875832232124502</v>
      </c>
      <c r="H1867" t="s">
        <v>25</v>
      </c>
      <c r="J1867" t="s">
        <v>16</v>
      </c>
      <c r="K1867">
        <v>168621.722777477</v>
      </c>
      <c r="L1867" t="s">
        <v>17</v>
      </c>
      <c r="M1867">
        <v>0</v>
      </c>
      <c r="N1867">
        <v>6.4401901204519801E-2</v>
      </c>
    </row>
    <row r="1868" spans="2:14" x14ac:dyDescent="0.25">
      <c r="B1868" t="s">
        <v>14</v>
      </c>
      <c r="C1868" s="1">
        <v>46172.999988425923</v>
      </c>
      <c r="D1868">
        <v>25.158621908218102</v>
      </c>
      <c r="E1868">
        <v>13117.730121931099</v>
      </c>
      <c r="F1868" s="1">
        <v>46170.099791666667</v>
      </c>
      <c r="G1868">
        <v>52.875832232124502</v>
      </c>
      <c r="H1868" t="s">
        <v>25</v>
      </c>
      <c r="J1868" t="s">
        <v>16</v>
      </c>
      <c r="K1868">
        <v>168621.722777477</v>
      </c>
      <c r="L1868" t="s">
        <v>17</v>
      </c>
      <c r="M1868">
        <v>2258.1705906800898</v>
      </c>
      <c r="N1868">
        <v>7.7793832881437305E-2</v>
      </c>
    </row>
    <row r="1869" spans="2:14" x14ac:dyDescent="0.25">
      <c r="B1869" t="s">
        <v>14</v>
      </c>
      <c r="C1869" s="1">
        <v>46171.999988425923</v>
      </c>
      <c r="D1869">
        <v>25.158621908218102</v>
      </c>
      <c r="E1869">
        <v>13117.730121931099</v>
      </c>
      <c r="F1869" s="1">
        <v>46170.099791666667</v>
      </c>
      <c r="G1869">
        <v>52.875832232124502</v>
      </c>
      <c r="H1869" t="s">
        <v>25</v>
      </c>
      <c r="J1869" t="s">
        <v>16</v>
      </c>
      <c r="K1869">
        <v>168621.722777477</v>
      </c>
      <c r="L1869" t="s">
        <v>17</v>
      </c>
      <c r="M1869">
        <v>0</v>
      </c>
      <c r="N1869">
        <v>7.7793832881437305E-2</v>
      </c>
    </row>
    <row r="1870" spans="2:14" x14ac:dyDescent="0.25">
      <c r="B1870" t="s">
        <v>14</v>
      </c>
      <c r="C1870" s="1">
        <v>46170.999988425923</v>
      </c>
      <c r="D1870">
        <v>25.158621908218102</v>
      </c>
      <c r="E1870">
        <v>13117.730121931099</v>
      </c>
      <c r="F1870" s="1">
        <v>46170.099791666667</v>
      </c>
      <c r="G1870">
        <v>52.875832232124502</v>
      </c>
      <c r="H1870" t="s">
        <v>25</v>
      </c>
      <c r="J1870" t="s">
        <v>16</v>
      </c>
      <c r="K1870">
        <v>168621.722777477</v>
      </c>
      <c r="L1870" t="s">
        <v>17</v>
      </c>
      <c r="M1870">
        <v>0</v>
      </c>
      <c r="N1870">
        <v>7.7793832881437305E-2</v>
      </c>
    </row>
    <row r="1871" spans="2:14" x14ac:dyDescent="0.25">
      <c r="B1871" t="s">
        <v>14</v>
      </c>
      <c r="C1871" s="1">
        <v>46169.999988425923</v>
      </c>
      <c r="D1871">
        <v>25.158621908218102</v>
      </c>
      <c r="E1871">
        <v>12725.252644967501</v>
      </c>
      <c r="F1871" s="1">
        <v>46167.60628472222</v>
      </c>
      <c r="G1871">
        <v>52.875832232124502</v>
      </c>
      <c r="H1871" t="s">
        <v>25</v>
      </c>
      <c r="J1871" t="s">
        <v>16</v>
      </c>
      <c r="K1871">
        <v>168621.722777477</v>
      </c>
      <c r="L1871" t="s">
        <v>17</v>
      </c>
      <c r="M1871">
        <v>-392.477476963627</v>
      </c>
      <c r="N1871">
        <v>7.5466271102925697E-2</v>
      </c>
    </row>
    <row r="1872" spans="2:14" x14ac:dyDescent="0.25">
      <c r="B1872" t="s">
        <v>14</v>
      </c>
      <c r="C1872" s="1">
        <v>46168.999988425923</v>
      </c>
      <c r="D1872">
        <v>25.158621908218102</v>
      </c>
      <c r="E1872">
        <v>12725.252644967501</v>
      </c>
      <c r="F1872" s="1">
        <v>46167.60628472222</v>
      </c>
      <c r="G1872">
        <v>52.875832232124502</v>
      </c>
      <c r="H1872" t="s">
        <v>25</v>
      </c>
      <c r="J1872" t="s">
        <v>16</v>
      </c>
      <c r="K1872">
        <v>168621.722777477</v>
      </c>
      <c r="L1872" t="s">
        <v>17</v>
      </c>
      <c r="M1872">
        <v>0</v>
      </c>
      <c r="N1872">
        <v>7.5466271102925697E-2</v>
      </c>
    </row>
    <row r="1873" spans="2:14" x14ac:dyDescent="0.25">
      <c r="B1873" t="s">
        <v>14</v>
      </c>
      <c r="C1873" s="1">
        <v>46167.999988425923</v>
      </c>
      <c r="D1873">
        <v>25.158621908218102</v>
      </c>
      <c r="E1873">
        <v>12725.252644967501</v>
      </c>
      <c r="F1873" s="1">
        <v>46167.60628472222</v>
      </c>
      <c r="G1873">
        <v>52.875832232124502</v>
      </c>
      <c r="H1873" t="s">
        <v>25</v>
      </c>
      <c r="J1873" t="s">
        <v>16</v>
      </c>
      <c r="K1873">
        <v>168621.722777477</v>
      </c>
      <c r="L1873" t="s">
        <v>17</v>
      </c>
      <c r="M1873">
        <v>0</v>
      </c>
      <c r="N1873">
        <v>7.5466271102925697E-2</v>
      </c>
    </row>
    <row r="1874" spans="2:14" x14ac:dyDescent="0.25">
      <c r="B1874" t="s">
        <v>14</v>
      </c>
      <c r="C1874" s="1">
        <v>46166.999988425923</v>
      </c>
      <c r="D1874">
        <v>25.158621908218102</v>
      </c>
      <c r="E1874">
        <v>13873.8429723964</v>
      </c>
      <c r="F1874" s="1">
        <v>46165.099259259259</v>
      </c>
      <c r="G1874">
        <v>52.875832232124502</v>
      </c>
      <c r="H1874" t="s">
        <v>25</v>
      </c>
      <c r="J1874" t="s">
        <v>16</v>
      </c>
      <c r="K1874">
        <v>168621.722777477</v>
      </c>
      <c r="L1874" t="s">
        <v>17</v>
      </c>
      <c r="M1874">
        <v>1148.5903274289401</v>
      </c>
      <c r="N1874">
        <v>8.2277910247098698E-2</v>
      </c>
    </row>
    <row r="1875" spans="2:14" x14ac:dyDescent="0.25">
      <c r="B1875" t="s">
        <v>14</v>
      </c>
      <c r="C1875" s="1">
        <v>46165.999988425923</v>
      </c>
      <c r="D1875">
        <v>25.158621908218102</v>
      </c>
      <c r="E1875">
        <v>13873.8429723964</v>
      </c>
      <c r="F1875" s="1">
        <v>46165.099259259259</v>
      </c>
      <c r="G1875">
        <v>52.875832232124502</v>
      </c>
      <c r="H1875" t="s">
        <v>25</v>
      </c>
      <c r="J1875" t="s">
        <v>16</v>
      </c>
      <c r="K1875">
        <v>168621.722777477</v>
      </c>
      <c r="L1875" t="s">
        <v>17</v>
      </c>
      <c r="M1875">
        <v>0</v>
      </c>
      <c r="N1875">
        <v>8.2277910247098698E-2</v>
      </c>
    </row>
    <row r="1876" spans="2:14" x14ac:dyDescent="0.25">
      <c r="B1876" t="s">
        <v>14</v>
      </c>
      <c r="C1876" s="1">
        <v>46164.999988425923</v>
      </c>
      <c r="D1876">
        <v>25.158621908218102</v>
      </c>
      <c r="E1876">
        <v>15013.8805781562</v>
      </c>
      <c r="F1876" s="1">
        <v>46164.099143518521</v>
      </c>
      <c r="G1876">
        <v>52.875832232124502</v>
      </c>
      <c r="H1876" t="s">
        <v>25</v>
      </c>
      <c r="J1876" t="s">
        <v>16</v>
      </c>
      <c r="K1876">
        <v>168621.722777477</v>
      </c>
      <c r="L1876" t="s">
        <v>17</v>
      </c>
      <c r="M1876">
        <v>1140.0376057598301</v>
      </c>
      <c r="N1876">
        <v>8.9038828039785994E-2</v>
      </c>
    </row>
    <row r="1877" spans="2:14" x14ac:dyDescent="0.25">
      <c r="B1877" t="s">
        <v>14</v>
      </c>
      <c r="C1877" s="1">
        <v>46163.999988425923</v>
      </c>
      <c r="D1877">
        <v>25.158621908218102</v>
      </c>
      <c r="E1877">
        <v>9230.14474698292</v>
      </c>
      <c r="F1877" s="1">
        <v>46162.605624999997</v>
      </c>
      <c r="G1877">
        <v>52.875832232124502</v>
      </c>
      <c r="H1877" t="s">
        <v>25</v>
      </c>
      <c r="J1877" t="s">
        <v>16</v>
      </c>
      <c r="K1877">
        <v>168621.722777477</v>
      </c>
      <c r="L1877" t="s">
        <v>17</v>
      </c>
      <c r="M1877">
        <v>-5783.7358311733697</v>
      </c>
      <c r="N1877">
        <v>5.4738764347482802E-2</v>
      </c>
    </row>
    <row r="1878" spans="2:14" x14ac:dyDescent="0.25">
      <c r="B1878" t="s">
        <v>14</v>
      </c>
      <c r="C1878" s="1">
        <v>46162.999988425923</v>
      </c>
      <c r="D1878">
        <v>25.158621908218102</v>
      </c>
      <c r="E1878">
        <v>9230.14474698292</v>
      </c>
      <c r="F1878" s="1">
        <v>46162.605624999997</v>
      </c>
      <c r="G1878">
        <v>52.875832232124502</v>
      </c>
      <c r="H1878" t="s">
        <v>25</v>
      </c>
      <c r="J1878" t="s">
        <v>16</v>
      </c>
      <c r="K1878">
        <v>168621.722777477</v>
      </c>
      <c r="L1878" t="s">
        <v>17</v>
      </c>
      <c r="M1878">
        <v>0</v>
      </c>
      <c r="N1878">
        <v>5.4738764347482802E-2</v>
      </c>
    </row>
    <row r="1879" spans="2:14" x14ac:dyDescent="0.25">
      <c r="B1879" t="s">
        <v>14</v>
      </c>
      <c r="C1879" s="1">
        <v>46161.999988425923</v>
      </c>
      <c r="D1879">
        <v>25.158621908218102</v>
      </c>
      <c r="E1879">
        <v>9884.7716580744309</v>
      </c>
      <c r="F1879" s="1">
        <v>46161.605509259258</v>
      </c>
      <c r="G1879">
        <v>52.875832232124502</v>
      </c>
      <c r="H1879" t="s">
        <v>25</v>
      </c>
      <c r="J1879" t="s">
        <v>16</v>
      </c>
      <c r="K1879">
        <v>168621.722777477</v>
      </c>
      <c r="L1879" t="s">
        <v>17</v>
      </c>
      <c r="M1879">
        <v>654.62691109150103</v>
      </c>
      <c r="N1879">
        <v>5.8620986046494697E-2</v>
      </c>
    </row>
    <row r="1880" spans="2:14" x14ac:dyDescent="0.25">
      <c r="B1880" t="s">
        <v>14</v>
      </c>
      <c r="C1880" s="1">
        <v>46160.999988425923</v>
      </c>
      <c r="D1880">
        <v>25.158621908218102</v>
      </c>
      <c r="E1880">
        <v>13106.7871562539</v>
      </c>
      <c r="F1880" s="1">
        <v>46158.099791666667</v>
      </c>
      <c r="G1880">
        <v>52.875832232124502</v>
      </c>
      <c r="H1880" t="s">
        <v>25</v>
      </c>
      <c r="J1880" t="s">
        <v>16</v>
      </c>
      <c r="K1880">
        <v>168621.722777477</v>
      </c>
      <c r="L1880" t="s">
        <v>17</v>
      </c>
      <c r="M1880">
        <v>3222.0154981794999</v>
      </c>
      <c r="N1880">
        <v>7.7728936345587904E-2</v>
      </c>
    </row>
    <row r="1881" spans="2:14" x14ac:dyDescent="0.25">
      <c r="B1881" t="s">
        <v>14</v>
      </c>
      <c r="C1881" s="1">
        <v>46159.999988425923</v>
      </c>
      <c r="D1881">
        <v>25.158621908218102</v>
      </c>
      <c r="E1881">
        <v>13106.7871562539</v>
      </c>
      <c r="F1881" s="1">
        <v>46158.099791666667</v>
      </c>
      <c r="G1881">
        <v>52.875832232124502</v>
      </c>
      <c r="H1881" t="s">
        <v>25</v>
      </c>
      <c r="J1881" t="s">
        <v>16</v>
      </c>
      <c r="K1881">
        <v>168621.722777477</v>
      </c>
      <c r="L1881" t="s">
        <v>17</v>
      </c>
      <c r="M1881">
        <v>0</v>
      </c>
      <c r="N1881">
        <v>7.7728936345587904E-2</v>
      </c>
    </row>
    <row r="1882" spans="2:14" x14ac:dyDescent="0.25">
      <c r="B1882" t="s">
        <v>14</v>
      </c>
      <c r="C1882" s="1">
        <v>46158.999988425923</v>
      </c>
      <c r="D1882">
        <v>25.158621908218102</v>
      </c>
      <c r="E1882">
        <v>13106.7871562539</v>
      </c>
      <c r="F1882" s="1">
        <v>46158.099791666667</v>
      </c>
      <c r="G1882">
        <v>52.875832232124502</v>
      </c>
      <c r="H1882" t="s">
        <v>25</v>
      </c>
      <c r="J1882" t="s">
        <v>16</v>
      </c>
      <c r="K1882">
        <v>168621.722777477</v>
      </c>
      <c r="L1882" t="s">
        <v>17</v>
      </c>
      <c r="M1882">
        <v>0</v>
      </c>
      <c r="N1882">
        <v>7.7728936345587904E-2</v>
      </c>
    </row>
    <row r="1883" spans="2:14" x14ac:dyDescent="0.25">
      <c r="B1883" t="s">
        <v>14</v>
      </c>
      <c r="C1883" s="1">
        <v>46157.999988425923</v>
      </c>
      <c r="D1883">
        <v>25.158621908218102</v>
      </c>
      <c r="E1883">
        <v>10520.6485756251</v>
      </c>
      <c r="F1883" s="1">
        <v>46155.60628472222</v>
      </c>
      <c r="G1883">
        <v>52.875832232124502</v>
      </c>
      <c r="H1883" t="s">
        <v>25</v>
      </c>
      <c r="J1883" t="s">
        <v>16</v>
      </c>
      <c r="K1883">
        <v>168621.722777477</v>
      </c>
      <c r="L1883" t="s">
        <v>17</v>
      </c>
      <c r="M1883">
        <v>-2586.1385806287499</v>
      </c>
      <c r="N1883">
        <v>6.2392012146079097E-2</v>
      </c>
    </row>
    <row r="1884" spans="2:14" x14ac:dyDescent="0.25">
      <c r="B1884" t="s">
        <v>14</v>
      </c>
      <c r="C1884" s="1">
        <v>46156.999988425923</v>
      </c>
      <c r="D1884">
        <v>25.158621908218102</v>
      </c>
      <c r="E1884">
        <v>10520.6485756251</v>
      </c>
      <c r="F1884" s="1">
        <v>46155.60628472222</v>
      </c>
      <c r="G1884">
        <v>52.875832232124502</v>
      </c>
      <c r="H1884" t="s">
        <v>25</v>
      </c>
      <c r="J1884" t="s">
        <v>16</v>
      </c>
      <c r="K1884">
        <v>168621.722777477</v>
      </c>
      <c r="L1884" t="s">
        <v>17</v>
      </c>
      <c r="M1884">
        <v>0</v>
      </c>
      <c r="N1884">
        <v>6.2392012146079097E-2</v>
      </c>
    </row>
    <row r="1885" spans="2:14" x14ac:dyDescent="0.25">
      <c r="B1885" t="s">
        <v>14</v>
      </c>
      <c r="C1885" s="1">
        <v>46155.999988425923</v>
      </c>
      <c r="D1885">
        <v>25.158621908218102</v>
      </c>
      <c r="E1885">
        <v>10520.6485756251</v>
      </c>
      <c r="F1885" s="1">
        <v>46155.60628472222</v>
      </c>
      <c r="G1885">
        <v>52.875832232124502</v>
      </c>
      <c r="H1885" t="s">
        <v>25</v>
      </c>
      <c r="J1885" t="s">
        <v>16</v>
      </c>
      <c r="K1885">
        <v>168621.722777477</v>
      </c>
      <c r="L1885" t="s">
        <v>17</v>
      </c>
      <c r="M1885">
        <v>0</v>
      </c>
      <c r="N1885">
        <v>6.2392012146079097E-2</v>
      </c>
    </row>
    <row r="1886" spans="2:14" x14ac:dyDescent="0.25">
      <c r="B1886" t="s">
        <v>14</v>
      </c>
      <c r="C1886" s="1">
        <v>46154.999988425923</v>
      </c>
      <c r="D1886">
        <v>25.158621908218102</v>
      </c>
      <c r="E1886">
        <v>13990.676764972701</v>
      </c>
      <c r="F1886" s="1">
        <v>46153.099247685182</v>
      </c>
      <c r="G1886">
        <v>52.875832232124502</v>
      </c>
      <c r="H1886" t="s">
        <v>25</v>
      </c>
      <c r="J1886" t="s">
        <v>16</v>
      </c>
      <c r="K1886">
        <v>168621.722777477</v>
      </c>
      <c r="L1886" t="s">
        <v>17</v>
      </c>
      <c r="M1886">
        <v>3470.0281893476199</v>
      </c>
      <c r="N1886">
        <v>8.2970785344398598E-2</v>
      </c>
    </row>
    <row r="1887" spans="2:14" x14ac:dyDescent="0.25">
      <c r="B1887" t="s">
        <v>14</v>
      </c>
      <c r="C1887" s="1">
        <v>46153.999988425923</v>
      </c>
      <c r="D1887">
        <v>25.158621908218102</v>
      </c>
      <c r="E1887">
        <v>13990.676764972701</v>
      </c>
      <c r="F1887" s="1">
        <v>46153.099247685182</v>
      </c>
      <c r="G1887">
        <v>52.875832232124502</v>
      </c>
      <c r="H1887" t="s">
        <v>25</v>
      </c>
      <c r="J1887" t="s">
        <v>16</v>
      </c>
      <c r="K1887">
        <v>168621.722777477</v>
      </c>
      <c r="L1887" t="s">
        <v>17</v>
      </c>
      <c r="M1887">
        <v>0</v>
      </c>
      <c r="N1887">
        <v>8.2970785344398598E-2</v>
      </c>
    </row>
    <row r="1888" spans="2:14" x14ac:dyDescent="0.25">
      <c r="B1888" t="s">
        <v>14</v>
      </c>
      <c r="C1888" s="1">
        <v>46152.999988425923</v>
      </c>
      <c r="D1888">
        <v>25.158621908218102</v>
      </c>
      <c r="E1888">
        <v>13905.4007609165</v>
      </c>
      <c r="F1888" s="1">
        <v>46150.605613425927</v>
      </c>
      <c r="G1888">
        <v>52.875832232124502</v>
      </c>
      <c r="H1888" t="s">
        <v>25</v>
      </c>
      <c r="J1888" t="s">
        <v>16</v>
      </c>
      <c r="K1888">
        <v>168621.722777477</v>
      </c>
      <c r="L1888" t="s">
        <v>17</v>
      </c>
      <c r="M1888">
        <v>-85.276004056242499</v>
      </c>
      <c r="N1888">
        <v>8.2465061629496406E-2</v>
      </c>
    </row>
    <row r="1889" spans="2:14" x14ac:dyDescent="0.25">
      <c r="B1889" t="s">
        <v>14</v>
      </c>
      <c r="C1889" s="1">
        <v>46151.999988425923</v>
      </c>
      <c r="D1889">
        <v>25.158621908218102</v>
      </c>
      <c r="E1889">
        <v>13905.4007609165</v>
      </c>
      <c r="F1889" s="1">
        <v>46150.605613425927</v>
      </c>
      <c r="G1889">
        <v>52.875832232124502</v>
      </c>
      <c r="H1889" t="s">
        <v>25</v>
      </c>
      <c r="J1889" t="s">
        <v>16</v>
      </c>
      <c r="K1889">
        <v>168621.722777477</v>
      </c>
      <c r="L1889" t="s">
        <v>17</v>
      </c>
      <c r="M1889">
        <v>0</v>
      </c>
      <c r="N1889">
        <v>8.2465061629496406E-2</v>
      </c>
    </row>
    <row r="1890" spans="2:14" x14ac:dyDescent="0.25">
      <c r="B1890" t="s">
        <v>14</v>
      </c>
      <c r="C1890" s="1">
        <v>46150.999988425923</v>
      </c>
      <c r="D1890">
        <v>25.158621908218102</v>
      </c>
      <c r="E1890">
        <v>13905.4007609165</v>
      </c>
      <c r="F1890" s="1">
        <v>46150.605613425927</v>
      </c>
      <c r="G1890">
        <v>52.875832232124502</v>
      </c>
      <c r="H1890" t="s">
        <v>25</v>
      </c>
      <c r="J1890" t="s">
        <v>16</v>
      </c>
      <c r="K1890">
        <v>168621.722777477</v>
      </c>
      <c r="L1890" t="s">
        <v>17</v>
      </c>
      <c r="M1890">
        <v>0</v>
      </c>
      <c r="N1890">
        <v>8.2465061629496406E-2</v>
      </c>
    </row>
    <row r="1891" spans="2:14" x14ac:dyDescent="0.25">
      <c r="B1891" t="s">
        <v>14</v>
      </c>
      <c r="C1891" s="1">
        <v>46149.999988425923</v>
      </c>
      <c r="D1891">
        <v>25.158621908218102</v>
      </c>
      <c r="E1891">
        <v>10360.5680429513</v>
      </c>
      <c r="F1891" s="1">
        <v>46149.605497685188</v>
      </c>
      <c r="G1891">
        <v>52.875832232124502</v>
      </c>
      <c r="H1891" t="s">
        <v>25</v>
      </c>
      <c r="J1891" t="s">
        <v>16</v>
      </c>
      <c r="K1891">
        <v>168621.722777477</v>
      </c>
      <c r="L1891" t="s">
        <v>17</v>
      </c>
      <c r="M1891">
        <v>-3544.8327179652101</v>
      </c>
      <c r="N1891">
        <v>6.1442665110376701E-2</v>
      </c>
    </row>
    <row r="1892" spans="2:14" x14ac:dyDescent="0.25">
      <c r="B1892" t="s">
        <v>14</v>
      </c>
      <c r="C1892" s="1">
        <v>46148.999988425923</v>
      </c>
      <c r="D1892">
        <v>25.158621908218102</v>
      </c>
      <c r="E1892">
        <v>13366.5822325547</v>
      </c>
      <c r="F1892" s="1">
        <v>46146.099803240744</v>
      </c>
      <c r="G1892">
        <v>52.875832232124502</v>
      </c>
      <c r="H1892" t="s">
        <v>25</v>
      </c>
      <c r="J1892" t="s">
        <v>16</v>
      </c>
      <c r="K1892">
        <v>168621.722777477</v>
      </c>
      <c r="L1892" t="s">
        <v>17</v>
      </c>
      <c r="M1892">
        <v>3006.0141896034402</v>
      </c>
      <c r="N1892">
        <v>7.9269633902353406E-2</v>
      </c>
    </row>
    <row r="1893" spans="2:14" x14ac:dyDescent="0.25">
      <c r="B1893" t="s">
        <v>14</v>
      </c>
      <c r="C1893" s="1">
        <v>46147.999988425923</v>
      </c>
      <c r="D1893">
        <v>25.158621908218102</v>
      </c>
      <c r="E1893">
        <v>13366.5822325547</v>
      </c>
      <c r="F1893" s="1">
        <v>46146.099803240744</v>
      </c>
      <c r="G1893">
        <v>52.875832232124502</v>
      </c>
      <c r="H1893" t="s">
        <v>25</v>
      </c>
      <c r="J1893" t="s">
        <v>16</v>
      </c>
      <c r="K1893">
        <v>168621.722777477</v>
      </c>
      <c r="L1893" t="s">
        <v>17</v>
      </c>
      <c r="M1893">
        <v>0</v>
      </c>
      <c r="N1893">
        <v>7.9269633902353406E-2</v>
      </c>
    </row>
    <row r="1894" spans="2:14" x14ac:dyDescent="0.25">
      <c r="B1894" t="s">
        <v>14</v>
      </c>
      <c r="C1894" s="1">
        <v>46146.999988425923</v>
      </c>
      <c r="D1894">
        <v>25.158621908218102</v>
      </c>
      <c r="E1894">
        <v>13366.5822325547</v>
      </c>
      <c r="F1894" s="1">
        <v>46146.099803240744</v>
      </c>
      <c r="G1894">
        <v>52.875832232124502</v>
      </c>
      <c r="H1894" t="s">
        <v>25</v>
      </c>
      <c r="J1894" t="s">
        <v>16</v>
      </c>
      <c r="K1894">
        <v>168621.722777477</v>
      </c>
      <c r="L1894" t="s">
        <v>17</v>
      </c>
      <c r="M1894">
        <v>0</v>
      </c>
      <c r="N1894">
        <v>7.9269633902353406E-2</v>
      </c>
    </row>
    <row r="1895" spans="2:14" x14ac:dyDescent="0.25">
      <c r="B1895" t="s">
        <v>14</v>
      </c>
      <c r="C1895" s="1">
        <v>46145.999988425923</v>
      </c>
      <c r="D1895">
        <v>25.158621908218102</v>
      </c>
      <c r="E1895">
        <v>11794.5675659027</v>
      </c>
      <c r="F1895" s="1">
        <v>46143.606296296297</v>
      </c>
      <c r="G1895">
        <v>52.875832232124502</v>
      </c>
      <c r="H1895" t="s">
        <v>25</v>
      </c>
      <c r="J1895" t="s">
        <v>16</v>
      </c>
      <c r="K1895">
        <v>168621.722777477</v>
      </c>
      <c r="L1895" t="s">
        <v>17</v>
      </c>
      <c r="M1895">
        <v>-1572.01466665204</v>
      </c>
      <c r="N1895">
        <v>6.9946904655146303E-2</v>
      </c>
    </row>
    <row r="1896" spans="2:14" x14ac:dyDescent="0.25">
      <c r="B1896" t="s">
        <v>14</v>
      </c>
      <c r="C1896" s="1">
        <v>46144.999988425923</v>
      </c>
      <c r="D1896">
        <v>25.158621908218102</v>
      </c>
      <c r="E1896">
        <v>11794.5675659027</v>
      </c>
      <c r="F1896" s="1">
        <v>46143.606296296297</v>
      </c>
      <c r="G1896">
        <v>52.875832232124502</v>
      </c>
      <c r="H1896" t="s">
        <v>25</v>
      </c>
      <c r="J1896" t="s">
        <v>16</v>
      </c>
      <c r="K1896">
        <v>168621.722777477</v>
      </c>
      <c r="L1896" t="s">
        <v>17</v>
      </c>
      <c r="M1896">
        <v>0</v>
      </c>
      <c r="N1896">
        <v>6.9946904655146303E-2</v>
      </c>
    </row>
    <row r="1897" spans="2:14" x14ac:dyDescent="0.25">
      <c r="B1897" t="s">
        <v>14</v>
      </c>
      <c r="C1897" s="1">
        <v>46143.999988425923</v>
      </c>
      <c r="D1897">
        <v>25.158621908218102</v>
      </c>
      <c r="E1897">
        <v>11794.5675659027</v>
      </c>
      <c r="F1897" s="1">
        <v>46143.606296296297</v>
      </c>
      <c r="G1897">
        <v>52.875832232124502</v>
      </c>
      <c r="H1897" t="s">
        <v>25</v>
      </c>
      <c r="J1897" t="s">
        <v>16</v>
      </c>
      <c r="K1897">
        <v>168621.722777477</v>
      </c>
      <c r="L1897" t="s">
        <v>17</v>
      </c>
      <c r="M1897">
        <v>0</v>
      </c>
      <c r="N1897">
        <v>6.9946904655146303E-2</v>
      </c>
    </row>
    <row r="1898" spans="2:14" x14ac:dyDescent="0.25">
      <c r="B1898" t="s">
        <v>14</v>
      </c>
      <c r="C1898" s="1">
        <v>46142.999988425923</v>
      </c>
      <c r="D1898">
        <v>25.158621908218102</v>
      </c>
      <c r="E1898">
        <v>13165.6990236327</v>
      </c>
      <c r="F1898" s="1">
        <v>46140.099120370367</v>
      </c>
      <c r="G1898">
        <v>52.875832232124502</v>
      </c>
      <c r="H1898" t="s">
        <v>25</v>
      </c>
      <c r="J1898" t="s">
        <v>16</v>
      </c>
      <c r="K1898">
        <v>168621.722777477</v>
      </c>
      <c r="L1898" t="s">
        <v>17</v>
      </c>
      <c r="M1898">
        <v>1371.13145773002</v>
      </c>
      <c r="N1898">
        <v>7.8078309287629197E-2</v>
      </c>
    </row>
    <row r="1899" spans="2:14" x14ac:dyDescent="0.25">
      <c r="B1899" t="s">
        <v>14</v>
      </c>
      <c r="C1899" s="1">
        <v>46141.999988425923</v>
      </c>
      <c r="D1899">
        <v>25.158621908218102</v>
      </c>
      <c r="E1899">
        <v>13165.6990236327</v>
      </c>
      <c r="F1899" s="1">
        <v>46140.099120370367</v>
      </c>
      <c r="G1899">
        <v>52.875832232124502</v>
      </c>
      <c r="H1899" t="s">
        <v>25</v>
      </c>
      <c r="J1899" t="s">
        <v>16</v>
      </c>
      <c r="K1899">
        <v>168621.722777477</v>
      </c>
      <c r="L1899" t="s">
        <v>17</v>
      </c>
      <c r="M1899">
        <v>0</v>
      </c>
      <c r="N1899">
        <v>7.8078309287629197E-2</v>
      </c>
    </row>
    <row r="1900" spans="2:14" x14ac:dyDescent="0.25">
      <c r="B1900" t="s">
        <v>14</v>
      </c>
      <c r="C1900" s="1">
        <v>46140.999988425923</v>
      </c>
      <c r="D1900">
        <v>25.158621908218102</v>
      </c>
      <c r="E1900">
        <v>13165.6990236327</v>
      </c>
      <c r="F1900" s="1">
        <v>46140.099120370367</v>
      </c>
      <c r="G1900">
        <v>52.875832232124502</v>
      </c>
      <c r="H1900" t="s">
        <v>25</v>
      </c>
      <c r="J1900" t="s">
        <v>16</v>
      </c>
      <c r="K1900">
        <v>168621.722777477</v>
      </c>
      <c r="L1900" t="s">
        <v>17</v>
      </c>
      <c r="M1900">
        <v>0</v>
      </c>
      <c r="N1900">
        <v>7.8078309287629197E-2</v>
      </c>
    </row>
    <row r="1901" spans="2:14" x14ac:dyDescent="0.25">
      <c r="B1901" t="s">
        <v>14</v>
      </c>
      <c r="C1901" s="1">
        <v>46139.999988425923</v>
      </c>
      <c r="D1901">
        <v>25.158621908218102</v>
      </c>
      <c r="E1901">
        <v>9757.3496422467797</v>
      </c>
      <c r="F1901" s="1">
        <v>46137.605486111112</v>
      </c>
      <c r="G1901">
        <v>52.875832232124502</v>
      </c>
      <c r="H1901" t="s">
        <v>25</v>
      </c>
      <c r="J1901" t="s">
        <v>16</v>
      </c>
      <c r="K1901">
        <v>168621.722777477</v>
      </c>
      <c r="L1901" t="s">
        <v>17</v>
      </c>
      <c r="M1901">
        <v>-3408.34938138598</v>
      </c>
      <c r="N1901">
        <v>5.78653181898936E-2</v>
      </c>
    </row>
    <row r="1902" spans="2:14" x14ac:dyDescent="0.25">
      <c r="B1902" t="s">
        <v>14</v>
      </c>
      <c r="C1902" s="1">
        <v>46138.999988425923</v>
      </c>
      <c r="D1902">
        <v>25.158621908218102</v>
      </c>
      <c r="E1902">
        <v>9757.3496422467797</v>
      </c>
      <c r="F1902" s="1">
        <v>46137.605486111112</v>
      </c>
      <c r="G1902">
        <v>52.875832232124502</v>
      </c>
      <c r="H1902" t="s">
        <v>25</v>
      </c>
      <c r="J1902" t="s">
        <v>16</v>
      </c>
      <c r="K1902">
        <v>168621.722777477</v>
      </c>
      <c r="L1902" t="s">
        <v>17</v>
      </c>
      <c r="M1902">
        <v>0</v>
      </c>
      <c r="N1902">
        <v>5.78653181898936E-2</v>
      </c>
    </row>
    <row r="1903" spans="2:14" x14ac:dyDescent="0.25">
      <c r="B1903" t="s">
        <v>14</v>
      </c>
      <c r="C1903" s="1">
        <v>46137.999988425923</v>
      </c>
      <c r="D1903">
        <v>25.158621908218102</v>
      </c>
      <c r="E1903">
        <v>9757.3496422467797</v>
      </c>
      <c r="F1903" s="1">
        <v>46137.605486111112</v>
      </c>
      <c r="G1903">
        <v>52.875832232124502</v>
      </c>
      <c r="H1903" t="s">
        <v>25</v>
      </c>
      <c r="J1903" t="s">
        <v>16</v>
      </c>
      <c r="K1903">
        <v>168621.722777477</v>
      </c>
      <c r="L1903" t="s">
        <v>17</v>
      </c>
      <c r="M1903">
        <v>0</v>
      </c>
      <c r="N1903">
        <v>5.78653181898936E-2</v>
      </c>
    </row>
    <row r="1904" spans="2:14" x14ac:dyDescent="0.25">
      <c r="B1904" t="s">
        <v>14</v>
      </c>
      <c r="C1904" s="1">
        <v>46136.999988425923</v>
      </c>
      <c r="D1904">
        <v>25.158621908218102</v>
      </c>
      <c r="E1904">
        <v>12415.459464941399</v>
      </c>
      <c r="F1904" s="1">
        <v>46134.099803240744</v>
      </c>
      <c r="G1904">
        <v>52.875832232124502</v>
      </c>
      <c r="H1904" t="s">
        <v>25</v>
      </c>
      <c r="J1904" t="s">
        <v>16</v>
      </c>
      <c r="K1904">
        <v>168621.722777477</v>
      </c>
      <c r="L1904" t="s">
        <v>17</v>
      </c>
      <c r="M1904">
        <v>2658.1098226946101</v>
      </c>
      <c r="N1904">
        <v>7.3629063091269195E-2</v>
      </c>
    </row>
    <row r="1905" spans="2:14" x14ac:dyDescent="0.25">
      <c r="B1905" t="s">
        <v>14</v>
      </c>
      <c r="C1905" s="1">
        <v>46135.999988425923</v>
      </c>
      <c r="D1905">
        <v>25.158621908218102</v>
      </c>
      <c r="E1905">
        <v>12415.459464941399</v>
      </c>
      <c r="F1905" s="1">
        <v>46134.099803240744</v>
      </c>
      <c r="G1905">
        <v>52.875832232124502</v>
      </c>
      <c r="H1905" t="s">
        <v>25</v>
      </c>
      <c r="J1905" t="s">
        <v>16</v>
      </c>
      <c r="K1905">
        <v>168621.722777477</v>
      </c>
      <c r="L1905" t="s">
        <v>17</v>
      </c>
      <c r="M1905">
        <v>0</v>
      </c>
      <c r="N1905">
        <v>7.3629063091269195E-2</v>
      </c>
    </row>
    <row r="1906" spans="2:14" x14ac:dyDescent="0.25">
      <c r="B1906" t="s">
        <v>14</v>
      </c>
      <c r="C1906" s="1">
        <v>46134.999988425923</v>
      </c>
      <c r="D1906">
        <v>25.158621908218102</v>
      </c>
      <c r="E1906">
        <v>12415.459464941399</v>
      </c>
      <c r="F1906" s="1">
        <v>46134.099803240744</v>
      </c>
      <c r="G1906">
        <v>52.875832232124502</v>
      </c>
      <c r="H1906" t="s">
        <v>25</v>
      </c>
      <c r="J1906" t="s">
        <v>16</v>
      </c>
      <c r="K1906">
        <v>168621.722777477</v>
      </c>
      <c r="L1906" t="s">
        <v>17</v>
      </c>
      <c r="M1906">
        <v>0</v>
      </c>
      <c r="N1906">
        <v>7.3629063091269195E-2</v>
      </c>
    </row>
    <row r="1907" spans="2:14" x14ac:dyDescent="0.25">
      <c r="B1907" t="s">
        <v>14</v>
      </c>
      <c r="C1907" s="1">
        <v>46133.999988425923</v>
      </c>
      <c r="D1907">
        <v>25.158621908218102</v>
      </c>
      <c r="E1907">
        <v>15193.349298355801</v>
      </c>
      <c r="F1907" s="1">
        <v>46131.606296296297</v>
      </c>
      <c r="G1907">
        <v>52.875832232124502</v>
      </c>
      <c r="H1907" t="s">
        <v>25</v>
      </c>
      <c r="J1907" t="s">
        <v>16</v>
      </c>
      <c r="K1907">
        <v>168621.722777477</v>
      </c>
      <c r="L1907" t="s">
        <v>17</v>
      </c>
      <c r="M1907">
        <v>2777.8898334144001</v>
      </c>
      <c r="N1907">
        <v>9.0103155442230701E-2</v>
      </c>
    </row>
    <row r="1908" spans="2:14" x14ac:dyDescent="0.25">
      <c r="B1908" t="s">
        <v>14</v>
      </c>
      <c r="C1908" s="1">
        <v>46132.999988425923</v>
      </c>
      <c r="D1908">
        <v>25.158621908218102</v>
      </c>
      <c r="E1908">
        <v>15193.349298355801</v>
      </c>
      <c r="F1908" s="1">
        <v>46131.606296296297</v>
      </c>
      <c r="G1908">
        <v>52.875832232124502</v>
      </c>
      <c r="H1908" t="s">
        <v>25</v>
      </c>
      <c r="J1908" t="s">
        <v>16</v>
      </c>
      <c r="K1908">
        <v>168621.722777477</v>
      </c>
      <c r="L1908" t="s">
        <v>17</v>
      </c>
      <c r="M1908">
        <v>0</v>
      </c>
      <c r="N1908">
        <v>9.0103155442230701E-2</v>
      </c>
    </row>
    <row r="1909" spans="2:14" x14ac:dyDescent="0.25">
      <c r="B1909" t="s">
        <v>14</v>
      </c>
      <c r="C1909" s="1">
        <v>46131.999988425923</v>
      </c>
      <c r="D1909">
        <v>25.158621908218102</v>
      </c>
      <c r="E1909">
        <v>15193.349298355801</v>
      </c>
      <c r="F1909" s="1">
        <v>46131.606296296297</v>
      </c>
      <c r="G1909">
        <v>52.875832232124502</v>
      </c>
      <c r="H1909" t="s">
        <v>25</v>
      </c>
      <c r="J1909" t="s">
        <v>16</v>
      </c>
      <c r="K1909">
        <v>168621.722777477</v>
      </c>
      <c r="L1909" t="s">
        <v>17</v>
      </c>
      <c r="M1909">
        <v>0</v>
      </c>
      <c r="N1909">
        <v>9.0103155442230701E-2</v>
      </c>
    </row>
    <row r="1910" spans="2:14" x14ac:dyDescent="0.25">
      <c r="B1910" t="s">
        <v>14</v>
      </c>
      <c r="C1910" s="1">
        <v>46130.999988425923</v>
      </c>
      <c r="D1910">
        <v>25.158621908218102</v>
      </c>
      <c r="E1910">
        <v>16198.775388199399</v>
      </c>
      <c r="F1910" s="1">
        <v>46128.099108796298</v>
      </c>
      <c r="G1910">
        <v>52.875832232124502</v>
      </c>
      <c r="H1910" t="s">
        <v>25</v>
      </c>
      <c r="J1910" t="s">
        <v>16</v>
      </c>
      <c r="K1910">
        <v>168621.722777477</v>
      </c>
      <c r="L1910" t="s">
        <v>17</v>
      </c>
      <c r="M1910">
        <v>1005.4260898436401</v>
      </c>
      <c r="N1910">
        <v>9.6065768522459197E-2</v>
      </c>
    </row>
    <row r="1911" spans="2:14" x14ac:dyDescent="0.25">
      <c r="B1911" t="s">
        <v>14</v>
      </c>
      <c r="C1911" s="1">
        <v>46129.999988425923</v>
      </c>
      <c r="D1911">
        <v>25.158621908218102</v>
      </c>
      <c r="E1911">
        <v>16198.775388199399</v>
      </c>
      <c r="F1911" s="1">
        <v>46128.099108796298</v>
      </c>
      <c r="G1911">
        <v>52.875832232124502</v>
      </c>
      <c r="H1911" t="s">
        <v>25</v>
      </c>
      <c r="J1911" t="s">
        <v>16</v>
      </c>
      <c r="K1911">
        <v>168621.722777477</v>
      </c>
      <c r="L1911" t="s">
        <v>17</v>
      </c>
      <c r="M1911">
        <v>0</v>
      </c>
      <c r="N1911">
        <v>9.6065768522459197E-2</v>
      </c>
    </row>
    <row r="1912" spans="2:14" x14ac:dyDescent="0.25">
      <c r="B1912" t="s">
        <v>14</v>
      </c>
      <c r="C1912" s="1">
        <v>46128.999988425923</v>
      </c>
      <c r="D1912">
        <v>25.158621908218102</v>
      </c>
      <c r="E1912">
        <v>16198.775388199399</v>
      </c>
      <c r="F1912" s="1">
        <v>46128.099108796298</v>
      </c>
      <c r="G1912">
        <v>52.875832232124502</v>
      </c>
      <c r="H1912" t="s">
        <v>25</v>
      </c>
      <c r="J1912" t="s">
        <v>16</v>
      </c>
      <c r="K1912">
        <v>168621.722777477</v>
      </c>
      <c r="L1912" t="s">
        <v>17</v>
      </c>
      <c r="M1912">
        <v>0</v>
      </c>
      <c r="N1912">
        <v>9.6065768522459197E-2</v>
      </c>
    </row>
    <row r="1913" spans="2:14" x14ac:dyDescent="0.25">
      <c r="B1913" t="s">
        <v>14</v>
      </c>
      <c r="C1913" s="1">
        <v>46127.999988425923</v>
      </c>
      <c r="D1913">
        <v>25.158621908218102</v>
      </c>
      <c r="E1913">
        <v>10356.5995255868</v>
      </c>
      <c r="F1913" s="1">
        <v>46125.605486111112</v>
      </c>
      <c r="G1913">
        <v>52.875832232124502</v>
      </c>
      <c r="H1913" t="s">
        <v>25</v>
      </c>
      <c r="J1913" t="s">
        <v>16</v>
      </c>
      <c r="K1913">
        <v>168621.722777477</v>
      </c>
      <c r="L1913" t="s">
        <v>17</v>
      </c>
      <c r="M1913">
        <v>-5842.1758626126302</v>
      </c>
      <c r="N1913">
        <v>6.1419130080019001E-2</v>
      </c>
    </row>
    <row r="1914" spans="2:14" x14ac:dyDescent="0.25">
      <c r="B1914" t="s">
        <v>14</v>
      </c>
      <c r="C1914" s="1">
        <v>46126.999988425923</v>
      </c>
      <c r="D1914">
        <v>25.158621908218102</v>
      </c>
      <c r="E1914">
        <v>10356.5995255868</v>
      </c>
      <c r="F1914" s="1">
        <v>46125.605486111112</v>
      </c>
      <c r="G1914">
        <v>52.875832232124502</v>
      </c>
      <c r="H1914" t="s">
        <v>25</v>
      </c>
      <c r="J1914" t="s">
        <v>16</v>
      </c>
      <c r="K1914">
        <v>168621.722777477</v>
      </c>
      <c r="L1914" t="s">
        <v>17</v>
      </c>
      <c r="M1914">
        <v>0</v>
      </c>
      <c r="N1914">
        <v>6.1419130080019001E-2</v>
      </c>
    </row>
    <row r="1915" spans="2:14" x14ac:dyDescent="0.25">
      <c r="B1915" t="s">
        <v>14</v>
      </c>
      <c r="C1915" s="1">
        <v>46125.999988425923</v>
      </c>
      <c r="D1915">
        <v>25.158621908218102</v>
      </c>
      <c r="E1915">
        <v>10356.5995255868</v>
      </c>
      <c r="F1915" s="1">
        <v>46125.605486111112</v>
      </c>
      <c r="G1915">
        <v>52.875832232124502</v>
      </c>
      <c r="H1915" t="s">
        <v>25</v>
      </c>
      <c r="J1915" t="s">
        <v>16</v>
      </c>
      <c r="K1915">
        <v>168621.722777477</v>
      </c>
      <c r="L1915" t="s">
        <v>17</v>
      </c>
      <c r="M1915">
        <v>0</v>
      </c>
      <c r="N1915">
        <v>6.1419130080019001E-2</v>
      </c>
    </row>
    <row r="1916" spans="2:14" x14ac:dyDescent="0.25">
      <c r="B1916" t="s">
        <v>14</v>
      </c>
      <c r="C1916" s="1">
        <v>46124.999988425923</v>
      </c>
      <c r="D1916">
        <v>25.158621908218102</v>
      </c>
      <c r="E1916">
        <v>14757.533318318399</v>
      </c>
      <c r="F1916" s="1">
        <v>46122.099803240744</v>
      </c>
      <c r="G1916">
        <v>52.875832232124502</v>
      </c>
      <c r="H1916" t="s">
        <v>25</v>
      </c>
      <c r="J1916" t="s">
        <v>16</v>
      </c>
      <c r="K1916">
        <v>168621.722777477</v>
      </c>
      <c r="L1916" t="s">
        <v>17</v>
      </c>
      <c r="M1916">
        <v>4400.9337927316601</v>
      </c>
      <c r="N1916">
        <v>8.75185775310416E-2</v>
      </c>
    </row>
    <row r="1917" spans="2:14" x14ac:dyDescent="0.25">
      <c r="B1917" t="s">
        <v>14</v>
      </c>
      <c r="C1917" s="1">
        <v>46123.999988425923</v>
      </c>
      <c r="D1917">
        <v>25.158621908218102</v>
      </c>
      <c r="E1917">
        <v>14757.533318318399</v>
      </c>
      <c r="F1917" s="1">
        <v>46122.099803240744</v>
      </c>
      <c r="G1917">
        <v>52.875832232124502</v>
      </c>
      <c r="H1917" t="s">
        <v>25</v>
      </c>
      <c r="J1917" t="s">
        <v>16</v>
      </c>
      <c r="K1917">
        <v>168621.722777477</v>
      </c>
      <c r="L1917" t="s">
        <v>17</v>
      </c>
      <c r="M1917">
        <v>0</v>
      </c>
      <c r="N1917">
        <v>8.75185775310416E-2</v>
      </c>
    </row>
    <row r="1918" spans="2:14" x14ac:dyDescent="0.25">
      <c r="B1918" t="s">
        <v>14</v>
      </c>
      <c r="C1918" s="1">
        <v>46122.999988425923</v>
      </c>
      <c r="D1918">
        <v>25.158621908218102</v>
      </c>
      <c r="E1918">
        <v>14757.533318318399</v>
      </c>
      <c r="F1918" s="1">
        <v>46122.099803240744</v>
      </c>
      <c r="G1918">
        <v>52.875832232124502</v>
      </c>
      <c r="H1918" t="s">
        <v>25</v>
      </c>
      <c r="J1918" t="s">
        <v>16</v>
      </c>
      <c r="K1918">
        <v>168621.722777477</v>
      </c>
      <c r="L1918" t="s">
        <v>17</v>
      </c>
      <c r="M1918">
        <v>0</v>
      </c>
      <c r="N1918">
        <v>8.75185775310416E-2</v>
      </c>
    </row>
    <row r="1919" spans="2:14" x14ac:dyDescent="0.25">
      <c r="B1919" t="s">
        <v>14</v>
      </c>
      <c r="C1919" s="1">
        <v>46121.999988425923</v>
      </c>
      <c r="D1919">
        <v>25.158621908218102</v>
      </c>
      <c r="E1919">
        <v>10077.5848706378</v>
      </c>
      <c r="F1919" s="1">
        <v>46119.606296296297</v>
      </c>
      <c r="G1919">
        <v>52.875832232124502</v>
      </c>
      <c r="H1919" t="s">
        <v>25</v>
      </c>
      <c r="J1919" t="s">
        <v>16</v>
      </c>
      <c r="K1919">
        <v>168621.722777477</v>
      </c>
      <c r="L1919" t="s">
        <v>17</v>
      </c>
      <c r="M1919">
        <v>-4679.9484476806501</v>
      </c>
      <c r="N1919">
        <v>5.9764452080333402E-2</v>
      </c>
    </row>
    <row r="1920" spans="2:14" x14ac:dyDescent="0.25">
      <c r="B1920" t="s">
        <v>14</v>
      </c>
      <c r="C1920" s="1">
        <v>46120.999988425923</v>
      </c>
      <c r="D1920">
        <v>25.158621908218102</v>
      </c>
      <c r="E1920">
        <v>10077.5848706378</v>
      </c>
      <c r="F1920" s="1">
        <v>46119.606296296297</v>
      </c>
      <c r="G1920">
        <v>52.875832232124502</v>
      </c>
      <c r="H1920" t="s">
        <v>25</v>
      </c>
      <c r="J1920" t="s">
        <v>16</v>
      </c>
      <c r="K1920">
        <v>168621.722777477</v>
      </c>
      <c r="L1920" t="s">
        <v>17</v>
      </c>
      <c r="M1920">
        <v>0</v>
      </c>
      <c r="N1920">
        <v>5.9764452080333402E-2</v>
      </c>
    </row>
    <row r="1921" spans="2:14" x14ac:dyDescent="0.25">
      <c r="B1921" t="s">
        <v>14</v>
      </c>
      <c r="C1921" s="1">
        <v>46119.999988425923</v>
      </c>
      <c r="D1921">
        <v>25.158621908218102</v>
      </c>
      <c r="E1921">
        <v>10077.5848706378</v>
      </c>
      <c r="F1921" s="1">
        <v>46119.606296296297</v>
      </c>
      <c r="G1921">
        <v>52.875832232124502</v>
      </c>
      <c r="H1921" t="s">
        <v>25</v>
      </c>
      <c r="J1921" t="s">
        <v>16</v>
      </c>
      <c r="K1921">
        <v>168621.722777477</v>
      </c>
      <c r="L1921" t="s">
        <v>17</v>
      </c>
      <c r="M1921">
        <v>0</v>
      </c>
      <c r="N1921">
        <v>5.9764452080333402E-2</v>
      </c>
    </row>
    <row r="1922" spans="2:14" x14ac:dyDescent="0.25">
      <c r="B1922" t="s">
        <v>14</v>
      </c>
      <c r="C1922" s="1">
        <v>46118.999988425923</v>
      </c>
      <c r="D1922">
        <v>25.158621908218102</v>
      </c>
      <c r="E1922">
        <v>15618.699653133601</v>
      </c>
      <c r="F1922" s="1">
        <v>46116.099108796298</v>
      </c>
      <c r="G1922">
        <v>52.875832232124502</v>
      </c>
      <c r="H1922" t="s">
        <v>25</v>
      </c>
      <c r="J1922" t="s">
        <v>16</v>
      </c>
      <c r="K1922">
        <v>168621.722777477</v>
      </c>
      <c r="L1922" t="s">
        <v>17</v>
      </c>
      <c r="M1922">
        <v>5541.1147824958298</v>
      </c>
      <c r="N1922">
        <v>9.26256676534193E-2</v>
      </c>
    </row>
    <row r="1923" spans="2:14" x14ac:dyDescent="0.25">
      <c r="B1923" t="s">
        <v>14</v>
      </c>
      <c r="C1923" s="1">
        <v>46117.999988425923</v>
      </c>
      <c r="D1923">
        <v>25.158621908218102</v>
      </c>
      <c r="E1923">
        <v>15618.699653133601</v>
      </c>
      <c r="F1923" s="1">
        <v>46116.099108796298</v>
      </c>
      <c r="G1923">
        <v>52.875832232124502</v>
      </c>
      <c r="H1923" t="s">
        <v>25</v>
      </c>
      <c r="J1923" t="s">
        <v>16</v>
      </c>
      <c r="K1923">
        <v>168621.722777477</v>
      </c>
      <c r="L1923" t="s">
        <v>17</v>
      </c>
      <c r="M1923">
        <v>0</v>
      </c>
      <c r="N1923">
        <v>9.26256676534193E-2</v>
      </c>
    </row>
    <row r="1924" spans="2:14" x14ac:dyDescent="0.25">
      <c r="B1924" t="s">
        <v>14</v>
      </c>
      <c r="C1924" s="1">
        <v>46116.999988425923</v>
      </c>
      <c r="D1924">
        <v>25.158621908218102</v>
      </c>
      <c r="E1924">
        <v>15618.699653133601</v>
      </c>
      <c r="F1924" s="1">
        <v>46116.099108796298</v>
      </c>
      <c r="G1924">
        <v>52.875832232124502</v>
      </c>
      <c r="H1924" t="s">
        <v>25</v>
      </c>
      <c r="J1924" t="s">
        <v>16</v>
      </c>
      <c r="K1924">
        <v>168621.722777477</v>
      </c>
      <c r="L1924" t="s">
        <v>17</v>
      </c>
      <c r="M1924">
        <v>0</v>
      </c>
      <c r="N1924">
        <v>9.26256676534193E-2</v>
      </c>
    </row>
    <row r="1925" spans="2:14" x14ac:dyDescent="0.25">
      <c r="B1925" t="s">
        <v>14</v>
      </c>
      <c r="C1925" s="1">
        <v>46115.999988425923</v>
      </c>
      <c r="D1925">
        <v>25.158621908218102</v>
      </c>
      <c r="E1925">
        <v>10976.226807892899</v>
      </c>
      <c r="F1925" s="1">
        <v>46113.605474537035</v>
      </c>
      <c r="G1925">
        <v>52.875832232124502</v>
      </c>
      <c r="H1925" t="s">
        <v>25</v>
      </c>
      <c r="J1925" t="s">
        <v>16</v>
      </c>
      <c r="K1925">
        <v>168621.722777477</v>
      </c>
      <c r="L1925" t="s">
        <v>17</v>
      </c>
      <c r="M1925">
        <v>-4642.4728452407498</v>
      </c>
      <c r="N1925">
        <v>6.5093788790058296E-2</v>
      </c>
    </row>
    <row r="1926" spans="2:14" x14ac:dyDescent="0.25">
      <c r="B1926" t="s">
        <v>14</v>
      </c>
      <c r="C1926" s="1">
        <v>46114.999988425923</v>
      </c>
      <c r="D1926">
        <v>25.158621908218102</v>
      </c>
      <c r="E1926">
        <v>10976.226807892899</v>
      </c>
      <c r="F1926" s="1">
        <v>46113.605474537035</v>
      </c>
      <c r="G1926">
        <v>52.875832232124502</v>
      </c>
      <c r="H1926" t="s">
        <v>25</v>
      </c>
      <c r="J1926" t="s">
        <v>16</v>
      </c>
      <c r="K1926">
        <v>168621.722777477</v>
      </c>
      <c r="L1926" t="s">
        <v>17</v>
      </c>
      <c r="M1926">
        <v>0</v>
      </c>
      <c r="N1926">
        <v>6.5093788790058296E-2</v>
      </c>
    </row>
    <row r="1927" spans="2:14" x14ac:dyDescent="0.25">
      <c r="B1927" t="s">
        <v>14</v>
      </c>
      <c r="C1927" s="1">
        <v>46113.999988425923</v>
      </c>
      <c r="D1927">
        <v>25.158621908218102</v>
      </c>
      <c r="E1927">
        <v>10976.226807892899</v>
      </c>
      <c r="F1927" s="1">
        <v>46113.605474537035</v>
      </c>
      <c r="G1927">
        <v>52.875832232124502</v>
      </c>
      <c r="H1927" t="s">
        <v>25</v>
      </c>
      <c r="J1927" t="s">
        <v>16</v>
      </c>
      <c r="K1927">
        <v>168621.722777477</v>
      </c>
      <c r="L1927" t="s">
        <v>17</v>
      </c>
      <c r="M1927">
        <v>0</v>
      </c>
      <c r="N1927">
        <v>6.5093788790058296E-2</v>
      </c>
    </row>
    <row r="1928" spans="2:14" x14ac:dyDescent="0.25">
      <c r="B1928" t="s">
        <v>14</v>
      </c>
      <c r="C1928" s="1">
        <v>46112.999988425923</v>
      </c>
      <c r="D1928">
        <v>25.158621908218102</v>
      </c>
      <c r="E1928">
        <v>14514.364094352501</v>
      </c>
      <c r="F1928" s="1">
        <v>46110.099803240744</v>
      </c>
      <c r="G1928">
        <v>52.875832232124502</v>
      </c>
      <c r="H1928" t="s">
        <v>25</v>
      </c>
      <c r="J1928" t="s">
        <v>16</v>
      </c>
      <c r="K1928">
        <v>168621.722777477</v>
      </c>
      <c r="L1928" t="s">
        <v>17</v>
      </c>
      <c r="M1928">
        <v>3538.1372864596701</v>
      </c>
      <c r="N1928">
        <v>8.6076478494449493E-2</v>
      </c>
    </row>
    <row r="1929" spans="2:14" x14ac:dyDescent="0.25">
      <c r="B1929" t="s">
        <v>14</v>
      </c>
      <c r="C1929" s="1">
        <v>46111.999988425923</v>
      </c>
      <c r="D1929">
        <v>25.158621908218102</v>
      </c>
      <c r="E1929">
        <v>14514.364094352501</v>
      </c>
      <c r="F1929" s="1">
        <v>46110.099803240744</v>
      </c>
      <c r="G1929">
        <v>52.875832232124502</v>
      </c>
      <c r="H1929" t="s">
        <v>25</v>
      </c>
      <c r="J1929" t="s">
        <v>16</v>
      </c>
      <c r="K1929">
        <v>168621.722777477</v>
      </c>
      <c r="L1929" t="s">
        <v>17</v>
      </c>
      <c r="M1929">
        <v>0</v>
      </c>
      <c r="N1929">
        <v>8.6076478494449493E-2</v>
      </c>
    </row>
    <row r="1930" spans="2:14" x14ac:dyDescent="0.25">
      <c r="B1930" t="s">
        <v>14</v>
      </c>
      <c r="C1930" s="1">
        <v>46110.999988425923</v>
      </c>
      <c r="D1930">
        <v>25.158621908218102</v>
      </c>
      <c r="E1930">
        <v>14514.364094352501</v>
      </c>
      <c r="F1930" s="1">
        <v>46110.099803240744</v>
      </c>
      <c r="G1930">
        <v>52.875832232124502</v>
      </c>
      <c r="H1930" t="s">
        <v>25</v>
      </c>
      <c r="J1930" t="s">
        <v>16</v>
      </c>
      <c r="K1930">
        <v>168621.722777477</v>
      </c>
      <c r="L1930" t="s">
        <v>17</v>
      </c>
      <c r="M1930">
        <v>0</v>
      </c>
      <c r="N1930">
        <v>8.6076478494449493E-2</v>
      </c>
    </row>
    <row r="1931" spans="2:14" x14ac:dyDescent="0.25">
      <c r="B1931" t="s">
        <v>14</v>
      </c>
      <c r="C1931" s="1">
        <v>46109.999988425923</v>
      </c>
      <c r="D1931">
        <v>25.158621908218102</v>
      </c>
      <c r="E1931">
        <v>10247.768241571301</v>
      </c>
      <c r="F1931" s="1">
        <v>46107.606296296297</v>
      </c>
      <c r="G1931">
        <v>52.875832232124502</v>
      </c>
      <c r="H1931" t="s">
        <v>25</v>
      </c>
      <c r="J1931" t="s">
        <v>16</v>
      </c>
      <c r="K1931">
        <v>168621.722777477</v>
      </c>
      <c r="L1931" t="s">
        <v>17</v>
      </c>
      <c r="M1931">
        <v>-4266.5958527811999</v>
      </c>
      <c r="N1931">
        <v>6.0773713331673598E-2</v>
      </c>
    </row>
    <row r="1932" spans="2:14" x14ac:dyDescent="0.25">
      <c r="B1932" t="s">
        <v>14</v>
      </c>
      <c r="C1932" s="1">
        <v>46108.999988425923</v>
      </c>
      <c r="D1932">
        <v>25.158621908218102</v>
      </c>
      <c r="E1932">
        <v>10247.768241571301</v>
      </c>
      <c r="F1932" s="1">
        <v>46107.606296296297</v>
      </c>
      <c r="G1932">
        <v>52.875832232124502</v>
      </c>
      <c r="H1932" t="s">
        <v>25</v>
      </c>
      <c r="J1932" t="s">
        <v>16</v>
      </c>
      <c r="K1932">
        <v>168621.722777477</v>
      </c>
      <c r="L1932" t="s">
        <v>17</v>
      </c>
      <c r="M1932">
        <v>0</v>
      </c>
      <c r="N1932">
        <v>6.0773713331673598E-2</v>
      </c>
    </row>
    <row r="1933" spans="2:14" x14ac:dyDescent="0.25">
      <c r="B1933" t="s">
        <v>14</v>
      </c>
      <c r="C1933" s="1">
        <v>46107.999988425923</v>
      </c>
      <c r="D1933">
        <v>25.158621908218102</v>
      </c>
      <c r="E1933">
        <v>10247.768241571301</v>
      </c>
      <c r="F1933" s="1">
        <v>46107.606296296297</v>
      </c>
      <c r="G1933">
        <v>52.875832232124502</v>
      </c>
      <c r="H1933" t="s">
        <v>25</v>
      </c>
      <c r="J1933" t="s">
        <v>16</v>
      </c>
      <c r="K1933">
        <v>168621.722777477</v>
      </c>
      <c r="L1933" t="s">
        <v>17</v>
      </c>
      <c r="M1933">
        <v>0</v>
      </c>
      <c r="N1933">
        <v>6.0773713331673598E-2</v>
      </c>
    </row>
    <row r="1934" spans="2:14" x14ac:dyDescent="0.25">
      <c r="B1934" t="s">
        <v>14</v>
      </c>
      <c r="C1934" s="1">
        <v>46106.999988425923</v>
      </c>
      <c r="D1934">
        <v>25.158621908218102</v>
      </c>
      <c r="E1934">
        <v>15599.839511153101</v>
      </c>
      <c r="F1934" s="1">
        <v>46104.099108796298</v>
      </c>
      <c r="G1934">
        <v>52.875832232124502</v>
      </c>
      <c r="H1934" t="s">
        <v>25</v>
      </c>
      <c r="J1934" t="s">
        <v>16</v>
      </c>
      <c r="K1934">
        <v>168621.722777477</v>
      </c>
      <c r="L1934" t="s">
        <v>17</v>
      </c>
      <c r="M1934">
        <v>5352.0712695817601</v>
      </c>
      <c r="N1934">
        <v>9.2513818825938093E-2</v>
      </c>
    </row>
    <row r="1935" spans="2:14" x14ac:dyDescent="0.25">
      <c r="B1935" t="s">
        <v>14</v>
      </c>
      <c r="C1935" s="1">
        <v>46105.999988425923</v>
      </c>
      <c r="D1935">
        <v>25.158621908218102</v>
      </c>
      <c r="E1935">
        <v>15599.839511153101</v>
      </c>
      <c r="F1935" s="1">
        <v>46104.099108796298</v>
      </c>
      <c r="G1935">
        <v>52.875832232124502</v>
      </c>
      <c r="H1935" t="s">
        <v>25</v>
      </c>
      <c r="J1935" t="s">
        <v>16</v>
      </c>
      <c r="K1935">
        <v>168621.722777477</v>
      </c>
      <c r="L1935" t="s">
        <v>17</v>
      </c>
      <c r="M1935">
        <v>0</v>
      </c>
      <c r="N1935">
        <v>9.2513818825938093E-2</v>
      </c>
    </row>
    <row r="1936" spans="2:14" x14ac:dyDescent="0.25">
      <c r="B1936" t="s">
        <v>14</v>
      </c>
      <c r="C1936" s="1">
        <v>46104.999988425923</v>
      </c>
      <c r="D1936">
        <v>25.158621908218102</v>
      </c>
      <c r="E1936">
        <v>15599.839511153101</v>
      </c>
      <c r="F1936" s="1">
        <v>46104.099108796298</v>
      </c>
      <c r="G1936">
        <v>52.875832232124502</v>
      </c>
      <c r="H1936" t="s">
        <v>25</v>
      </c>
      <c r="J1936" t="s">
        <v>16</v>
      </c>
      <c r="K1936">
        <v>168621.722777477</v>
      </c>
      <c r="L1936" t="s">
        <v>17</v>
      </c>
      <c r="M1936">
        <v>0</v>
      </c>
      <c r="N1936">
        <v>9.2513818825938093E-2</v>
      </c>
    </row>
    <row r="1937" spans="2:14" x14ac:dyDescent="0.25">
      <c r="B1937" t="s">
        <v>14</v>
      </c>
      <c r="C1937" s="1">
        <v>46103.999988425923</v>
      </c>
      <c r="D1937">
        <v>25.158621908218102</v>
      </c>
      <c r="E1937">
        <v>9429.4806757598399</v>
      </c>
      <c r="F1937" s="1">
        <v>46101.605474537035</v>
      </c>
      <c r="G1937">
        <v>52.875832232124502</v>
      </c>
      <c r="H1937" t="s">
        <v>25</v>
      </c>
      <c r="J1937" t="s">
        <v>16</v>
      </c>
      <c r="K1937">
        <v>168621.722777477</v>
      </c>
      <c r="L1937" t="s">
        <v>17</v>
      </c>
      <c r="M1937">
        <v>-6170.3588353933001</v>
      </c>
      <c r="N1937">
        <v>5.5920912919407699E-2</v>
      </c>
    </row>
    <row r="1938" spans="2:14" x14ac:dyDescent="0.25">
      <c r="B1938" t="s">
        <v>14</v>
      </c>
      <c r="C1938" s="1">
        <v>46102.999988425923</v>
      </c>
      <c r="D1938">
        <v>25.158621908218102</v>
      </c>
      <c r="E1938">
        <v>9429.4806757598399</v>
      </c>
      <c r="F1938" s="1">
        <v>46101.605474537035</v>
      </c>
      <c r="G1938">
        <v>52.875832232124502</v>
      </c>
      <c r="H1938" t="s">
        <v>25</v>
      </c>
      <c r="J1938" t="s">
        <v>16</v>
      </c>
      <c r="K1938">
        <v>168621.722777477</v>
      </c>
      <c r="L1938" t="s">
        <v>17</v>
      </c>
      <c r="M1938">
        <v>0</v>
      </c>
      <c r="N1938">
        <v>5.5920912919407699E-2</v>
      </c>
    </row>
    <row r="1939" spans="2:14" x14ac:dyDescent="0.25">
      <c r="B1939" t="s">
        <v>14</v>
      </c>
      <c r="C1939" s="1">
        <v>46101.999988425923</v>
      </c>
      <c r="D1939">
        <v>25.158621908218102</v>
      </c>
      <c r="E1939">
        <v>9429.4806757598399</v>
      </c>
      <c r="F1939" s="1">
        <v>46101.605474537035</v>
      </c>
      <c r="G1939">
        <v>52.875832232124502</v>
      </c>
      <c r="H1939" t="s">
        <v>25</v>
      </c>
      <c r="J1939" t="s">
        <v>16</v>
      </c>
      <c r="K1939">
        <v>168621.722777477</v>
      </c>
      <c r="L1939" t="s">
        <v>17</v>
      </c>
      <c r="M1939">
        <v>0</v>
      </c>
      <c r="N1939">
        <v>5.5920912919407699E-2</v>
      </c>
    </row>
    <row r="1940" spans="2:14" x14ac:dyDescent="0.25">
      <c r="B1940" t="s">
        <v>14</v>
      </c>
      <c r="C1940" s="1">
        <v>46100.999988425923</v>
      </c>
      <c r="D1940">
        <v>25.158621908218102</v>
      </c>
      <c r="E1940">
        <v>13925.7448295003</v>
      </c>
      <c r="F1940" s="1">
        <v>46098.099803240744</v>
      </c>
      <c r="G1940">
        <v>52.875832232124502</v>
      </c>
      <c r="H1940" t="s">
        <v>25</v>
      </c>
      <c r="J1940" t="s">
        <v>16</v>
      </c>
      <c r="K1940">
        <v>168621.722777477</v>
      </c>
      <c r="L1940" t="s">
        <v>17</v>
      </c>
      <c r="M1940">
        <v>4496.2641537405098</v>
      </c>
      <c r="N1940">
        <v>8.25857107857777E-2</v>
      </c>
    </row>
    <row r="1941" spans="2:14" x14ac:dyDescent="0.25">
      <c r="B1941" t="s">
        <v>14</v>
      </c>
      <c r="C1941" s="1">
        <v>46099.999988425923</v>
      </c>
      <c r="D1941">
        <v>25.158621908218102</v>
      </c>
      <c r="E1941">
        <v>13925.7448295003</v>
      </c>
      <c r="F1941" s="1">
        <v>46098.099803240744</v>
      </c>
      <c r="G1941">
        <v>52.875832232124502</v>
      </c>
      <c r="H1941" t="s">
        <v>25</v>
      </c>
      <c r="J1941" t="s">
        <v>16</v>
      </c>
      <c r="K1941">
        <v>168621.722777477</v>
      </c>
      <c r="L1941" t="s">
        <v>17</v>
      </c>
      <c r="M1941">
        <v>0</v>
      </c>
      <c r="N1941">
        <v>8.25857107857777E-2</v>
      </c>
    </row>
    <row r="1942" spans="2:14" x14ac:dyDescent="0.25">
      <c r="B1942" t="s">
        <v>14</v>
      </c>
      <c r="C1942" s="1">
        <v>46098.999988425923</v>
      </c>
      <c r="D1942">
        <v>25.158621908218102</v>
      </c>
      <c r="E1942">
        <v>13925.7448295003</v>
      </c>
      <c r="F1942" s="1">
        <v>46098.099803240744</v>
      </c>
      <c r="G1942">
        <v>52.875832232124502</v>
      </c>
      <c r="H1942" t="s">
        <v>25</v>
      </c>
      <c r="J1942" t="s">
        <v>16</v>
      </c>
      <c r="K1942">
        <v>168621.722777477</v>
      </c>
      <c r="L1942" t="s">
        <v>17</v>
      </c>
      <c r="M1942">
        <v>0</v>
      </c>
      <c r="N1942">
        <v>8.25857107857777E-2</v>
      </c>
    </row>
    <row r="1943" spans="2:14" x14ac:dyDescent="0.25">
      <c r="B1943" t="s">
        <v>14</v>
      </c>
      <c r="C1943" s="1">
        <v>46097.999988425923</v>
      </c>
      <c r="D1943">
        <v>25.158621908218102</v>
      </c>
      <c r="E1943">
        <v>8841.7270471948996</v>
      </c>
      <c r="F1943" s="1">
        <v>46095.606296296297</v>
      </c>
      <c r="G1943">
        <v>52.875832232124502</v>
      </c>
      <c r="H1943" t="s">
        <v>25</v>
      </c>
      <c r="J1943" t="s">
        <v>16</v>
      </c>
      <c r="K1943">
        <v>168621.722777477</v>
      </c>
      <c r="L1943" t="s">
        <v>17</v>
      </c>
      <c r="M1943">
        <v>-5084.0177823054501</v>
      </c>
      <c r="N1943">
        <v>5.2435278809616397E-2</v>
      </c>
    </row>
    <row r="1944" spans="2:14" x14ac:dyDescent="0.25">
      <c r="B1944" t="s">
        <v>14</v>
      </c>
      <c r="C1944" s="1">
        <v>46096.999988425923</v>
      </c>
      <c r="D1944">
        <v>25.158621908218102</v>
      </c>
      <c r="E1944">
        <v>8841.7270471948996</v>
      </c>
      <c r="F1944" s="1">
        <v>46095.606296296297</v>
      </c>
      <c r="G1944">
        <v>52.875832232124502</v>
      </c>
      <c r="H1944" t="s">
        <v>25</v>
      </c>
      <c r="J1944" t="s">
        <v>16</v>
      </c>
      <c r="K1944">
        <v>168621.722777477</v>
      </c>
      <c r="L1944" t="s">
        <v>17</v>
      </c>
      <c r="M1944">
        <v>0</v>
      </c>
      <c r="N1944">
        <v>5.2435278809616397E-2</v>
      </c>
    </row>
    <row r="1945" spans="2:14" x14ac:dyDescent="0.25">
      <c r="B1945" t="s">
        <v>14</v>
      </c>
      <c r="C1945" s="1">
        <v>46095.999988425923</v>
      </c>
      <c r="D1945">
        <v>25.158621908218102</v>
      </c>
      <c r="E1945">
        <v>8841.7270471948996</v>
      </c>
      <c r="F1945" s="1">
        <v>46095.606296296297</v>
      </c>
      <c r="G1945">
        <v>52.875832232124502</v>
      </c>
      <c r="H1945" t="s">
        <v>25</v>
      </c>
      <c r="J1945" t="s">
        <v>16</v>
      </c>
      <c r="K1945">
        <v>168621.722777477</v>
      </c>
      <c r="L1945" t="s">
        <v>17</v>
      </c>
      <c r="M1945">
        <v>0</v>
      </c>
      <c r="N1945">
        <v>5.2435278809616397E-2</v>
      </c>
    </row>
    <row r="1946" spans="2:14" x14ac:dyDescent="0.25">
      <c r="B1946" t="s">
        <v>14</v>
      </c>
      <c r="C1946" s="1">
        <v>46094.999988425923</v>
      </c>
      <c r="D1946">
        <v>25.158621908218102</v>
      </c>
      <c r="E1946">
        <v>14503.732658471899</v>
      </c>
      <c r="F1946" s="1">
        <v>46092.099097222221</v>
      </c>
      <c r="G1946">
        <v>52.875832232124502</v>
      </c>
      <c r="H1946" t="s">
        <v>25</v>
      </c>
      <c r="J1946" t="s">
        <v>16</v>
      </c>
      <c r="K1946">
        <v>168621.722777477</v>
      </c>
      <c r="L1946" t="s">
        <v>17</v>
      </c>
      <c r="M1946">
        <v>5662.0056112770399</v>
      </c>
      <c r="N1946">
        <v>8.6013429465501598E-2</v>
      </c>
    </row>
    <row r="1947" spans="2:14" x14ac:dyDescent="0.25">
      <c r="B1947" t="s">
        <v>14</v>
      </c>
      <c r="C1947" s="1">
        <v>46093.999988425923</v>
      </c>
      <c r="D1947">
        <v>25.158621908218102</v>
      </c>
      <c r="E1947">
        <v>14503.732658471899</v>
      </c>
      <c r="F1947" s="1">
        <v>46092.099097222221</v>
      </c>
      <c r="G1947">
        <v>52.875832232124502</v>
      </c>
      <c r="H1947" t="s">
        <v>25</v>
      </c>
      <c r="J1947" t="s">
        <v>16</v>
      </c>
      <c r="K1947">
        <v>168621.722777477</v>
      </c>
      <c r="L1947" t="s">
        <v>17</v>
      </c>
      <c r="M1947">
        <v>0</v>
      </c>
      <c r="N1947">
        <v>8.6013429465501598E-2</v>
      </c>
    </row>
    <row r="1948" spans="2:14" x14ac:dyDescent="0.25">
      <c r="B1948" t="s">
        <v>14</v>
      </c>
      <c r="C1948" s="1">
        <v>46092.999988425923</v>
      </c>
      <c r="D1948">
        <v>25.158621908218102</v>
      </c>
      <c r="E1948">
        <v>14503.732658471899</v>
      </c>
      <c r="F1948" s="1">
        <v>46092.099097222221</v>
      </c>
      <c r="G1948">
        <v>52.875832232124502</v>
      </c>
      <c r="H1948" t="s">
        <v>25</v>
      </c>
      <c r="J1948" t="s">
        <v>16</v>
      </c>
      <c r="K1948">
        <v>168621.722777477</v>
      </c>
      <c r="L1948" t="s">
        <v>17</v>
      </c>
      <c r="M1948">
        <v>0</v>
      </c>
      <c r="N1948">
        <v>8.6013429465501598E-2</v>
      </c>
    </row>
    <row r="1949" spans="2:14" x14ac:dyDescent="0.25">
      <c r="B1949" t="s">
        <v>14</v>
      </c>
      <c r="C1949" s="1">
        <v>46091.999988425923</v>
      </c>
      <c r="D1949">
        <v>25.158621908218102</v>
      </c>
      <c r="E1949">
        <v>8412.3402327264994</v>
      </c>
      <c r="F1949" s="1">
        <v>46089.605474537035</v>
      </c>
      <c r="G1949">
        <v>52.875832232124502</v>
      </c>
      <c r="H1949" t="s">
        <v>25</v>
      </c>
      <c r="J1949" t="s">
        <v>16</v>
      </c>
      <c r="K1949">
        <v>168621.722777477</v>
      </c>
      <c r="L1949" t="s">
        <v>17</v>
      </c>
      <c r="M1949">
        <v>-6091.39242574543</v>
      </c>
      <c r="N1949">
        <v>4.9888828640589099E-2</v>
      </c>
    </row>
    <row r="1950" spans="2:14" x14ac:dyDescent="0.25">
      <c r="B1950" t="s">
        <v>14</v>
      </c>
      <c r="C1950" s="1">
        <v>46090.999988425923</v>
      </c>
      <c r="D1950">
        <v>25.158621908218102</v>
      </c>
      <c r="E1950">
        <v>8412.3402327264994</v>
      </c>
      <c r="F1950" s="1">
        <v>46089.605474537035</v>
      </c>
      <c r="G1950">
        <v>52.875832232124502</v>
      </c>
      <c r="H1950" t="s">
        <v>25</v>
      </c>
      <c r="J1950" t="s">
        <v>16</v>
      </c>
      <c r="K1950">
        <v>168621.722777477</v>
      </c>
      <c r="L1950" t="s">
        <v>17</v>
      </c>
      <c r="M1950">
        <v>0</v>
      </c>
      <c r="N1950">
        <v>4.9888828640589099E-2</v>
      </c>
    </row>
    <row r="1951" spans="2:14" x14ac:dyDescent="0.25">
      <c r="B1951" t="s">
        <v>14</v>
      </c>
      <c r="C1951" s="1">
        <v>46089.999988425923</v>
      </c>
      <c r="D1951">
        <v>25.158621908218102</v>
      </c>
      <c r="E1951">
        <v>8412.3402327264994</v>
      </c>
      <c r="F1951" s="1">
        <v>46089.605474537035</v>
      </c>
      <c r="G1951">
        <v>52.875832232124502</v>
      </c>
      <c r="H1951" t="s">
        <v>25</v>
      </c>
      <c r="J1951" t="s">
        <v>16</v>
      </c>
      <c r="K1951">
        <v>168621.722777477</v>
      </c>
      <c r="L1951" t="s">
        <v>17</v>
      </c>
      <c r="M1951">
        <v>0</v>
      </c>
      <c r="N1951">
        <v>4.9888828640589099E-2</v>
      </c>
    </row>
    <row r="1952" spans="2:14" x14ac:dyDescent="0.25">
      <c r="B1952" t="s">
        <v>14</v>
      </c>
      <c r="C1952" s="1">
        <v>46088.999988425923</v>
      </c>
      <c r="D1952">
        <v>25.158621908218102</v>
      </c>
      <c r="E1952">
        <v>14224.700933214501</v>
      </c>
      <c r="F1952" s="1">
        <v>46086.099803240744</v>
      </c>
      <c r="G1952">
        <v>52.875832232124502</v>
      </c>
      <c r="H1952" t="s">
        <v>25</v>
      </c>
      <c r="J1952" t="s">
        <v>16</v>
      </c>
      <c r="K1952">
        <v>168621.722777477</v>
      </c>
      <c r="L1952" t="s">
        <v>17</v>
      </c>
      <c r="M1952">
        <v>5812.3607004880296</v>
      </c>
      <c r="N1952">
        <v>8.4358650231478302E-2</v>
      </c>
    </row>
    <row r="1953" spans="2:14" x14ac:dyDescent="0.25">
      <c r="B1953" t="s">
        <v>14</v>
      </c>
      <c r="C1953" s="1">
        <v>46087.999988425923</v>
      </c>
      <c r="D1953">
        <v>25.158621908218102</v>
      </c>
      <c r="E1953">
        <v>14224.700933214501</v>
      </c>
      <c r="F1953" s="1">
        <v>46086.099803240744</v>
      </c>
      <c r="G1953">
        <v>52.875832232124502</v>
      </c>
      <c r="H1953" t="s">
        <v>25</v>
      </c>
      <c r="J1953" t="s">
        <v>16</v>
      </c>
      <c r="K1953">
        <v>168621.722777477</v>
      </c>
      <c r="L1953" t="s">
        <v>17</v>
      </c>
      <c r="M1953">
        <v>0</v>
      </c>
      <c r="N1953">
        <v>8.4358650231478302E-2</v>
      </c>
    </row>
    <row r="1954" spans="2:14" x14ac:dyDescent="0.25">
      <c r="B1954" t="s">
        <v>14</v>
      </c>
      <c r="C1954" s="1">
        <v>46086.999988425923</v>
      </c>
      <c r="D1954">
        <v>25.158621908218102</v>
      </c>
      <c r="E1954">
        <v>14224.700933214501</v>
      </c>
      <c r="F1954" s="1">
        <v>46086.099803240744</v>
      </c>
      <c r="G1954">
        <v>52.875832232124502</v>
      </c>
      <c r="H1954" t="s">
        <v>25</v>
      </c>
      <c r="J1954" t="s">
        <v>16</v>
      </c>
      <c r="K1954">
        <v>168621.722777477</v>
      </c>
      <c r="L1954" t="s">
        <v>17</v>
      </c>
      <c r="M1954">
        <v>0</v>
      </c>
      <c r="N1954">
        <v>8.4358650231478302E-2</v>
      </c>
    </row>
    <row r="1955" spans="2:14" x14ac:dyDescent="0.25">
      <c r="B1955" t="s">
        <v>14</v>
      </c>
      <c r="C1955" s="1">
        <v>46085.999988425923</v>
      </c>
      <c r="D1955">
        <v>25.158621908218102</v>
      </c>
      <c r="E1955">
        <v>7123.0161500691302</v>
      </c>
      <c r="F1955" s="1">
        <v>46083.60628472222</v>
      </c>
      <c r="G1955">
        <v>52.875832232124502</v>
      </c>
      <c r="H1955" t="s">
        <v>25</v>
      </c>
      <c r="J1955" t="s">
        <v>16</v>
      </c>
      <c r="K1955">
        <v>168621.722777477</v>
      </c>
      <c r="L1955" t="s">
        <v>17</v>
      </c>
      <c r="M1955">
        <v>-7101.6847831453997</v>
      </c>
      <c r="N1955">
        <v>4.2242577247707497E-2</v>
      </c>
    </row>
    <row r="1956" spans="2:14" x14ac:dyDescent="0.25">
      <c r="B1956" t="s">
        <v>14</v>
      </c>
      <c r="C1956" s="1">
        <v>46084.999988425923</v>
      </c>
      <c r="D1956">
        <v>25.158621908218102</v>
      </c>
      <c r="E1956">
        <v>7123.0161500691302</v>
      </c>
      <c r="F1956" s="1">
        <v>46083.60628472222</v>
      </c>
      <c r="G1956">
        <v>52.875832232124502</v>
      </c>
      <c r="H1956" t="s">
        <v>25</v>
      </c>
      <c r="J1956" t="s">
        <v>16</v>
      </c>
      <c r="K1956">
        <v>168621.722777477</v>
      </c>
      <c r="L1956" t="s">
        <v>17</v>
      </c>
      <c r="M1956">
        <v>0</v>
      </c>
      <c r="N1956">
        <v>4.2242577247707497E-2</v>
      </c>
    </row>
    <row r="1957" spans="2:14" x14ac:dyDescent="0.25">
      <c r="B1957" t="s">
        <v>14</v>
      </c>
      <c r="C1957" s="1">
        <v>46083.999988425923</v>
      </c>
      <c r="D1957">
        <v>25.158621908218102</v>
      </c>
      <c r="E1957">
        <v>7123.0161500691302</v>
      </c>
      <c r="F1957" s="1">
        <v>46083.60628472222</v>
      </c>
      <c r="G1957">
        <v>52.875832232124502</v>
      </c>
      <c r="H1957" t="s">
        <v>25</v>
      </c>
      <c r="J1957" t="s">
        <v>16</v>
      </c>
      <c r="K1957">
        <v>168621.722777477</v>
      </c>
      <c r="L1957" t="s">
        <v>17</v>
      </c>
      <c r="M1957">
        <v>0</v>
      </c>
      <c r="N1957">
        <v>4.2242577247707497E-2</v>
      </c>
    </row>
    <row r="1958" spans="2:14" x14ac:dyDescent="0.25">
      <c r="B1958" t="s">
        <v>14</v>
      </c>
      <c r="C1958" s="1">
        <v>46082.999988425923</v>
      </c>
      <c r="D1958">
        <v>25.158621908218102</v>
      </c>
      <c r="E1958">
        <v>16541.132326158899</v>
      </c>
      <c r="F1958" s="1">
        <v>46080.099097222221</v>
      </c>
      <c r="G1958">
        <v>52.875832232124502</v>
      </c>
      <c r="H1958" t="s">
        <v>25</v>
      </c>
      <c r="J1958" t="s">
        <v>16</v>
      </c>
      <c r="K1958">
        <v>168621.722777477</v>
      </c>
      <c r="L1958" t="s">
        <v>17</v>
      </c>
      <c r="M1958">
        <v>9418.1161760897903</v>
      </c>
      <c r="N1958">
        <v>9.8096093751737404E-2</v>
      </c>
    </row>
    <row r="1959" spans="2:14" x14ac:dyDescent="0.25">
      <c r="B1959" t="s">
        <v>14</v>
      </c>
      <c r="C1959" s="1">
        <v>46081.999988425923</v>
      </c>
      <c r="D1959">
        <v>25.158621908218102</v>
      </c>
      <c r="E1959">
        <v>16541.132326158899</v>
      </c>
      <c r="F1959" s="1">
        <v>46080.099097222221</v>
      </c>
      <c r="G1959">
        <v>52.875832232124502</v>
      </c>
      <c r="H1959" t="s">
        <v>25</v>
      </c>
      <c r="J1959" t="s">
        <v>16</v>
      </c>
      <c r="K1959">
        <v>168621.722777477</v>
      </c>
      <c r="L1959" t="s">
        <v>17</v>
      </c>
      <c r="M1959">
        <v>0</v>
      </c>
      <c r="N1959">
        <v>9.8096093751737404E-2</v>
      </c>
    </row>
    <row r="1960" spans="2:14" x14ac:dyDescent="0.25">
      <c r="B1960" t="s">
        <v>14</v>
      </c>
      <c r="C1960" s="1">
        <v>46080.999988425923</v>
      </c>
      <c r="D1960">
        <v>25.158621908218102</v>
      </c>
      <c r="E1960">
        <v>16541.132326158899</v>
      </c>
      <c r="F1960" s="1">
        <v>46080.099097222221</v>
      </c>
      <c r="G1960">
        <v>52.875832232124502</v>
      </c>
      <c r="H1960" t="s">
        <v>25</v>
      </c>
      <c r="J1960" t="s">
        <v>16</v>
      </c>
      <c r="K1960">
        <v>168621.722777477</v>
      </c>
      <c r="L1960" t="s">
        <v>17</v>
      </c>
      <c r="M1960">
        <v>0</v>
      </c>
      <c r="N1960">
        <v>9.8096093751737404E-2</v>
      </c>
    </row>
    <row r="1961" spans="2:14" x14ac:dyDescent="0.25">
      <c r="B1961" t="s">
        <v>14</v>
      </c>
      <c r="C1961" s="1">
        <v>46079.999988425923</v>
      </c>
      <c r="D1961">
        <v>25.158621908218102</v>
      </c>
      <c r="E1961">
        <v>9501.5357099651792</v>
      </c>
      <c r="F1961" s="1">
        <v>46077.605474537035</v>
      </c>
      <c r="G1961">
        <v>52.875832232124502</v>
      </c>
      <c r="H1961" t="s">
        <v>25</v>
      </c>
      <c r="J1961" t="s">
        <v>16</v>
      </c>
      <c r="K1961">
        <v>168621.722777477</v>
      </c>
      <c r="L1961" t="s">
        <v>17</v>
      </c>
      <c r="M1961">
        <v>-7039.5966161937304</v>
      </c>
      <c r="N1961">
        <v>5.6348230545028397E-2</v>
      </c>
    </row>
    <row r="1962" spans="2:14" x14ac:dyDescent="0.25">
      <c r="B1962" t="s">
        <v>14</v>
      </c>
      <c r="C1962" s="1">
        <v>46078.999988425923</v>
      </c>
      <c r="D1962">
        <v>25.158621908218102</v>
      </c>
      <c r="E1962">
        <v>9501.5357099651792</v>
      </c>
      <c r="F1962" s="1">
        <v>46077.605474537035</v>
      </c>
      <c r="G1962">
        <v>52.875832232124502</v>
      </c>
      <c r="H1962" t="s">
        <v>25</v>
      </c>
      <c r="J1962" t="s">
        <v>16</v>
      </c>
      <c r="K1962">
        <v>168621.722777477</v>
      </c>
      <c r="L1962" t="s">
        <v>17</v>
      </c>
      <c r="M1962">
        <v>0</v>
      </c>
      <c r="N1962">
        <v>5.6348230545028397E-2</v>
      </c>
    </row>
    <row r="1963" spans="2:14" x14ac:dyDescent="0.25">
      <c r="B1963" t="s">
        <v>14</v>
      </c>
      <c r="C1963" s="1">
        <v>46077.999988425923</v>
      </c>
      <c r="D1963">
        <v>25.158621908218102</v>
      </c>
      <c r="E1963">
        <v>9501.5357099651792</v>
      </c>
      <c r="F1963" s="1">
        <v>46077.605474537035</v>
      </c>
      <c r="G1963">
        <v>52.875832232124502</v>
      </c>
      <c r="H1963" t="s">
        <v>25</v>
      </c>
      <c r="J1963" t="s">
        <v>16</v>
      </c>
      <c r="K1963">
        <v>168621.722777477</v>
      </c>
      <c r="L1963" t="s">
        <v>17</v>
      </c>
      <c r="M1963">
        <v>0</v>
      </c>
      <c r="N1963">
        <v>5.6348230545028397E-2</v>
      </c>
    </row>
    <row r="1964" spans="2:14" x14ac:dyDescent="0.25">
      <c r="B1964" t="s">
        <v>14</v>
      </c>
      <c r="C1964" s="1">
        <v>46076.999988425923</v>
      </c>
      <c r="D1964">
        <v>25.158621908218102</v>
      </c>
      <c r="E1964">
        <v>17994.987252251602</v>
      </c>
      <c r="F1964" s="1">
        <v>46074.099803240744</v>
      </c>
      <c r="G1964">
        <v>52.875832232124502</v>
      </c>
      <c r="H1964" t="s">
        <v>25</v>
      </c>
      <c r="J1964" t="s">
        <v>16</v>
      </c>
      <c r="K1964">
        <v>168621.722777477</v>
      </c>
      <c r="L1964" t="s">
        <v>17</v>
      </c>
      <c r="M1964">
        <v>8493.4515422864606</v>
      </c>
      <c r="N1964">
        <v>0.10671808445462699</v>
      </c>
    </row>
    <row r="1965" spans="2:14" x14ac:dyDescent="0.25">
      <c r="B1965" t="s">
        <v>14</v>
      </c>
      <c r="C1965" s="1">
        <v>46075.999988425923</v>
      </c>
      <c r="D1965">
        <v>25.158621908218102</v>
      </c>
      <c r="E1965">
        <v>17994.987252251602</v>
      </c>
      <c r="F1965" s="1">
        <v>46074.099803240744</v>
      </c>
      <c r="G1965">
        <v>52.875832232124502</v>
      </c>
      <c r="H1965" t="s">
        <v>25</v>
      </c>
      <c r="J1965" t="s">
        <v>16</v>
      </c>
      <c r="K1965">
        <v>168621.722777477</v>
      </c>
      <c r="L1965" t="s">
        <v>17</v>
      </c>
      <c r="M1965">
        <v>0</v>
      </c>
      <c r="N1965">
        <v>0.10671808445462699</v>
      </c>
    </row>
    <row r="1966" spans="2:14" x14ac:dyDescent="0.25">
      <c r="B1966" t="s">
        <v>14</v>
      </c>
      <c r="C1966" s="1">
        <v>46074.999988425923</v>
      </c>
      <c r="D1966">
        <v>25.158621908218102</v>
      </c>
      <c r="E1966">
        <v>17994.987252251602</v>
      </c>
      <c r="F1966" s="1">
        <v>46074.099803240744</v>
      </c>
      <c r="G1966">
        <v>52.875832232124502</v>
      </c>
      <c r="H1966" t="s">
        <v>25</v>
      </c>
      <c r="J1966" t="s">
        <v>16</v>
      </c>
      <c r="K1966">
        <v>168621.722777477</v>
      </c>
      <c r="L1966" t="s">
        <v>17</v>
      </c>
      <c r="M1966">
        <v>0</v>
      </c>
      <c r="N1966">
        <v>0.10671808445462699</v>
      </c>
    </row>
    <row r="1967" spans="2:14" x14ac:dyDescent="0.25">
      <c r="B1967" t="s">
        <v>14</v>
      </c>
      <c r="C1967" s="1">
        <v>46073.999988425923</v>
      </c>
      <c r="D1967">
        <v>25.158621908218102</v>
      </c>
      <c r="E1967">
        <v>9712.9306286396404</v>
      </c>
      <c r="F1967" s="1">
        <v>46071.606296296297</v>
      </c>
      <c r="G1967">
        <v>52.875832232124502</v>
      </c>
      <c r="H1967" t="s">
        <v>25</v>
      </c>
      <c r="J1967" t="s">
        <v>16</v>
      </c>
      <c r="K1967">
        <v>168621.722777477</v>
      </c>
      <c r="L1967" t="s">
        <v>17</v>
      </c>
      <c r="M1967">
        <v>-8282.0566236119994</v>
      </c>
      <c r="N1967">
        <v>5.7601894160797702E-2</v>
      </c>
    </row>
    <row r="1968" spans="2:14" x14ac:dyDescent="0.25">
      <c r="B1968" t="s">
        <v>14</v>
      </c>
      <c r="C1968" s="1">
        <v>46072.999988425923</v>
      </c>
      <c r="D1968">
        <v>25.158621908218102</v>
      </c>
      <c r="E1968">
        <v>9712.9306286396404</v>
      </c>
      <c r="F1968" s="1">
        <v>46071.606296296297</v>
      </c>
      <c r="G1968">
        <v>52.875832232124502</v>
      </c>
      <c r="H1968" t="s">
        <v>25</v>
      </c>
      <c r="J1968" t="s">
        <v>16</v>
      </c>
      <c r="K1968">
        <v>168621.722777477</v>
      </c>
      <c r="L1968" t="s">
        <v>17</v>
      </c>
      <c r="M1968">
        <v>0</v>
      </c>
      <c r="N1968">
        <v>5.7601894160797702E-2</v>
      </c>
    </row>
    <row r="1969" spans="2:14" x14ac:dyDescent="0.25">
      <c r="B1969" t="s">
        <v>14</v>
      </c>
      <c r="C1969" s="1">
        <v>46071.999988425923</v>
      </c>
      <c r="D1969">
        <v>25.158621908218102</v>
      </c>
      <c r="E1969">
        <v>9712.9306286396404</v>
      </c>
      <c r="F1969" s="1">
        <v>46071.606296296297</v>
      </c>
      <c r="G1969">
        <v>52.875832232124502</v>
      </c>
      <c r="H1969" t="s">
        <v>25</v>
      </c>
      <c r="J1969" t="s">
        <v>16</v>
      </c>
      <c r="K1969">
        <v>168621.722777477</v>
      </c>
      <c r="L1969" t="s">
        <v>17</v>
      </c>
      <c r="M1969">
        <v>0</v>
      </c>
      <c r="N1969">
        <v>5.7601894160797702E-2</v>
      </c>
    </row>
    <row r="1970" spans="2:14" x14ac:dyDescent="0.25">
      <c r="B1970" t="s">
        <v>14</v>
      </c>
      <c r="C1970" s="1">
        <v>46070.999988425923</v>
      </c>
      <c r="D1970">
        <v>25.158621908218102</v>
      </c>
      <c r="E1970">
        <v>14503.7265601539</v>
      </c>
      <c r="F1970" s="1">
        <v>46068.099097222221</v>
      </c>
      <c r="G1970">
        <v>52.875832232124502</v>
      </c>
      <c r="H1970" t="s">
        <v>25</v>
      </c>
      <c r="J1970" t="s">
        <v>16</v>
      </c>
      <c r="K1970">
        <v>168621.722777477</v>
      </c>
      <c r="L1970" t="s">
        <v>17</v>
      </c>
      <c r="M1970">
        <v>4790.7959315143498</v>
      </c>
      <c r="N1970">
        <v>8.6013393299829405E-2</v>
      </c>
    </row>
    <row r="1971" spans="2:14" x14ac:dyDescent="0.25">
      <c r="B1971" t="s">
        <v>14</v>
      </c>
      <c r="C1971" s="1">
        <v>46069.999988425923</v>
      </c>
      <c r="D1971">
        <v>25.158621908218102</v>
      </c>
      <c r="E1971">
        <v>14503.7265601539</v>
      </c>
      <c r="F1971" s="1">
        <v>46068.099097222221</v>
      </c>
      <c r="G1971">
        <v>52.875832232124502</v>
      </c>
      <c r="H1971" t="s">
        <v>25</v>
      </c>
      <c r="J1971" t="s">
        <v>16</v>
      </c>
      <c r="K1971">
        <v>168621.722777477</v>
      </c>
      <c r="L1971" t="s">
        <v>17</v>
      </c>
      <c r="M1971">
        <v>0</v>
      </c>
      <c r="N1971">
        <v>8.6013393299829405E-2</v>
      </c>
    </row>
    <row r="1972" spans="2:14" x14ac:dyDescent="0.25">
      <c r="B1972" t="s">
        <v>14</v>
      </c>
      <c r="C1972" s="1">
        <v>46068.999988425923</v>
      </c>
      <c r="D1972">
        <v>25.158621908218102</v>
      </c>
      <c r="E1972">
        <v>14503.7265601539</v>
      </c>
      <c r="F1972" s="1">
        <v>46068.099097222221</v>
      </c>
      <c r="G1972">
        <v>52.875832232124502</v>
      </c>
      <c r="H1972" t="s">
        <v>25</v>
      </c>
      <c r="J1972" t="s">
        <v>16</v>
      </c>
      <c r="K1972">
        <v>168621.722777477</v>
      </c>
      <c r="L1972" t="s">
        <v>17</v>
      </c>
      <c r="M1972">
        <v>0</v>
      </c>
      <c r="N1972">
        <v>8.6013393299829405E-2</v>
      </c>
    </row>
    <row r="1973" spans="2:14" x14ac:dyDescent="0.25">
      <c r="B1973" t="s">
        <v>14</v>
      </c>
      <c r="C1973" s="1">
        <v>46067.999988425923</v>
      </c>
      <c r="D1973">
        <v>25.158621908218102</v>
      </c>
      <c r="E1973">
        <v>8693.5746487801298</v>
      </c>
      <c r="F1973" s="1">
        <v>46065.605474537035</v>
      </c>
      <c r="G1973">
        <v>52.875832232124502</v>
      </c>
      <c r="H1973" t="s">
        <v>25</v>
      </c>
      <c r="J1973" t="s">
        <v>16</v>
      </c>
      <c r="K1973">
        <v>168621.722777477</v>
      </c>
      <c r="L1973" t="s">
        <v>17</v>
      </c>
      <c r="M1973">
        <v>-5810.1519113738595</v>
      </c>
      <c r="N1973">
        <v>5.1556670787029302E-2</v>
      </c>
    </row>
    <row r="1974" spans="2:14" x14ac:dyDescent="0.25">
      <c r="B1974" t="s">
        <v>14</v>
      </c>
      <c r="C1974" s="1">
        <v>46066.999988425923</v>
      </c>
      <c r="D1974">
        <v>25.158621908218102</v>
      </c>
      <c r="E1974">
        <v>8693.5746487801298</v>
      </c>
      <c r="F1974" s="1">
        <v>46065.605474537035</v>
      </c>
      <c r="G1974">
        <v>52.875832232124502</v>
      </c>
      <c r="H1974" t="s">
        <v>25</v>
      </c>
      <c r="J1974" t="s">
        <v>16</v>
      </c>
      <c r="K1974">
        <v>168621.722777477</v>
      </c>
      <c r="L1974" t="s">
        <v>17</v>
      </c>
      <c r="M1974">
        <v>0</v>
      </c>
      <c r="N1974">
        <v>5.1556670787029302E-2</v>
      </c>
    </row>
    <row r="1975" spans="2:14" x14ac:dyDescent="0.25">
      <c r="B1975" t="s">
        <v>14</v>
      </c>
      <c r="C1975" s="1">
        <v>46065.999988425923</v>
      </c>
      <c r="D1975">
        <v>25.158621908218102</v>
      </c>
      <c r="E1975">
        <v>8693.5746487801298</v>
      </c>
      <c r="F1975" s="1">
        <v>46065.605474537035</v>
      </c>
      <c r="G1975">
        <v>52.875832232124502</v>
      </c>
      <c r="H1975" t="s">
        <v>25</v>
      </c>
      <c r="J1975" t="s">
        <v>16</v>
      </c>
      <c r="K1975">
        <v>168621.722777477</v>
      </c>
      <c r="L1975" t="s">
        <v>17</v>
      </c>
      <c r="M1975">
        <v>0</v>
      </c>
      <c r="N1975">
        <v>5.1556670787029302E-2</v>
      </c>
    </row>
    <row r="1976" spans="2:14" x14ac:dyDescent="0.25">
      <c r="B1976" t="s">
        <v>14</v>
      </c>
      <c r="C1976" s="1">
        <v>46064.999988425923</v>
      </c>
      <c r="D1976">
        <v>25.158621908218102</v>
      </c>
      <c r="E1976">
        <v>13609.104532978001</v>
      </c>
      <c r="F1976" s="1">
        <v>46062.099814814814</v>
      </c>
      <c r="G1976">
        <v>52.875832232124502</v>
      </c>
      <c r="H1976" t="s">
        <v>25</v>
      </c>
      <c r="J1976" t="s">
        <v>16</v>
      </c>
      <c r="K1976">
        <v>168621.722777477</v>
      </c>
      <c r="L1976" t="s">
        <v>17</v>
      </c>
      <c r="M1976">
        <v>4915.5298841978602</v>
      </c>
      <c r="N1976">
        <v>8.0707896401564505E-2</v>
      </c>
    </row>
    <row r="1977" spans="2:14" x14ac:dyDescent="0.25">
      <c r="B1977" t="s">
        <v>14</v>
      </c>
      <c r="C1977" s="1">
        <v>46063.999988425923</v>
      </c>
      <c r="D1977">
        <v>25.158621908218102</v>
      </c>
      <c r="E1977">
        <v>13609.104532978001</v>
      </c>
      <c r="F1977" s="1">
        <v>46062.099814814814</v>
      </c>
      <c r="G1977">
        <v>52.875832232124502</v>
      </c>
      <c r="H1977" t="s">
        <v>25</v>
      </c>
      <c r="J1977" t="s">
        <v>16</v>
      </c>
      <c r="K1977">
        <v>168621.722777477</v>
      </c>
      <c r="L1977" t="s">
        <v>17</v>
      </c>
      <c r="M1977">
        <v>0</v>
      </c>
      <c r="N1977">
        <v>8.0707896401564505E-2</v>
      </c>
    </row>
    <row r="1978" spans="2:14" x14ac:dyDescent="0.25">
      <c r="B1978" t="s">
        <v>14</v>
      </c>
      <c r="C1978" s="1">
        <v>46062.999988425923</v>
      </c>
      <c r="D1978">
        <v>25.158621908218102</v>
      </c>
      <c r="E1978">
        <v>13609.104532978001</v>
      </c>
      <c r="F1978" s="1">
        <v>46062.099814814814</v>
      </c>
      <c r="G1978">
        <v>52.875832232124502</v>
      </c>
      <c r="H1978" t="s">
        <v>25</v>
      </c>
      <c r="J1978" t="s">
        <v>16</v>
      </c>
      <c r="K1978">
        <v>168621.722777477</v>
      </c>
      <c r="L1978" t="s">
        <v>17</v>
      </c>
      <c r="M1978">
        <v>0</v>
      </c>
      <c r="N1978">
        <v>8.0707896401564505E-2</v>
      </c>
    </row>
    <row r="1979" spans="2:14" x14ac:dyDescent="0.25">
      <c r="B1979" t="s">
        <v>14</v>
      </c>
      <c r="C1979" s="1">
        <v>46061.999988425923</v>
      </c>
      <c r="D1979">
        <v>25.158621908218102</v>
      </c>
      <c r="E1979">
        <v>6919.1756408192095</v>
      </c>
      <c r="F1979" s="1">
        <v>46059.606296296297</v>
      </c>
      <c r="G1979">
        <v>52.875832232124502</v>
      </c>
      <c r="H1979" t="s">
        <v>25</v>
      </c>
      <c r="J1979" t="s">
        <v>16</v>
      </c>
      <c r="K1979">
        <v>168621.722777477</v>
      </c>
      <c r="L1979" t="s">
        <v>17</v>
      </c>
      <c r="M1979">
        <v>-6689.9288921587804</v>
      </c>
      <c r="N1979">
        <v>4.10337145585336E-2</v>
      </c>
    </row>
    <row r="1980" spans="2:14" x14ac:dyDescent="0.25">
      <c r="B1980" t="s">
        <v>14</v>
      </c>
      <c r="C1980" s="1">
        <v>46060.999988425923</v>
      </c>
      <c r="D1980">
        <v>25.158621908218102</v>
      </c>
      <c r="E1980">
        <v>6919.1756408192095</v>
      </c>
      <c r="F1980" s="1">
        <v>46059.606296296297</v>
      </c>
      <c r="G1980">
        <v>52.875832232124502</v>
      </c>
      <c r="H1980" t="s">
        <v>25</v>
      </c>
      <c r="J1980" t="s">
        <v>16</v>
      </c>
      <c r="K1980">
        <v>168621.722777477</v>
      </c>
      <c r="L1980" t="s">
        <v>17</v>
      </c>
      <c r="M1980">
        <v>0</v>
      </c>
      <c r="N1980">
        <v>4.10337145585336E-2</v>
      </c>
    </row>
    <row r="1981" spans="2:14" x14ac:dyDescent="0.25">
      <c r="B1981" t="s">
        <v>14</v>
      </c>
      <c r="C1981" s="1">
        <v>46059.999988425923</v>
      </c>
      <c r="D1981">
        <v>25.158621908218102</v>
      </c>
      <c r="E1981">
        <v>6919.1756408192095</v>
      </c>
      <c r="F1981" s="1">
        <v>46059.606296296297</v>
      </c>
      <c r="G1981">
        <v>52.875832232124502</v>
      </c>
      <c r="H1981" t="s">
        <v>25</v>
      </c>
      <c r="J1981" t="s">
        <v>16</v>
      </c>
      <c r="K1981">
        <v>168621.722777477</v>
      </c>
      <c r="L1981" t="s">
        <v>17</v>
      </c>
      <c r="M1981">
        <v>0</v>
      </c>
      <c r="N1981">
        <v>4.10337145585336E-2</v>
      </c>
    </row>
    <row r="1982" spans="2:14" x14ac:dyDescent="0.25">
      <c r="B1982" t="s">
        <v>14</v>
      </c>
      <c r="C1982" s="1">
        <v>46058.999988425923</v>
      </c>
      <c r="D1982">
        <v>25.158621908218102</v>
      </c>
      <c r="E1982">
        <v>17323.033352022299</v>
      </c>
      <c r="F1982" s="1">
        <v>46056.099097222221</v>
      </c>
      <c r="G1982">
        <v>52.875832232124502</v>
      </c>
      <c r="H1982" t="s">
        <v>25</v>
      </c>
      <c r="J1982" t="s">
        <v>16</v>
      </c>
      <c r="K1982">
        <v>168621.722777477</v>
      </c>
      <c r="L1982" t="s">
        <v>17</v>
      </c>
      <c r="M1982">
        <v>10403.8577112031</v>
      </c>
      <c r="N1982">
        <v>0.102733106189898</v>
      </c>
    </row>
    <row r="1983" spans="2:14" x14ac:dyDescent="0.25">
      <c r="B1983" t="s">
        <v>14</v>
      </c>
      <c r="C1983" s="1">
        <v>46057.999988425923</v>
      </c>
      <c r="D1983">
        <v>25.158621908218102</v>
      </c>
      <c r="E1983">
        <v>17323.033352022299</v>
      </c>
      <c r="F1983" s="1">
        <v>46056.099097222221</v>
      </c>
      <c r="G1983">
        <v>52.875832232124502</v>
      </c>
      <c r="H1983" t="s">
        <v>25</v>
      </c>
      <c r="J1983" t="s">
        <v>16</v>
      </c>
      <c r="K1983">
        <v>168621.722777477</v>
      </c>
      <c r="L1983" t="s">
        <v>17</v>
      </c>
      <c r="M1983">
        <v>0</v>
      </c>
      <c r="N1983">
        <v>0.102733106189898</v>
      </c>
    </row>
    <row r="1984" spans="2:14" x14ac:dyDescent="0.25">
      <c r="B1984" t="s">
        <v>14</v>
      </c>
      <c r="C1984" s="1">
        <v>46056.999988425923</v>
      </c>
      <c r="D1984">
        <v>25.158621908218102</v>
      </c>
      <c r="E1984">
        <v>17323.033352022299</v>
      </c>
      <c r="F1984" s="1">
        <v>46056.099097222221</v>
      </c>
      <c r="G1984">
        <v>52.875832232124502</v>
      </c>
      <c r="H1984" t="s">
        <v>25</v>
      </c>
      <c r="J1984" t="s">
        <v>16</v>
      </c>
      <c r="K1984">
        <v>168621.722777477</v>
      </c>
      <c r="L1984" t="s">
        <v>17</v>
      </c>
      <c r="M1984">
        <v>0</v>
      </c>
      <c r="N1984">
        <v>0.102733106189898</v>
      </c>
    </row>
    <row r="1985" spans="2:14" x14ac:dyDescent="0.25">
      <c r="B1985" t="s">
        <v>14</v>
      </c>
      <c r="C1985" s="1">
        <v>46055.999988425923</v>
      </c>
      <c r="D1985">
        <v>25.158621908218102</v>
      </c>
      <c r="E1985">
        <v>8318.9126881851698</v>
      </c>
      <c r="F1985" s="1">
        <v>46053.605474537035</v>
      </c>
      <c r="G1985">
        <v>52.875832232124502</v>
      </c>
      <c r="H1985" t="s">
        <v>25</v>
      </c>
      <c r="J1985" t="s">
        <v>16</v>
      </c>
      <c r="K1985">
        <v>168621.722777477</v>
      </c>
      <c r="L1985" t="s">
        <v>17</v>
      </c>
      <c r="M1985">
        <v>-9004.1206638371496</v>
      </c>
      <c r="N1985">
        <v>4.933476275274E-2</v>
      </c>
    </row>
    <row r="1986" spans="2:14" x14ac:dyDescent="0.25">
      <c r="B1986" t="s">
        <v>14</v>
      </c>
      <c r="C1986" s="1">
        <v>46054.999988425923</v>
      </c>
      <c r="D1986">
        <v>25.158621908218102</v>
      </c>
      <c r="E1986">
        <v>8318.9126881851698</v>
      </c>
      <c r="F1986" s="1">
        <v>46053.605474537035</v>
      </c>
      <c r="G1986">
        <v>52.875832232124502</v>
      </c>
      <c r="H1986" t="s">
        <v>25</v>
      </c>
      <c r="J1986" t="s">
        <v>16</v>
      </c>
      <c r="K1986">
        <v>168621.722777477</v>
      </c>
      <c r="L1986" t="s">
        <v>17</v>
      </c>
      <c r="M1986">
        <v>0</v>
      </c>
      <c r="N1986">
        <v>4.933476275274E-2</v>
      </c>
    </row>
    <row r="1987" spans="2:14" x14ac:dyDescent="0.25">
      <c r="B1987" t="s">
        <v>14</v>
      </c>
      <c r="C1987" s="1">
        <v>46053.999988425923</v>
      </c>
      <c r="D1987">
        <v>25.158621908218102</v>
      </c>
      <c r="E1987">
        <v>8318.9126881851698</v>
      </c>
      <c r="F1987" s="1">
        <v>46053.605474537035</v>
      </c>
      <c r="G1987">
        <v>52.875832232124502</v>
      </c>
      <c r="H1987" t="s">
        <v>25</v>
      </c>
      <c r="J1987" t="s">
        <v>16</v>
      </c>
      <c r="K1987">
        <v>168621.722777477</v>
      </c>
      <c r="L1987" t="s">
        <v>17</v>
      </c>
      <c r="M1987">
        <v>0</v>
      </c>
      <c r="N1987">
        <v>4.933476275274E-2</v>
      </c>
    </row>
    <row r="1988" spans="2:14" x14ac:dyDescent="0.25">
      <c r="B1988" t="s">
        <v>14</v>
      </c>
      <c r="C1988" s="1">
        <v>46052.999988425923</v>
      </c>
      <c r="D1988">
        <v>25.158621908218102</v>
      </c>
      <c r="E1988">
        <v>14195.594393483099</v>
      </c>
      <c r="F1988" s="1">
        <v>46050.099814814814</v>
      </c>
      <c r="G1988">
        <v>52.875832232124502</v>
      </c>
      <c r="H1988" t="s">
        <v>25</v>
      </c>
      <c r="J1988" t="s">
        <v>16</v>
      </c>
      <c r="K1988">
        <v>168621.722777477</v>
      </c>
      <c r="L1988" t="s">
        <v>17</v>
      </c>
      <c r="M1988">
        <v>5876.6817052980095</v>
      </c>
      <c r="N1988">
        <v>8.4186035818270305E-2</v>
      </c>
    </row>
    <row r="1989" spans="2:14" x14ac:dyDescent="0.25">
      <c r="B1989" t="s">
        <v>14</v>
      </c>
      <c r="C1989" s="1">
        <v>46051.999988425923</v>
      </c>
      <c r="D1989">
        <v>25.158621908218102</v>
      </c>
      <c r="E1989">
        <v>14195.594393483099</v>
      </c>
      <c r="F1989" s="1">
        <v>46050.099814814814</v>
      </c>
      <c r="G1989">
        <v>52.875832232124502</v>
      </c>
      <c r="H1989" t="s">
        <v>25</v>
      </c>
      <c r="J1989" t="s">
        <v>16</v>
      </c>
      <c r="K1989">
        <v>168621.722777477</v>
      </c>
      <c r="L1989" t="s">
        <v>17</v>
      </c>
      <c r="M1989">
        <v>0</v>
      </c>
      <c r="N1989">
        <v>8.4186035818270305E-2</v>
      </c>
    </row>
    <row r="1990" spans="2:14" x14ac:dyDescent="0.25">
      <c r="B1990" t="s">
        <v>14</v>
      </c>
      <c r="C1990" s="1">
        <v>46050.999988425923</v>
      </c>
      <c r="D1990">
        <v>25.158621908218102</v>
      </c>
      <c r="E1990">
        <v>14195.594393483099</v>
      </c>
      <c r="F1990" s="1">
        <v>46050.099814814814</v>
      </c>
      <c r="G1990">
        <v>52.875832232124502</v>
      </c>
      <c r="H1990" t="s">
        <v>25</v>
      </c>
      <c r="J1990" t="s">
        <v>16</v>
      </c>
      <c r="K1990">
        <v>168621.722777477</v>
      </c>
      <c r="L1990" t="s">
        <v>17</v>
      </c>
      <c r="M1990">
        <v>0</v>
      </c>
      <c r="N1990">
        <v>8.4186035818270305E-2</v>
      </c>
    </row>
    <row r="1991" spans="2:14" x14ac:dyDescent="0.25">
      <c r="B1991" t="s">
        <v>14</v>
      </c>
      <c r="C1991" s="1">
        <v>46049.999988425923</v>
      </c>
      <c r="D1991">
        <v>25.158621908218102</v>
      </c>
      <c r="E1991">
        <v>8751.7676560557702</v>
      </c>
      <c r="F1991" s="1">
        <v>46047.606307870374</v>
      </c>
      <c r="G1991">
        <v>52.875832232124502</v>
      </c>
      <c r="H1991" t="s">
        <v>25</v>
      </c>
      <c r="J1991" t="s">
        <v>16</v>
      </c>
      <c r="K1991">
        <v>168621.722777477</v>
      </c>
      <c r="L1991" t="s">
        <v>17</v>
      </c>
      <c r="M1991">
        <v>-5443.8267374274101</v>
      </c>
      <c r="N1991">
        <v>5.1901780576664301E-2</v>
      </c>
    </row>
    <row r="1992" spans="2:14" x14ac:dyDescent="0.25">
      <c r="B1992" t="s">
        <v>14</v>
      </c>
      <c r="C1992" s="1">
        <v>46048.999988425923</v>
      </c>
      <c r="D1992">
        <v>25.158621908218102</v>
      </c>
      <c r="E1992">
        <v>8751.7676560557702</v>
      </c>
      <c r="F1992" s="1">
        <v>46047.606307870374</v>
      </c>
      <c r="G1992">
        <v>52.875832232124502</v>
      </c>
      <c r="H1992" t="s">
        <v>25</v>
      </c>
      <c r="J1992" t="s">
        <v>16</v>
      </c>
      <c r="K1992">
        <v>168621.722777477</v>
      </c>
      <c r="L1992" t="s">
        <v>17</v>
      </c>
      <c r="M1992">
        <v>0</v>
      </c>
      <c r="N1992">
        <v>5.1901780576664301E-2</v>
      </c>
    </row>
    <row r="1993" spans="2:14" x14ac:dyDescent="0.25">
      <c r="B1993" t="s">
        <v>14</v>
      </c>
      <c r="C1993" s="1">
        <v>46047.999988425923</v>
      </c>
      <c r="D1993">
        <v>25.158621908218102</v>
      </c>
      <c r="E1993">
        <v>8751.7676560557702</v>
      </c>
      <c r="F1993" s="1">
        <v>46047.606307870374</v>
      </c>
      <c r="G1993">
        <v>52.875832232124502</v>
      </c>
      <c r="H1993" t="s">
        <v>25</v>
      </c>
      <c r="J1993" t="s">
        <v>16</v>
      </c>
      <c r="K1993">
        <v>168621.722777477</v>
      </c>
      <c r="L1993" t="s">
        <v>17</v>
      </c>
      <c r="M1993">
        <v>0</v>
      </c>
      <c r="N1993">
        <v>5.1901780576664301E-2</v>
      </c>
    </row>
    <row r="1994" spans="2:14" x14ac:dyDescent="0.25">
      <c r="B1994" t="s">
        <v>14</v>
      </c>
      <c r="C1994" s="1">
        <v>46046.999988425923</v>
      </c>
      <c r="D1994">
        <v>25.158621908218102</v>
      </c>
      <c r="E1994">
        <v>8599.4746371231395</v>
      </c>
      <c r="F1994" s="1">
        <v>46041.605486111112</v>
      </c>
      <c r="G1994">
        <v>52.875832232124502</v>
      </c>
      <c r="H1994" t="s">
        <v>25</v>
      </c>
      <c r="J1994" t="s">
        <v>16</v>
      </c>
      <c r="K1994">
        <v>168621.722777477</v>
      </c>
      <c r="L1994" t="s">
        <v>17</v>
      </c>
      <c r="M1994">
        <v>-152.293018932628</v>
      </c>
      <c r="N1994">
        <v>5.0998616877325299E-2</v>
      </c>
    </row>
    <row r="1995" spans="2:14" x14ac:dyDescent="0.25">
      <c r="B1995" t="s">
        <v>14</v>
      </c>
      <c r="C1995" s="1">
        <v>46045.999988425923</v>
      </c>
      <c r="D1995">
        <v>25.158621908218102</v>
      </c>
      <c r="E1995">
        <v>8599.4746371231395</v>
      </c>
      <c r="F1995" s="1">
        <v>46041.605486111112</v>
      </c>
      <c r="G1995">
        <v>52.875832232124502</v>
      </c>
      <c r="H1995" t="s">
        <v>25</v>
      </c>
      <c r="J1995" t="s">
        <v>16</v>
      </c>
      <c r="K1995">
        <v>168621.722777477</v>
      </c>
      <c r="L1995" t="s">
        <v>17</v>
      </c>
      <c r="M1995">
        <v>0</v>
      </c>
      <c r="N1995">
        <v>5.0998616877325299E-2</v>
      </c>
    </row>
    <row r="1996" spans="2:14" x14ac:dyDescent="0.25">
      <c r="B1996" t="s">
        <v>14</v>
      </c>
      <c r="C1996" s="1">
        <v>46044.999988425923</v>
      </c>
      <c r="D1996">
        <v>25.158621908218102</v>
      </c>
      <c r="E1996">
        <v>8599.4746371231395</v>
      </c>
      <c r="F1996" s="1">
        <v>46041.605486111112</v>
      </c>
      <c r="G1996">
        <v>52.875832232124502</v>
      </c>
      <c r="H1996" t="s">
        <v>25</v>
      </c>
      <c r="J1996" t="s">
        <v>16</v>
      </c>
      <c r="K1996">
        <v>168621.722777477</v>
      </c>
      <c r="L1996" t="s">
        <v>17</v>
      </c>
      <c r="M1996">
        <v>0</v>
      </c>
      <c r="N1996">
        <v>5.0998616877325299E-2</v>
      </c>
    </row>
    <row r="1997" spans="2:14" x14ac:dyDescent="0.25">
      <c r="B1997" t="s">
        <v>14</v>
      </c>
      <c r="C1997" s="1">
        <v>46043.999988425923</v>
      </c>
      <c r="D1997">
        <v>25.158621908218102</v>
      </c>
      <c r="E1997">
        <v>8599.4746371231395</v>
      </c>
      <c r="F1997" s="1">
        <v>46041.605486111112</v>
      </c>
      <c r="G1997">
        <v>52.875832232124502</v>
      </c>
      <c r="H1997" t="s">
        <v>25</v>
      </c>
      <c r="J1997" t="s">
        <v>16</v>
      </c>
      <c r="K1997">
        <v>168621.722777477</v>
      </c>
      <c r="L1997" t="s">
        <v>17</v>
      </c>
      <c r="M1997">
        <v>0</v>
      </c>
      <c r="N1997">
        <v>5.0998616877325299E-2</v>
      </c>
    </row>
    <row r="1998" spans="2:14" x14ac:dyDescent="0.25">
      <c r="B1998" t="s">
        <v>14</v>
      </c>
      <c r="C1998" s="1">
        <v>46042.999988425923</v>
      </c>
      <c r="D1998">
        <v>25.158621908218102</v>
      </c>
      <c r="E1998">
        <v>8599.4746371231395</v>
      </c>
      <c r="F1998" s="1">
        <v>46041.605486111112</v>
      </c>
      <c r="G1998">
        <v>52.875832232124502</v>
      </c>
      <c r="H1998" t="s">
        <v>25</v>
      </c>
      <c r="J1998" t="s">
        <v>16</v>
      </c>
      <c r="K1998">
        <v>168621.722777477</v>
      </c>
      <c r="L1998" t="s">
        <v>17</v>
      </c>
      <c r="M1998">
        <v>0</v>
      </c>
      <c r="N1998">
        <v>5.0998616877325299E-2</v>
      </c>
    </row>
    <row r="1999" spans="2:14" x14ac:dyDescent="0.25">
      <c r="B1999" t="s">
        <v>14</v>
      </c>
      <c r="C1999" s="1">
        <v>46041.999988425923</v>
      </c>
      <c r="D1999">
        <v>25.158621908218102</v>
      </c>
      <c r="E1999">
        <v>8599.4746371231395</v>
      </c>
      <c r="F1999" s="1">
        <v>46041.605486111112</v>
      </c>
      <c r="G1999">
        <v>52.875832232124502</v>
      </c>
      <c r="H1999" t="s">
        <v>25</v>
      </c>
      <c r="J1999" t="s">
        <v>16</v>
      </c>
      <c r="K1999">
        <v>168621.722777477</v>
      </c>
      <c r="L1999" t="s">
        <v>17</v>
      </c>
      <c r="M1999">
        <v>0</v>
      </c>
      <c r="N1999">
        <v>5.0998616877325299E-2</v>
      </c>
    </row>
    <row r="2000" spans="2:14" x14ac:dyDescent="0.25">
      <c r="B2000" t="s">
        <v>14</v>
      </c>
      <c r="C2000" s="1">
        <v>46040.999988425923</v>
      </c>
      <c r="D2000">
        <v>25.158621908218102</v>
      </c>
      <c r="E2000">
        <v>13853.3517943809</v>
      </c>
      <c r="F2000" s="1">
        <v>46038.099826388891</v>
      </c>
      <c r="G2000">
        <v>52.875832232124502</v>
      </c>
      <c r="H2000" t="s">
        <v>25</v>
      </c>
      <c r="J2000" t="s">
        <v>16</v>
      </c>
      <c r="K2000">
        <v>168621.722777477</v>
      </c>
      <c r="L2000" t="s">
        <v>17</v>
      </c>
      <c r="M2000">
        <v>5253.8771572578398</v>
      </c>
      <c r="N2000">
        <v>8.2156388668040203E-2</v>
      </c>
    </row>
    <row r="2001" spans="2:14" x14ac:dyDescent="0.25">
      <c r="B2001" t="s">
        <v>14</v>
      </c>
      <c r="C2001" s="1">
        <v>46039.999988425923</v>
      </c>
      <c r="D2001">
        <v>25.158621908218102</v>
      </c>
      <c r="E2001">
        <v>13853.3517943809</v>
      </c>
      <c r="F2001" s="1">
        <v>46038.099826388891</v>
      </c>
      <c r="G2001">
        <v>52.875832232124502</v>
      </c>
      <c r="H2001" t="s">
        <v>25</v>
      </c>
      <c r="J2001" t="s">
        <v>16</v>
      </c>
      <c r="K2001">
        <v>168621.722777477</v>
      </c>
      <c r="L2001" t="s">
        <v>17</v>
      </c>
      <c r="M2001">
        <v>0</v>
      </c>
      <c r="N2001">
        <v>8.2156388668040203E-2</v>
      </c>
    </row>
    <row r="2002" spans="2:14" x14ac:dyDescent="0.25">
      <c r="B2002" t="s">
        <v>14</v>
      </c>
      <c r="C2002" s="1">
        <v>46038.999988425923</v>
      </c>
      <c r="D2002">
        <v>25.158621908218102</v>
      </c>
      <c r="E2002">
        <v>13853.3517943809</v>
      </c>
      <c r="F2002" s="1">
        <v>46038.099826388891</v>
      </c>
      <c r="G2002">
        <v>52.875832232124502</v>
      </c>
      <c r="H2002" t="s">
        <v>25</v>
      </c>
      <c r="J2002" t="s">
        <v>16</v>
      </c>
      <c r="K2002">
        <v>168621.722777477</v>
      </c>
      <c r="L2002" t="s">
        <v>17</v>
      </c>
      <c r="M2002">
        <v>0</v>
      </c>
      <c r="N2002">
        <v>8.2156388668040203E-2</v>
      </c>
    </row>
    <row r="2003" spans="2:14" x14ac:dyDescent="0.25">
      <c r="B2003" t="s">
        <v>14</v>
      </c>
      <c r="C2003" s="1">
        <v>46037.999988425923</v>
      </c>
      <c r="D2003">
        <v>25.158621908218102</v>
      </c>
      <c r="E2003">
        <v>8529.4438969323201</v>
      </c>
      <c r="F2003" s="1">
        <v>46035.606319444443</v>
      </c>
      <c r="G2003">
        <v>52.875832232124502</v>
      </c>
      <c r="H2003" t="s">
        <v>25</v>
      </c>
      <c r="J2003" t="s">
        <v>16</v>
      </c>
      <c r="K2003">
        <v>168621.722777477</v>
      </c>
      <c r="L2003" t="s">
        <v>17</v>
      </c>
      <c r="M2003">
        <v>-5323.9078974486602</v>
      </c>
      <c r="N2003">
        <v>5.0583304193779502E-2</v>
      </c>
    </row>
    <row r="2004" spans="2:14" x14ac:dyDescent="0.25">
      <c r="B2004" t="s">
        <v>14</v>
      </c>
      <c r="C2004" s="1">
        <v>46036.999988425923</v>
      </c>
      <c r="D2004">
        <v>25.158621908218102</v>
      </c>
      <c r="E2004">
        <v>8529.4438969323201</v>
      </c>
      <c r="F2004" s="1">
        <v>46035.606319444443</v>
      </c>
      <c r="G2004">
        <v>52.875832232124502</v>
      </c>
      <c r="H2004" t="s">
        <v>25</v>
      </c>
      <c r="J2004" t="s">
        <v>16</v>
      </c>
      <c r="K2004">
        <v>168621.722777477</v>
      </c>
      <c r="L2004" t="s">
        <v>17</v>
      </c>
      <c r="M2004">
        <v>0</v>
      </c>
      <c r="N2004">
        <v>5.0583304193779502E-2</v>
      </c>
    </row>
    <row r="2005" spans="2:14" x14ac:dyDescent="0.25">
      <c r="B2005" t="s">
        <v>14</v>
      </c>
      <c r="C2005" s="1">
        <v>46035.999988425923</v>
      </c>
      <c r="D2005">
        <v>25.158621908218102</v>
      </c>
      <c r="E2005">
        <v>8529.4438969323201</v>
      </c>
      <c r="F2005" s="1">
        <v>46035.606319444443</v>
      </c>
      <c r="G2005">
        <v>52.875832232124502</v>
      </c>
      <c r="H2005" t="s">
        <v>25</v>
      </c>
      <c r="J2005" t="s">
        <v>16</v>
      </c>
      <c r="K2005">
        <v>168621.722777477</v>
      </c>
      <c r="L2005" t="s">
        <v>17</v>
      </c>
      <c r="M2005">
        <v>0</v>
      </c>
      <c r="N2005">
        <v>5.0583304193779502E-2</v>
      </c>
    </row>
    <row r="2006" spans="2:14" x14ac:dyDescent="0.25">
      <c r="B2006" t="s">
        <v>14</v>
      </c>
      <c r="C2006" s="1">
        <v>46034.999988425923</v>
      </c>
      <c r="D2006">
        <v>25.158621908218102</v>
      </c>
      <c r="E2006">
        <v>16401.963304835001</v>
      </c>
      <c r="F2006" s="1">
        <v>46032.099108796298</v>
      </c>
      <c r="G2006">
        <v>52.875832232124502</v>
      </c>
      <c r="H2006" t="s">
        <v>25</v>
      </c>
      <c r="J2006" t="s">
        <v>16</v>
      </c>
      <c r="K2006">
        <v>168621.722777477</v>
      </c>
      <c r="L2006" t="s">
        <v>17</v>
      </c>
      <c r="M2006">
        <v>7872.5194079027497</v>
      </c>
      <c r="N2006">
        <v>9.7270761054197005E-2</v>
      </c>
    </row>
    <row r="2007" spans="2:14" x14ac:dyDescent="0.25">
      <c r="B2007" t="s">
        <v>14</v>
      </c>
      <c r="C2007" s="1">
        <v>46033.999988425923</v>
      </c>
      <c r="D2007">
        <v>25.158621908218102</v>
      </c>
      <c r="E2007">
        <v>16401.963304835001</v>
      </c>
      <c r="F2007" s="1">
        <v>46032.099108796298</v>
      </c>
      <c r="G2007">
        <v>52.875832232124502</v>
      </c>
      <c r="H2007" t="s">
        <v>25</v>
      </c>
      <c r="J2007" t="s">
        <v>16</v>
      </c>
      <c r="K2007">
        <v>168621.722777477</v>
      </c>
      <c r="L2007" t="s">
        <v>17</v>
      </c>
      <c r="M2007">
        <v>0</v>
      </c>
      <c r="N2007">
        <v>9.7270761054197005E-2</v>
      </c>
    </row>
    <row r="2008" spans="2:14" x14ac:dyDescent="0.25">
      <c r="B2008" t="s">
        <v>14</v>
      </c>
      <c r="C2008" s="1">
        <v>46032.999988425923</v>
      </c>
      <c r="D2008">
        <v>25.158621908218102</v>
      </c>
      <c r="E2008">
        <v>16401.963304835001</v>
      </c>
      <c r="F2008" s="1">
        <v>46032.099108796298</v>
      </c>
      <c r="G2008">
        <v>52.875832232124502</v>
      </c>
      <c r="H2008" t="s">
        <v>25</v>
      </c>
      <c r="J2008" t="s">
        <v>16</v>
      </c>
      <c r="K2008">
        <v>168621.722777477</v>
      </c>
      <c r="L2008" t="s">
        <v>17</v>
      </c>
      <c r="M2008">
        <v>0</v>
      </c>
      <c r="N2008">
        <v>9.7270761054197005E-2</v>
      </c>
    </row>
    <row r="2009" spans="2:14" x14ac:dyDescent="0.25">
      <c r="B2009" t="s">
        <v>14</v>
      </c>
      <c r="C2009" s="1">
        <v>46031.999988425923</v>
      </c>
      <c r="D2009">
        <v>25.158621908218102</v>
      </c>
      <c r="E2009">
        <v>7102.3015307447604</v>
      </c>
      <c r="F2009" s="1">
        <v>46029.605486111112</v>
      </c>
      <c r="G2009">
        <v>52.875832232124502</v>
      </c>
      <c r="H2009" t="s">
        <v>25</v>
      </c>
      <c r="J2009" t="s">
        <v>16</v>
      </c>
      <c r="K2009">
        <v>168621.722777477</v>
      </c>
      <c r="L2009" t="s">
        <v>17</v>
      </c>
      <c r="M2009">
        <v>-9299.6617740903093</v>
      </c>
      <c r="N2009">
        <v>4.2119730564711001E-2</v>
      </c>
    </row>
    <row r="2010" spans="2:14" x14ac:dyDescent="0.25">
      <c r="B2010" t="s">
        <v>14</v>
      </c>
      <c r="C2010" s="1">
        <v>46030.999988425923</v>
      </c>
      <c r="D2010">
        <v>25.158621908218102</v>
      </c>
      <c r="E2010">
        <v>7102.3015307447604</v>
      </c>
      <c r="F2010" s="1">
        <v>46029.605486111112</v>
      </c>
      <c r="G2010">
        <v>52.875832232124502</v>
      </c>
      <c r="H2010" t="s">
        <v>25</v>
      </c>
      <c r="J2010" t="s">
        <v>16</v>
      </c>
      <c r="K2010">
        <v>168621.722777477</v>
      </c>
      <c r="L2010" t="s">
        <v>17</v>
      </c>
      <c r="M2010">
        <v>0</v>
      </c>
      <c r="N2010">
        <v>4.2119730564711001E-2</v>
      </c>
    </row>
    <row r="2011" spans="2:14" x14ac:dyDescent="0.25">
      <c r="B2011" t="s">
        <v>14</v>
      </c>
      <c r="C2011" s="1">
        <v>46029.999988425923</v>
      </c>
      <c r="D2011">
        <v>25.158621908218102</v>
      </c>
      <c r="E2011">
        <v>7102.3015307447604</v>
      </c>
      <c r="F2011" s="1">
        <v>46029.605486111112</v>
      </c>
      <c r="G2011">
        <v>52.875832232124502</v>
      </c>
      <c r="H2011" t="s">
        <v>25</v>
      </c>
      <c r="J2011" t="s">
        <v>16</v>
      </c>
      <c r="K2011">
        <v>168621.722777477</v>
      </c>
      <c r="L2011" t="s">
        <v>17</v>
      </c>
      <c r="M2011">
        <v>0</v>
      </c>
      <c r="N2011">
        <v>4.2119730564711001E-2</v>
      </c>
    </row>
    <row r="2012" spans="2:14" x14ac:dyDescent="0.25">
      <c r="B2012" t="s">
        <v>14</v>
      </c>
      <c r="C2012" s="1">
        <v>46028.999988425923</v>
      </c>
      <c r="D2012">
        <v>25.158621908218102</v>
      </c>
      <c r="E2012">
        <v>12795.3483324997</v>
      </c>
      <c r="F2012" s="1">
        <v>46026.09983796296</v>
      </c>
      <c r="G2012">
        <v>52.875832232124502</v>
      </c>
      <c r="H2012" t="s">
        <v>25</v>
      </c>
      <c r="J2012" t="s">
        <v>16</v>
      </c>
      <c r="K2012">
        <v>168621.722777477</v>
      </c>
      <c r="L2012" t="s">
        <v>17</v>
      </c>
      <c r="M2012">
        <v>5693.0468017550302</v>
      </c>
      <c r="N2012">
        <v>7.5881968952394199E-2</v>
      </c>
    </row>
    <row r="2013" spans="2:14" x14ac:dyDescent="0.25">
      <c r="B2013" t="s">
        <v>14</v>
      </c>
      <c r="C2013" s="1">
        <v>46027.999988425923</v>
      </c>
      <c r="D2013">
        <v>25.158621908218102</v>
      </c>
      <c r="E2013">
        <v>12795.3483324997</v>
      </c>
      <c r="F2013" s="1">
        <v>46026.09983796296</v>
      </c>
      <c r="G2013">
        <v>52.875832232124502</v>
      </c>
      <c r="H2013" t="s">
        <v>25</v>
      </c>
      <c r="J2013" t="s">
        <v>16</v>
      </c>
      <c r="K2013">
        <v>168621.722777477</v>
      </c>
      <c r="L2013" t="s">
        <v>17</v>
      </c>
      <c r="M2013">
        <v>0</v>
      </c>
      <c r="N2013">
        <v>7.5881968952394199E-2</v>
      </c>
    </row>
    <row r="2014" spans="2:14" x14ac:dyDescent="0.25">
      <c r="B2014" t="s">
        <v>14</v>
      </c>
      <c r="C2014" s="1">
        <v>46026.999988425923</v>
      </c>
      <c r="D2014">
        <v>25.158621908218102</v>
      </c>
      <c r="E2014">
        <v>12795.3483324997</v>
      </c>
      <c r="F2014" s="1">
        <v>46026.09983796296</v>
      </c>
      <c r="G2014">
        <v>52.875832232124502</v>
      </c>
      <c r="H2014" t="s">
        <v>25</v>
      </c>
      <c r="J2014" t="s">
        <v>16</v>
      </c>
      <c r="K2014">
        <v>168621.722777477</v>
      </c>
      <c r="L2014" t="s">
        <v>17</v>
      </c>
      <c r="M2014">
        <v>0</v>
      </c>
      <c r="N2014">
        <v>7.5881968952394199E-2</v>
      </c>
    </row>
    <row r="2015" spans="2:14" x14ac:dyDescent="0.25">
      <c r="B2015" t="s">
        <v>14</v>
      </c>
      <c r="C2015" s="1">
        <v>46025.999988425923</v>
      </c>
      <c r="D2015">
        <v>25.158621908218102</v>
      </c>
      <c r="E2015">
        <v>8414.1525719961992</v>
      </c>
      <c r="F2015" s="1">
        <v>46023.60633101852</v>
      </c>
      <c r="G2015">
        <v>52.875832232124502</v>
      </c>
      <c r="H2015" t="s">
        <v>25</v>
      </c>
      <c r="J2015" t="s">
        <v>16</v>
      </c>
      <c r="K2015">
        <v>168621.722777477</v>
      </c>
      <c r="L2015" t="s">
        <v>17</v>
      </c>
      <c r="M2015">
        <v>-4381.1957605035795</v>
      </c>
      <c r="N2015">
        <v>4.9899576599036197E-2</v>
      </c>
    </row>
    <row r="2016" spans="2:14" x14ac:dyDescent="0.25">
      <c r="B2016" t="s">
        <v>14</v>
      </c>
      <c r="C2016" s="1">
        <v>46024.999988425923</v>
      </c>
      <c r="D2016">
        <v>25.158621908218102</v>
      </c>
      <c r="E2016">
        <v>8414.1525719961992</v>
      </c>
      <c r="F2016" s="1">
        <v>46023.60633101852</v>
      </c>
      <c r="G2016">
        <v>52.875832232124502</v>
      </c>
      <c r="H2016" t="s">
        <v>25</v>
      </c>
      <c r="J2016" t="s">
        <v>16</v>
      </c>
      <c r="K2016">
        <v>168621.722777477</v>
      </c>
      <c r="L2016" t="s">
        <v>17</v>
      </c>
      <c r="M2016">
        <v>0</v>
      </c>
      <c r="N2016">
        <v>4.9899576599036197E-2</v>
      </c>
    </row>
    <row r="2017" spans="2:14" x14ac:dyDescent="0.25">
      <c r="B2017" t="s">
        <v>14</v>
      </c>
      <c r="C2017" s="1">
        <v>46023.999988425923</v>
      </c>
      <c r="D2017">
        <v>25.158621908218102</v>
      </c>
      <c r="E2017">
        <v>8414.1525719961992</v>
      </c>
      <c r="F2017" s="1">
        <v>46023.60633101852</v>
      </c>
      <c r="G2017">
        <v>52.875832232124502</v>
      </c>
      <c r="H2017" t="s">
        <v>25</v>
      </c>
      <c r="J2017" t="s">
        <v>16</v>
      </c>
      <c r="K2017">
        <v>168621.722777477</v>
      </c>
      <c r="L2017" t="s">
        <v>17</v>
      </c>
      <c r="M2017">
        <v>0</v>
      </c>
      <c r="N2017">
        <v>4.9899576599036197E-2</v>
      </c>
    </row>
    <row r="2018" spans="2:14" x14ac:dyDescent="0.25">
      <c r="B2018" t="s">
        <v>14</v>
      </c>
      <c r="C2018" s="1">
        <v>46246.999988425923</v>
      </c>
      <c r="D2018">
        <v>25.151072160807001</v>
      </c>
      <c r="E2018">
        <v>80260.192851730593</v>
      </c>
      <c r="F2018" s="1">
        <v>46246.605821759258</v>
      </c>
      <c r="G2018">
        <v>52.874705668676299</v>
      </c>
      <c r="H2018" t="s">
        <v>26</v>
      </c>
      <c r="I2018">
        <v>42243</v>
      </c>
      <c r="J2018" t="s">
        <v>16</v>
      </c>
      <c r="K2018">
        <v>314942.79197288898</v>
      </c>
      <c r="L2018" t="s">
        <v>17</v>
      </c>
      <c r="M2018">
        <v>0</v>
      </c>
      <c r="N2018">
        <v>0.25484054532240002</v>
      </c>
    </row>
    <row r="2019" spans="2:14" x14ac:dyDescent="0.25">
      <c r="B2019" t="s">
        <v>14</v>
      </c>
      <c r="C2019" s="1">
        <v>46245.999988425923</v>
      </c>
      <c r="D2019">
        <v>25.151072160807001</v>
      </c>
      <c r="E2019">
        <v>61504.433066605801</v>
      </c>
      <c r="F2019" s="1">
        <v>46243.09915509259</v>
      </c>
      <c r="G2019">
        <v>52.874705668676299</v>
      </c>
      <c r="H2019" t="s">
        <v>26</v>
      </c>
      <c r="I2019">
        <v>42243</v>
      </c>
      <c r="J2019" t="s">
        <v>16</v>
      </c>
      <c r="K2019">
        <v>314942.79197288898</v>
      </c>
      <c r="L2019" t="s">
        <v>17</v>
      </c>
      <c r="M2019">
        <v>-18755.759785124701</v>
      </c>
      <c r="N2019">
        <v>0.19528763519661699</v>
      </c>
    </row>
    <row r="2020" spans="2:14" x14ac:dyDescent="0.25">
      <c r="B2020" t="s">
        <v>14</v>
      </c>
      <c r="C2020" s="1">
        <v>46244.999988425923</v>
      </c>
      <c r="D2020">
        <v>25.151072160807001</v>
      </c>
      <c r="E2020">
        <v>61504.433066605801</v>
      </c>
      <c r="F2020" s="1">
        <v>46243.09915509259</v>
      </c>
      <c r="G2020">
        <v>52.874705668676299</v>
      </c>
      <c r="H2020" t="s">
        <v>26</v>
      </c>
      <c r="I2020">
        <v>42243</v>
      </c>
      <c r="J2020" t="s">
        <v>16</v>
      </c>
      <c r="K2020">
        <v>314942.79197288898</v>
      </c>
      <c r="L2020" t="s">
        <v>17</v>
      </c>
      <c r="M2020">
        <v>0</v>
      </c>
      <c r="N2020">
        <v>0.19528763519661699</v>
      </c>
    </row>
    <row r="2021" spans="2:14" x14ac:dyDescent="0.25">
      <c r="B2021" t="s">
        <v>14</v>
      </c>
      <c r="C2021" s="1">
        <v>46243.999988425923</v>
      </c>
      <c r="D2021">
        <v>25.151072160807001</v>
      </c>
      <c r="E2021">
        <v>61504.433066605801</v>
      </c>
      <c r="F2021" s="1">
        <v>46243.09915509259</v>
      </c>
      <c r="G2021">
        <v>52.874705668676299</v>
      </c>
      <c r="H2021" t="s">
        <v>26</v>
      </c>
      <c r="I2021">
        <v>42243</v>
      </c>
      <c r="J2021" t="s">
        <v>16</v>
      </c>
      <c r="K2021">
        <v>314942.79197288898</v>
      </c>
      <c r="L2021" t="s">
        <v>17</v>
      </c>
      <c r="M2021">
        <v>0</v>
      </c>
      <c r="N2021">
        <v>0.19528763519661699</v>
      </c>
    </row>
    <row r="2022" spans="2:14" x14ac:dyDescent="0.25">
      <c r="B2022" t="s">
        <v>14</v>
      </c>
      <c r="C2022" s="1">
        <v>46242.999988425923</v>
      </c>
      <c r="D2022">
        <v>25.151072160807001</v>
      </c>
      <c r="E2022">
        <v>64968.4247055214</v>
      </c>
      <c r="F2022" s="1">
        <v>46240.605520833335</v>
      </c>
      <c r="G2022">
        <v>52.874705668676299</v>
      </c>
      <c r="H2022" t="s">
        <v>26</v>
      </c>
      <c r="I2022">
        <v>42243</v>
      </c>
      <c r="J2022" t="s">
        <v>16</v>
      </c>
      <c r="K2022">
        <v>314942.79197288898</v>
      </c>
      <c r="L2022" t="s">
        <v>17</v>
      </c>
      <c r="M2022">
        <v>3463.9916389155801</v>
      </c>
      <c r="N2022">
        <v>0.20628643157235299</v>
      </c>
    </row>
    <row r="2023" spans="2:14" x14ac:dyDescent="0.25">
      <c r="B2023" t="s">
        <v>14</v>
      </c>
      <c r="C2023" s="1">
        <v>46241.999988425923</v>
      </c>
      <c r="D2023">
        <v>25.151072160807001</v>
      </c>
      <c r="E2023">
        <v>64968.4247055214</v>
      </c>
      <c r="F2023" s="1">
        <v>46240.605520833335</v>
      </c>
      <c r="G2023">
        <v>52.874705668676299</v>
      </c>
      <c r="H2023" t="s">
        <v>26</v>
      </c>
      <c r="I2023">
        <v>42243</v>
      </c>
      <c r="J2023" t="s">
        <v>16</v>
      </c>
      <c r="K2023">
        <v>314942.79197288898</v>
      </c>
      <c r="L2023" t="s">
        <v>17</v>
      </c>
      <c r="M2023">
        <v>0</v>
      </c>
      <c r="N2023">
        <v>0.20628643157235299</v>
      </c>
    </row>
    <row r="2024" spans="2:14" x14ac:dyDescent="0.25">
      <c r="B2024" t="s">
        <v>14</v>
      </c>
      <c r="C2024" s="1">
        <v>46240.999988425923</v>
      </c>
      <c r="D2024">
        <v>25.151072160807001</v>
      </c>
      <c r="E2024">
        <v>64968.4247055214</v>
      </c>
      <c r="F2024" s="1">
        <v>46240.605520833335</v>
      </c>
      <c r="G2024">
        <v>52.874705668676299</v>
      </c>
      <c r="H2024" t="s">
        <v>26</v>
      </c>
      <c r="I2024">
        <v>42243</v>
      </c>
      <c r="J2024" t="s">
        <v>16</v>
      </c>
      <c r="K2024">
        <v>314942.79197288898</v>
      </c>
      <c r="L2024" t="s">
        <v>17</v>
      </c>
      <c r="M2024">
        <v>0</v>
      </c>
      <c r="N2024">
        <v>0.20628643157235299</v>
      </c>
    </row>
    <row r="2025" spans="2:14" x14ac:dyDescent="0.25">
      <c r="B2025" t="s">
        <v>14</v>
      </c>
      <c r="C2025" s="1">
        <v>46239.999988425923</v>
      </c>
      <c r="D2025">
        <v>25.151072160807001</v>
      </c>
      <c r="E2025">
        <v>61401.3857478426</v>
      </c>
      <c r="F2025" s="1">
        <v>46237.099328703705</v>
      </c>
      <c r="G2025">
        <v>52.874705668676299</v>
      </c>
      <c r="H2025" t="s">
        <v>26</v>
      </c>
      <c r="I2025">
        <v>42243</v>
      </c>
      <c r="J2025" t="s">
        <v>16</v>
      </c>
      <c r="K2025">
        <v>314942.79197288898</v>
      </c>
      <c r="L2025" t="s">
        <v>17</v>
      </c>
      <c r="M2025">
        <v>-3567.0389576787702</v>
      </c>
      <c r="N2025">
        <v>0.19496044142876601</v>
      </c>
    </row>
    <row r="2026" spans="2:14" x14ac:dyDescent="0.25">
      <c r="B2026" t="s">
        <v>14</v>
      </c>
      <c r="C2026" s="1">
        <v>46238.999988425923</v>
      </c>
      <c r="D2026">
        <v>25.151072160807001</v>
      </c>
      <c r="E2026">
        <v>61401.3857478426</v>
      </c>
      <c r="F2026" s="1">
        <v>46237.099328703705</v>
      </c>
      <c r="G2026">
        <v>52.874705668676299</v>
      </c>
      <c r="H2026" t="s">
        <v>26</v>
      </c>
      <c r="I2026">
        <v>42243</v>
      </c>
      <c r="J2026" t="s">
        <v>16</v>
      </c>
      <c r="K2026">
        <v>314942.79197288898</v>
      </c>
      <c r="L2026" t="s">
        <v>17</v>
      </c>
      <c r="M2026">
        <v>0</v>
      </c>
      <c r="N2026">
        <v>0.19496044142876601</v>
      </c>
    </row>
    <row r="2027" spans="2:14" x14ac:dyDescent="0.25">
      <c r="B2027" t="s">
        <v>14</v>
      </c>
      <c r="C2027" s="1">
        <v>46237.999988425923</v>
      </c>
      <c r="D2027">
        <v>25.151072160807001</v>
      </c>
      <c r="E2027">
        <v>61401.3857478426</v>
      </c>
      <c r="F2027" s="1">
        <v>46237.099328703705</v>
      </c>
      <c r="G2027">
        <v>52.874705668676299</v>
      </c>
      <c r="H2027" t="s">
        <v>26</v>
      </c>
      <c r="I2027">
        <v>42243</v>
      </c>
      <c r="J2027" t="s">
        <v>16</v>
      </c>
      <c r="K2027">
        <v>314942.79197288898</v>
      </c>
      <c r="L2027" t="s">
        <v>17</v>
      </c>
      <c r="M2027">
        <v>0</v>
      </c>
      <c r="N2027">
        <v>0.19496044142876601</v>
      </c>
    </row>
    <row r="2028" spans="2:14" x14ac:dyDescent="0.25">
      <c r="B2028" t="s">
        <v>14</v>
      </c>
      <c r="C2028" s="1">
        <v>46236.999988425923</v>
      </c>
      <c r="D2028">
        <v>25.151072160807001</v>
      </c>
      <c r="E2028">
        <v>64075.808529850001</v>
      </c>
      <c r="F2028" s="1">
        <v>46234.605810185189</v>
      </c>
      <c r="G2028">
        <v>52.874705668676299</v>
      </c>
      <c r="H2028" t="s">
        <v>26</v>
      </c>
      <c r="I2028">
        <v>42243</v>
      </c>
      <c r="J2028" t="s">
        <v>16</v>
      </c>
      <c r="K2028">
        <v>314942.79197288898</v>
      </c>
      <c r="L2028" t="s">
        <v>17</v>
      </c>
      <c r="M2028">
        <v>2674.4227820074302</v>
      </c>
      <c r="N2028">
        <v>0.20345221469734601</v>
      </c>
    </row>
    <row r="2029" spans="2:14" x14ac:dyDescent="0.25">
      <c r="B2029" t="s">
        <v>14</v>
      </c>
      <c r="C2029" s="1">
        <v>46235.999988425923</v>
      </c>
      <c r="D2029">
        <v>25.151072160807001</v>
      </c>
      <c r="E2029">
        <v>64075.808529850001</v>
      </c>
      <c r="F2029" s="1">
        <v>46234.605810185189</v>
      </c>
      <c r="G2029">
        <v>52.874705668676299</v>
      </c>
      <c r="H2029" t="s">
        <v>26</v>
      </c>
      <c r="I2029">
        <v>42243</v>
      </c>
      <c r="J2029" t="s">
        <v>16</v>
      </c>
      <c r="K2029">
        <v>314942.79197288898</v>
      </c>
      <c r="L2029" t="s">
        <v>17</v>
      </c>
      <c r="M2029">
        <v>0</v>
      </c>
      <c r="N2029">
        <v>0.20345221469734601</v>
      </c>
    </row>
    <row r="2030" spans="2:14" x14ac:dyDescent="0.25">
      <c r="B2030" t="s">
        <v>14</v>
      </c>
      <c r="C2030" s="1">
        <v>46234.999988425923</v>
      </c>
      <c r="D2030">
        <v>25.151072160807001</v>
      </c>
      <c r="E2030">
        <v>64075.808529850001</v>
      </c>
      <c r="F2030" s="1">
        <v>46234.605810185189</v>
      </c>
      <c r="G2030">
        <v>52.874705668676299</v>
      </c>
      <c r="H2030" t="s">
        <v>26</v>
      </c>
      <c r="I2030">
        <v>42243</v>
      </c>
      <c r="J2030" t="s">
        <v>16</v>
      </c>
      <c r="K2030">
        <v>314942.79197288898</v>
      </c>
      <c r="L2030" t="s">
        <v>17</v>
      </c>
      <c r="M2030">
        <v>0</v>
      </c>
      <c r="N2030">
        <v>0.20345221469734601</v>
      </c>
    </row>
    <row r="2031" spans="2:14" x14ac:dyDescent="0.25">
      <c r="B2031" t="s">
        <v>14</v>
      </c>
      <c r="C2031" s="1">
        <v>46233.999988425923</v>
      </c>
      <c r="D2031">
        <v>25.151072160807001</v>
      </c>
      <c r="E2031">
        <v>56298.957985791101</v>
      </c>
      <c r="F2031" s="1">
        <v>46231.09915509259</v>
      </c>
      <c r="G2031">
        <v>52.874705668676299</v>
      </c>
      <c r="H2031" t="s">
        <v>26</v>
      </c>
      <c r="I2031">
        <v>42243</v>
      </c>
      <c r="J2031" t="s">
        <v>16</v>
      </c>
      <c r="K2031">
        <v>314942.79197288898</v>
      </c>
      <c r="L2031" t="s">
        <v>17</v>
      </c>
      <c r="M2031">
        <v>-7776.8505440589797</v>
      </c>
      <c r="N2031">
        <v>0.17875931572562301</v>
      </c>
    </row>
    <row r="2032" spans="2:14" x14ac:dyDescent="0.25">
      <c r="B2032" t="s">
        <v>14</v>
      </c>
      <c r="C2032" s="1">
        <v>46232.999988425923</v>
      </c>
      <c r="D2032">
        <v>25.151072160807001</v>
      </c>
      <c r="E2032">
        <v>56298.957985791101</v>
      </c>
      <c r="F2032" s="1">
        <v>46231.09915509259</v>
      </c>
      <c r="G2032">
        <v>52.874705668676299</v>
      </c>
      <c r="H2032" t="s">
        <v>26</v>
      </c>
      <c r="I2032">
        <v>42243</v>
      </c>
      <c r="J2032" t="s">
        <v>16</v>
      </c>
      <c r="K2032">
        <v>314942.79197288898</v>
      </c>
      <c r="L2032" t="s">
        <v>17</v>
      </c>
      <c r="M2032">
        <v>0</v>
      </c>
      <c r="N2032">
        <v>0.17875931572562301</v>
      </c>
    </row>
    <row r="2033" spans="2:14" x14ac:dyDescent="0.25">
      <c r="B2033" t="s">
        <v>14</v>
      </c>
      <c r="C2033" s="1">
        <v>46231.999988425923</v>
      </c>
      <c r="D2033">
        <v>25.151072160807001</v>
      </c>
      <c r="E2033">
        <v>56298.957985791101</v>
      </c>
      <c r="F2033" s="1">
        <v>46231.09915509259</v>
      </c>
      <c r="G2033">
        <v>52.874705668676299</v>
      </c>
      <c r="H2033" t="s">
        <v>26</v>
      </c>
      <c r="I2033">
        <v>42243</v>
      </c>
      <c r="J2033" t="s">
        <v>16</v>
      </c>
      <c r="K2033">
        <v>314942.79197288898</v>
      </c>
      <c r="L2033" t="s">
        <v>17</v>
      </c>
      <c r="M2033">
        <v>0</v>
      </c>
      <c r="N2033">
        <v>0.17875931572562301</v>
      </c>
    </row>
    <row r="2034" spans="2:14" x14ac:dyDescent="0.25">
      <c r="B2034" t="s">
        <v>14</v>
      </c>
      <c r="C2034" s="1">
        <v>46230.999988425923</v>
      </c>
      <c r="D2034">
        <v>25.151072160807001</v>
      </c>
      <c r="E2034">
        <v>61007.411222694202</v>
      </c>
      <c r="F2034" s="1">
        <v>46228.605520833335</v>
      </c>
      <c r="G2034">
        <v>52.874705668676299</v>
      </c>
      <c r="H2034" t="s">
        <v>26</v>
      </c>
      <c r="I2034">
        <v>42243</v>
      </c>
      <c r="J2034" t="s">
        <v>16</v>
      </c>
      <c r="K2034">
        <v>314942.79197288898</v>
      </c>
      <c r="L2034" t="s">
        <v>17</v>
      </c>
      <c r="M2034">
        <v>4708.4532369031203</v>
      </c>
      <c r="N2034">
        <v>0.19370950146382701</v>
      </c>
    </row>
    <row r="2035" spans="2:14" x14ac:dyDescent="0.25">
      <c r="B2035" t="s">
        <v>14</v>
      </c>
      <c r="C2035" s="1">
        <v>46229.999988425923</v>
      </c>
      <c r="D2035">
        <v>25.151072160807001</v>
      </c>
      <c r="E2035">
        <v>61007.411222694202</v>
      </c>
      <c r="F2035" s="1">
        <v>46228.605520833335</v>
      </c>
      <c r="G2035">
        <v>52.874705668676299</v>
      </c>
      <c r="H2035" t="s">
        <v>26</v>
      </c>
      <c r="I2035">
        <v>42243</v>
      </c>
      <c r="J2035" t="s">
        <v>16</v>
      </c>
      <c r="K2035">
        <v>314942.79197288898</v>
      </c>
      <c r="L2035" t="s">
        <v>17</v>
      </c>
      <c r="M2035">
        <v>0</v>
      </c>
      <c r="N2035">
        <v>0.19370950146382701</v>
      </c>
    </row>
    <row r="2036" spans="2:14" x14ac:dyDescent="0.25">
      <c r="B2036" t="s">
        <v>14</v>
      </c>
      <c r="C2036" s="1">
        <v>46228.999988425923</v>
      </c>
      <c r="D2036">
        <v>25.151072160807001</v>
      </c>
      <c r="E2036">
        <v>61007.411222694202</v>
      </c>
      <c r="F2036" s="1">
        <v>46228.605520833335</v>
      </c>
      <c r="G2036">
        <v>52.874705668676299</v>
      </c>
      <c r="H2036" t="s">
        <v>26</v>
      </c>
      <c r="I2036">
        <v>42243</v>
      </c>
      <c r="J2036" t="s">
        <v>16</v>
      </c>
      <c r="K2036">
        <v>314942.79197288898</v>
      </c>
      <c r="L2036" t="s">
        <v>17</v>
      </c>
      <c r="M2036">
        <v>0</v>
      </c>
      <c r="N2036">
        <v>0.19370950146382701</v>
      </c>
    </row>
    <row r="2037" spans="2:14" x14ac:dyDescent="0.25">
      <c r="B2037" t="s">
        <v>14</v>
      </c>
      <c r="C2037" s="1">
        <v>46227.999988425923</v>
      </c>
      <c r="D2037">
        <v>25.151072160807001</v>
      </c>
      <c r="E2037">
        <v>66817.341918682301</v>
      </c>
      <c r="F2037" s="1">
        <v>46225.099317129629</v>
      </c>
      <c r="G2037">
        <v>52.874705668676299</v>
      </c>
      <c r="H2037" t="s">
        <v>26</v>
      </c>
      <c r="I2037">
        <v>42243</v>
      </c>
      <c r="J2037" t="s">
        <v>16</v>
      </c>
      <c r="K2037">
        <v>314942.79197288898</v>
      </c>
      <c r="L2037" t="s">
        <v>17</v>
      </c>
      <c r="M2037">
        <v>5809.9306959881196</v>
      </c>
      <c r="N2037">
        <v>0.21215707621095201</v>
      </c>
    </row>
    <row r="2038" spans="2:14" x14ac:dyDescent="0.25">
      <c r="B2038" t="s">
        <v>14</v>
      </c>
      <c r="C2038" s="1">
        <v>46226.999988425923</v>
      </c>
      <c r="D2038">
        <v>25.151072160807001</v>
      </c>
      <c r="E2038">
        <v>66817.341918682301</v>
      </c>
      <c r="F2038" s="1">
        <v>46225.099317129629</v>
      </c>
      <c r="G2038">
        <v>52.874705668676299</v>
      </c>
      <c r="H2038" t="s">
        <v>26</v>
      </c>
      <c r="I2038">
        <v>42243</v>
      </c>
      <c r="J2038" t="s">
        <v>16</v>
      </c>
      <c r="K2038">
        <v>314942.79197288898</v>
      </c>
      <c r="L2038" t="s">
        <v>17</v>
      </c>
      <c r="M2038">
        <v>0</v>
      </c>
      <c r="N2038">
        <v>0.21215707621095201</v>
      </c>
    </row>
    <row r="2039" spans="2:14" x14ac:dyDescent="0.25">
      <c r="B2039" t="s">
        <v>14</v>
      </c>
      <c r="C2039" s="1">
        <v>46225.999988425923</v>
      </c>
      <c r="D2039">
        <v>25.151072160807001</v>
      </c>
      <c r="E2039">
        <v>66817.341918682301</v>
      </c>
      <c r="F2039" s="1">
        <v>46225.099317129629</v>
      </c>
      <c r="G2039">
        <v>52.874705668676299</v>
      </c>
      <c r="H2039" t="s">
        <v>26</v>
      </c>
      <c r="I2039">
        <v>42243</v>
      </c>
      <c r="J2039" t="s">
        <v>16</v>
      </c>
      <c r="K2039">
        <v>314942.79197288898</v>
      </c>
      <c r="L2039" t="s">
        <v>17</v>
      </c>
      <c r="M2039">
        <v>0</v>
      </c>
      <c r="N2039">
        <v>0.21215707621095201</v>
      </c>
    </row>
    <row r="2040" spans="2:14" x14ac:dyDescent="0.25">
      <c r="B2040" t="s">
        <v>14</v>
      </c>
      <c r="C2040" s="1">
        <v>46224.999988425923</v>
      </c>
      <c r="D2040">
        <v>25.151072160807001</v>
      </c>
      <c r="E2040">
        <v>58816.7406598792</v>
      </c>
      <c r="F2040" s="1">
        <v>46222.605810185189</v>
      </c>
      <c r="G2040">
        <v>52.874705668676299</v>
      </c>
      <c r="H2040" t="s">
        <v>26</v>
      </c>
      <c r="I2040">
        <v>42243</v>
      </c>
      <c r="J2040" t="s">
        <v>16</v>
      </c>
      <c r="K2040">
        <v>314942.79197288898</v>
      </c>
      <c r="L2040" t="s">
        <v>17</v>
      </c>
      <c r="M2040">
        <v>-8000.6012588031499</v>
      </c>
      <c r="N2040">
        <v>0.18675372848330499</v>
      </c>
    </row>
    <row r="2041" spans="2:14" x14ac:dyDescent="0.25">
      <c r="B2041" t="s">
        <v>14</v>
      </c>
      <c r="C2041" s="1">
        <v>46223.999988425923</v>
      </c>
      <c r="D2041">
        <v>25.151072160807001</v>
      </c>
      <c r="E2041">
        <v>58816.7406598792</v>
      </c>
      <c r="F2041" s="1">
        <v>46222.605810185189</v>
      </c>
      <c r="G2041">
        <v>52.874705668676299</v>
      </c>
      <c r="H2041" t="s">
        <v>26</v>
      </c>
      <c r="I2041">
        <v>42243</v>
      </c>
      <c r="J2041" t="s">
        <v>16</v>
      </c>
      <c r="K2041">
        <v>314942.79197288898</v>
      </c>
      <c r="L2041" t="s">
        <v>17</v>
      </c>
      <c r="M2041">
        <v>0</v>
      </c>
      <c r="N2041">
        <v>0.18675372848330499</v>
      </c>
    </row>
    <row r="2042" spans="2:14" x14ac:dyDescent="0.25">
      <c r="B2042" t="s">
        <v>14</v>
      </c>
      <c r="C2042" s="1">
        <v>46222.999988425923</v>
      </c>
      <c r="D2042">
        <v>25.151072160807001</v>
      </c>
      <c r="E2042">
        <v>58816.7406598792</v>
      </c>
      <c r="F2042" s="1">
        <v>46222.605810185189</v>
      </c>
      <c r="G2042">
        <v>52.874705668676299</v>
      </c>
      <c r="H2042" t="s">
        <v>26</v>
      </c>
      <c r="I2042">
        <v>42243</v>
      </c>
      <c r="J2042" t="s">
        <v>16</v>
      </c>
      <c r="K2042">
        <v>314942.79197288898</v>
      </c>
      <c r="L2042" t="s">
        <v>17</v>
      </c>
      <c r="M2042">
        <v>0</v>
      </c>
      <c r="N2042">
        <v>0.18675372848330499</v>
      </c>
    </row>
    <row r="2043" spans="2:14" x14ac:dyDescent="0.25">
      <c r="B2043" t="s">
        <v>14</v>
      </c>
      <c r="C2043" s="1">
        <v>46221.999988425923</v>
      </c>
      <c r="D2043">
        <v>25.151072160807001</v>
      </c>
      <c r="E2043">
        <v>63277.1911093198</v>
      </c>
      <c r="F2043" s="1">
        <v>46219.099143518521</v>
      </c>
      <c r="G2043">
        <v>52.874705668676299</v>
      </c>
      <c r="H2043" t="s">
        <v>26</v>
      </c>
      <c r="I2043">
        <v>42243</v>
      </c>
      <c r="J2043" t="s">
        <v>16</v>
      </c>
      <c r="K2043">
        <v>314942.79197288898</v>
      </c>
      <c r="L2043" t="s">
        <v>17</v>
      </c>
      <c r="M2043">
        <v>4460.4504494406801</v>
      </c>
      <c r="N2043">
        <v>0.200916460773507</v>
      </c>
    </row>
    <row r="2044" spans="2:14" x14ac:dyDescent="0.25">
      <c r="B2044" t="s">
        <v>14</v>
      </c>
      <c r="C2044" s="1">
        <v>46220.999988425923</v>
      </c>
      <c r="D2044">
        <v>25.151072160807001</v>
      </c>
      <c r="E2044">
        <v>63277.1911093198</v>
      </c>
      <c r="F2044" s="1">
        <v>46219.099143518521</v>
      </c>
      <c r="G2044">
        <v>52.874705668676299</v>
      </c>
      <c r="H2044" t="s">
        <v>26</v>
      </c>
      <c r="I2044">
        <v>42243</v>
      </c>
      <c r="J2044" t="s">
        <v>16</v>
      </c>
      <c r="K2044">
        <v>314942.79197288898</v>
      </c>
      <c r="L2044" t="s">
        <v>17</v>
      </c>
      <c r="M2044">
        <v>0</v>
      </c>
      <c r="N2044">
        <v>0.200916460773507</v>
      </c>
    </row>
    <row r="2045" spans="2:14" x14ac:dyDescent="0.25">
      <c r="B2045" t="s">
        <v>14</v>
      </c>
      <c r="C2045" s="1">
        <v>46219.999988425923</v>
      </c>
      <c r="D2045">
        <v>25.151072160807001</v>
      </c>
      <c r="E2045">
        <v>63277.1911093198</v>
      </c>
      <c r="F2045" s="1">
        <v>46219.099143518521</v>
      </c>
      <c r="G2045">
        <v>52.874705668676299</v>
      </c>
      <c r="H2045" t="s">
        <v>26</v>
      </c>
      <c r="I2045">
        <v>42243</v>
      </c>
      <c r="J2045" t="s">
        <v>16</v>
      </c>
      <c r="K2045">
        <v>314942.79197288898</v>
      </c>
      <c r="L2045" t="s">
        <v>17</v>
      </c>
      <c r="M2045">
        <v>0</v>
      </c>
      <c r="N2045">
        <v>0.200916460773507</v>
      </c>
    </row>
    <row r="2046" spans="2:14" x14ac:dyDescent="0.25">
      <c r="B2046" t="s">
        <v>14</v>
      </c>
      <c r="C2046" s="1">
        <v>46218.999988425923</v>
      </c>
      <c r="D2046">
        <v>25.151072160807001</v>
      </c>
      <c r="E2046">
        <v>62796.442134208701</v>
      </c>
      <c r="F2046" s="1">
        <v>46216.605509259258</v>
      </c>
      <c r="G2046">
        <v>52.874705668676299</v>
      </c>
      <c r="H2046" t="s">
        <v>26</v>
      </c>
      <c r="I2046">
        <v>42243</v>
      </c>
      <c r="J2046" t="s">
        <v>16</v>
      </c>
      <c r="K2046">
        <v>314942.79197288898</v>
      </c>
      <c r="L2046" t="s">
        <v>17</v>
      </c>
      <c r="M2046">
        <v>-480.74897511117098</v>
      </c>
      <c r="N2046">
        <v>0.199389996325473</v>
      </c>
    </row>
    <row r="2047" spans="2:14" x14ac:dyDescent="0.25">
      <c r="B2047" t="s">
        <v>14</v>
      </c>
      <c r="C2047" s="1">
        <v>46217.999988425923</v>
      </c>
      <c r="D2047">
        <v>25.151072160807001</v>
      </c>
      <c r="E2047">
        <v>62796.442134208701</v>
      </c>
      <c r="F2047" s="1">
        <v>46216.605509259258</v>
      </c>
      <c r="G2047">
        <v>52.874705668676299</v>
      </c>
      <c r="H2047" t="s">
        <v>26</v>
      </c>
      <c r="I2047">
        <v>42243</v>
      </c>
      <c r="J2047" t="s">
        <v>16</v>
      </c>
      <c r="K2047">
        <v>314942.79197288898</v>
      </c>
      <c r="L2047" t="s">
        <v>17</v>
      </c>
      <c r="M2047">
        <v>0</v>
      </c>
      <c r="N2047">
        <v>0.199389996325473</v>
      </c>
    </row>
    <row r="2048" spans="2:14" x14ac:dyDescent="0.25">
      <c r="B2048" t="s">
        <v>14</v>
      </c>
      <c r="C2048" s="1">
        <v>46216.999988425923</v>
      </c>
      <c r="D2048">
        <v>25.151072160807001</v>
      </c>
      <c r="E2048">
        <v>62796.442134208701</v>
      </c>
      <c r="F2048" s="1">
        <v>46216.605509259258</v>
      </c>
      <c r="G2048">
        <v>52.874705668676299</v>
      </c>
      <c r="H2048" t="s">
        <v>26</v>
      </c>
      <c r="I2048">
        <v>42243</v>
      </c>
      <c r="J2048" t="s">
        <v>16</v>
      </c>
      <c r="K2048">
        <v>314942.79197288898</v>
      </c>
      <c r="L2048" t="s">
        <v>17</v>
      </c>
      <c r="M2048">
        <v>0</v>
      </c>
      <c r="N2048">
        <v>0.199389996325473</v>
      </c>
    </row>
    <row r="2049" spans="2:14" x14ac:dyDescent="0.25">
      <c r="B2049" t="s">
        <v>14</v>
      </c>
      <c r="C2049" s="1">
        <v>46215.999988425923</v>
      </c>
      <c r="D2049">
        <v>25.151072160807001</v>
      </c>
      <c r="E2049">
        <v>69872.273247321195</v>
      </c>
      <c r="F2049" s="1">
        <v>46213.099305555559</v>
      </c>
      <c r="G2049">
        <v>52.874705668676299</v>
      </c>
      <c r="H2049" t="s">
        <v>26</v>
      </c>
      <c r="I2049">
        <v>42243</v>
      </c>
      <c r="J2049" t="s">
        <v>16</v>
      </c>
      <c r="K2049">
        <v>314942.79197288898</v>
      </c>
      <c r="L2049" t="s">
        <v>17</v>
      </c>
      <c r="M2049">
        <v>7075.8311131125602</v>
      </c>
      <c r="N2049">
        <v>0.22185703254112199</v>
      </c>
    </row>
    <row r="2050" spans="2:14" x14ac:dyDescent="0.25">
      <c r="B2050" t="s">
        <v>14</v>
      </c>
      <c r="C2050" s="1">
        <v>46214.999988425923</v>
      </c>
      <c r="D2050">
        <v>25.151072160807001</v>
      </c>
      <c r="E2050">
        <v>69872.273247321195</v>
      </c>
      <c r="F2050" s="1">
        <v>46213.099305555559</v>
      </c>
      <c r="G2050">
        <v>52.874705668676299</v>
      </c>
      <c r="H2050" t="s">
        <v>26</v>
      </c>
      <c r="I2050">
        <v>42243</v>
      </c>
      <c r="J2050" t="s">
        <v>16</v>
      </c>
      <c r="K2050">
        <v>314942.79197288898</v>
      </c>
      <c r="L2050" t="s">
        <v>17</v>
      </c>
      <c r="M2050">
        <v>0</v>
      </c>
      <c r="N2050">
        <v>0.22185703254112199</v>
      </c>
    </row>
    <row r="2051" spans="2:14" x14ac:dyDescent="0.25">
      <c r="B2051" t="s">
        <v>14</v>
      </c>
      <c r="C2051" s="1">
        <v>46213.999988425923</v>
      </c>
      <c r="D2051">
        <v>25.151072160807001</v>
      </c>
      <c r="E2051">
        <v>69872.273247321195</v>
      </c>
      <c r="F2051" s="1">
        <v>46213.099305555559</v>
      </c>
      <c r="G2051">
        <v>52.874705668676299</v>
      </c>
      <c r="H2051" t="s">
        <v>26</v>
      </c>
      <c r="I2051">
        <v>42243</v>
      </c>
      <c r="J2051" t="s">
        <v>16</v>
      </c>
      <c r="K2051">
        <v>314942.79197288898</v>
      </c>
      <c r="L2051" t="s">
        <v>17</v>
      </c>
      <c r="M2051">
        <v>0</v>
      </c>
      <c r="N2051">
        <v>0.22185703254112199</v>
      </c>
    </row>
    <row r="2052" spans="2:14" x14ac:dyDescent="0.25">
      <c r="B2052" t="s">
        <v>14</v>
      </c>
      <c r="C2052" s="1">
        <v>46212.999988425923</v>
      </c>
      <c r="D2052">
        <v>25.151072160807001</v>
      </c>
      <c r="E2052">
        <v>61410.144747808998</v>
      </c>
      <c r="F2052" s="1">
        <v>46210.605798611112</v>
      </c>
      <c r="G2052">
        <v>52.874705668676299</v>
      </c>
      <c r="H2052" t="s">
        <v>26</v>
      </c>
      <c r="I2052">
        <v>42243</v>
      </c>
      <c r="J2052" t="s">
        <v>16</v>
      </c>
      <c r="K2052">
        <v>314942.79197288898</v>
      </c>
      <c r="L2052" t="s">
        <v>17</v>
      </c>
      <c r="M2052">
        <v>-8462.1284995122096</v>
      </c>
      <c r="N2052">
        <v>0.194988252828771</v>
      </c>
    </row>
    <row r="2053" spans="2:14" x14ac:dyDescent="0.25">
      <c r="B2053" t="s">
        <v>14</v>
      </c>
      <c r="C2053" s="1">
        <v>46211.999988425923</v>
      </c>
      <c r="D2053">
        <v>25.151072160807001</v>
      </c>
      <c r="E2053">
        <v>61410.144747808998</v>
      </c>
      <c r="F2053" s="1">
        <v>46210.605798611112</v>
      </c>
      <c r="G2053">
        <v>52.874705668676299</v>
      </c>
      <c r="H2053" t="s">
        <v>26</v>
      </c>
      <c r="I2053">
        <v>42243</v>
      </c>
      <c r="J2053" t="s">
        <v>16</v>
      </c>
      <c r="K2053">
        <v>314942.79197288898</v>
      </c>
      <c r="L2053" t="s">
        <v>17</v>
      </c>
      <c r="M2053">
        <v>0</v>
      </c>
      <c r="N2053">
        <v>0.194988252828771</v>
      </c>
    </row>
    <row r="2054" spans="2:14" x14ac:dyDescent="0.25">
      <c r="B2054" t="s">
        <v>14</v>
      </c>
      <c r="C2054" s="1">
        <v>46210.999988425923</v>
      </c>
      <c r="D2054">
        <v>25.151072160807001</v>
      </c>
      <c r="E2054">
        <v>61410.144747808998</v>
      </c>
      <c r="F2054" s="1">
        <v>46210.605798611112</v>
      </c>
      <c r="G2054">
        <v>52.874705668676299</v>
      </c>
      <c r="H2054" t="s">
        <v>26</v>
      </c>
      <c r="I2054">
        <v>42243</v>
      </c>
      <c r="J2054" t="s">
        <v>16</v>
      </c>
      <c r="K2054">
        <v>314942.79197288898</v>
      </c>
      <c r="L2054" t="s">
        <v>17</v>
      </c>
      <c r="M2054">
        <v>0</v>
      </c>
      <c r="N2054">
        <v>0.194988252828771</v>
      </c>
    </row>
    <row r="2055" spans="2:14" x14ac:dyDescent="0.25">
      <c r="B2055" t="s">
        <v>14</v>
      </c>
      <c r="C2055" s="1">
        <v>46209.999988425923</v>
      </c>
      <c r="D2055">
        <v>25.151072160807001</v>
      </c>
      <c r="E2055">
        <v>52251.7207881902</v>
      </c>
      <c r="F2055" s="1">
        <v>46207.099131944444</v>
      </c>
      <c r="G2055">
        <v>52.874705668676299</v>
      </c>
      <c r="H2055" t="s">
        <v>26</v>
      </c>
      <c r="I2055">
        <v>42243</v>
      </c>
      <c r="J2055" t="s">
        <v>16</v>
      </c>
      <c r="K2055">
        <v>314942.79197288898</v>
      </c>
      <c r="L2055" t="s">
        <v>17</v>
      </c>
      <c r="M2055">
        <v>-9158.4239596188108</v>
      </c>
      <c r="N2055">
        <v>0.16590860981726499</v>
      </c>
    </row>
    <row r="2056" spans="2:14" x14ac:dyDescent="0.25">
      <c r="B2056" t="s">
        <v>14</v>
      </c>
      <c r="C2056" s="1">
        <v>46208.999988425923</v>
      </c>
      <c r="D2056">
        <v>25.151072160807001</v>
      </c>
      <c r="E2056">
        <v>52251.7207881902</v>
      </c>
      <c r="F2056" s="1">
        <v>46207.099131944444</v>
      </c>
      <c r="G2056">
        <v>52.874705668676299</v>
      </c>
      <c r="H2056" t="s">
        <v>26</v>
      </c>
      <c r="I2056">
        <v>42243</v>
      </c>
      <c r="J2056" t="s">
        <v>16</v>
      </c>
      <c r="K2056">
        <v>314942.79197288898</v>
      </c>
      <c r="L2056" t="s">
        <v>17</v>
      </c>
      <c r="M2056">
        <v>0</v>
      </c>
      <c r="N2056">
        <v>0.16590860981726499</v>
      </c>
    </row>
    <row r="2057" spans="2:14" x14ac:dyDescent="0.25">
      <c r="B2057" t="s">
        <v>14</v>
      </c>
      <c r="C2057" s="1">
        <v>46207.999988425923</v>
      </c>
      <c r="D2057">
        <v>25.151072160807001</v>
      </c>
      <c r="E2057">
        <v>52251.7207881902</v>
      </c>
      <c r="F2057" s="1">
        <v>46207.099131944444</v>
      </c>
      <c r="G2057">
        <v>52.874705668676299</v>
      </c>
      <c r="H2057" t="s">
        <v>26</v>
      </c>
      <c r="I2057">
        <v>42243</v>
      </c>
      <c r="J2057" t="s">
        <v>16</v>
      </c>
      <c r="K2057">
        <v>314942.79197288898</v>
      </c>
      <c r="L2057" t="s">
        <v>17</v>
      </c>
      <c r="M2057">
        <v>0</v>
      </c>
      <c r="N2057">
        <v>0.16590860981726499</v>
      </c>
    </row>
    <row r="2058" spans="2:14" x14ac:dyDescent="0.25">
      <c r="B2058" t="s">
        <v>14</v>
      </c>
      <c r="C2058" s="1">
        <v>46206.999988425923</v>
      </c>
      <c r="D2058">
        <v>25.151072160807001</v>
      </c>
      <c r="E2058">
        <v>59285.338353144602</v>
      </c>
      <c r="F2058" s="1">
        <v>46204.605509259258</v>
      </c>
      <c r="G2058">
        <v>52.874705668676299</v>
      </c>
      <c r="H2058" t="s">
        <v>26</v>
      </c>
      <c r="I2058">
        <v>42243</v>
      </c>
      <c r="J2058" t="s">
        <v>16</v>
      </c>
      <c r="K2058">
        <v>314942.79197288898</v>
      </c>
      <c r="L2058" t="s">
        <v>17</v>
      </c>
      <c r="M2058">
        <v>7033.6175649543502</v>
      </c>
      <c r="N2058">
        <v>0.18824161042633999</v>
      </c>
    </row>
    <row r="2059" spans="2:14" x14ac:dyDescent="0.25">
      <c r="B2059" t="s">
        <v>14</v>
      </c>
      <c r="C2059" s="1">
        <v>46205.999988425923</v>
      </c>
      <c r="D2059">
        <v>25.151072160807001</v>
      </c>
      <c r="E2059">
        <v>59285.338353144602</v>
      </c>
      <c r="F2059" s="1">
        <v>46204.605509259258</v>
      </c>
      <c r="G2059">
        <v>52.874705668676299</v>
      </c>
      <c r="H2059" t="s">
        <v>26</v>
      </c>
      <c r="I2059">
        <v>42243</v>
      </c>
      <c r="J2059" t="s">
        <v>16</v>
      </c>
      <c r="K2059">
        <v>314942.79197288898</v>
      </c>
      <c r="L2059" t="s">
        <v>17</v>
      </c>
      <c r="M2059">
        <v>0</v>
      </c>
      <c r="N2059">
        <v>0.18824161042633999</v>
      </c>
    </row>
    <row r="2060" spans="2:14" x14ac:dyDescent="0.25">
      <c r="B2060" t="s">
        <v>14</v>
      </c>
      <c r="C2060" s="1">
        <v>46204.999988425923</v>
      </c>
      <c r="D2060">
        <v>25.151072160807001</v>
      </c>
      <c r="E2060">
        <v>59285.338353144602</v>
      </c>
      <c r="F2060" s="1">
        <v>46204.605509259258</v>
      </c>
      <c r="G2060">
        <v>52.874705668676299</v>
      </c>
      <c r="H2060" t="s">
        <v>26</v>
      </c>
      <c r="I2060">
        <v>42243</v>
      </c>
      <c r="J2060" t="s">
        <v>16</v>
      </c>
      <c r="K2060">
        <v>314942.79197288898</v>
      </c>
      <c r="L2060" t="s">
        <v>17</v>
      </c>
      <c r="M2060">
        <v>0</v>
      </c>
      <c r="N2060">
        <v>0.18824161042633999</v>
      </c>
    </row>
    <row r="2061" spans="2:14" x14ac:dyDescent="0.25">
      <c r="B2061" t="s">
        <v>14</v>
      </c>
      <c r="C2061" s="1">
        <v>46203.999988425923</v>
      </c>
      <c r="D2061">
        <v>25.151072160807001</v>
      </c>
      <c r="E2061">
        <v>48104.294566287201</v>
      </c>
      <c r="F2061" s="1">
        <v>46201.099305555559</v>
      </c>
      <c r="G2061">
        <v>52.874705668676299</v>
      </c>
      <c r="H2061" t="s">
        <v>26</v>
      </c>
      <c r="I2061">
        <v>42243</v>
      </c>
      <c r="J2061" t="s">
        <v>16</v>
      </c>
      <c r="K2061">
        <v>314942.79197288898</v>
      </c>
      <c r="L2061" t="s">
        <v>17</v>
      </c>
      <c r="M2061">
        <v>-11181.043786857301</v>
      </c>
      <c r="N2061">
        <v>0.15273978573996999</v>
      </c>
    </row>
    <row r="2062" spans="2:14" x14ac:dyDescent="0.25">
      <c r="B2062" t="s">
        <v>14</v>
      </c>
      <c r="C2062" s="1">
        <v>46202.999988425923</v>
      </c>
      <c r="D2062">
        <v>25.151072160807001</v>
      </c>
      <c r="E2062">
        <v>48104.294566287201</v>
      </c>
      <c r="F2062" s="1">
        <v>46201.099305555559</v>
      </c>
      <c r="G2062">
        <v>52.874705668676299</v>
      </c>
      <c r="H2062" t="s">
        <v>26</v>
      </c>
      <c r="I2062">
        <v>42243</v>
      </c>
      <c r="J2062" t="s">
        <v>16</v>
      </c>
      <c r="K2062">
        <v>314942.79197288898</v>
      </c>
      <c r="L2062" t="s">
        <v>17</v>
      </c>
      <c r="M2062">
        <v>0</v>
      </c>
      <c r="N2062">
        <v>0.15273978573996999</v>
      </c>
    </row>
    <row r="2063" spans="2:14" x14ac:dyDescent="0.25">
      <c r="B2063" t="s">
        <v>14</v>
      </c>
      <c r="C2063" s="1">
        <v>46201.999988425923</v>
      </c>
      <c r="D2063">
        <v>25.151072160807001</v>
      </c>
      <c r="E2063">
        <v>48104.294566287201</v>
      </c>
      <c r="F2063" s="1">
        <v>46201.099305555559</v>
      </c>
      <c r="G2063">
        <v>52.874705668676299</v>
      </c>
      <c r="H2063" t="s">
        <v>26</v>
      </c>
      <c r="I2063">
        <v>42243</v>
      </c>
      <c r="J2063" t="s">
        <v>16</v>
      </c>
      <c r="K2063">
        <v>314942.79197288898</v>
      </c>
      <c r="L2063" t="s">
        <v>17</v>
      </c>
      <c r="M2063">
        <v>0</v>
      </c>
      <c r="N2063">
        <v>0.15273978573996999</v>
      </c>
    </row>
    <row r="2064" spans="2:14" x14ac:dyDescent="0.25">
      <c r="B2064" t="s">
        <v>14</v>
      </c>
      <c r="C2064" s="1">
        <v>46200.999988425923</v>
      </c>
      <c r="D2064">
        <v>25.151072160807001</v>
      </c>
      <c r="E2064">
        <v>60285.1964456485</v>
      </c>
      <c r="F2064" s="1">
        <v>46198.605787037035</v>
      </c>
      <c r="G2064">
        <v>52.874705668676299</v>
      </c>
      <c r="H2064" t="s">
        <v>26</v>
      </c>
      <c r="I2064">
        <v>42243</v>
      </c>
      <c r="J2064" t="s">
        <v>16</v>
      </c>
      <c r="K2064">
        <v>314942.79197288898</v>
      </c>
      <c r="L2064" t="s">
        <v>17</v>
      </c>
      <c r="M2064">
        <v>12180.9018793613</v>
      </c>
      <c r="N2064">
        <v>0.19141633967237401</v>
      </c>
    </row>
    <row r="2065" spans="2:14" x14ac:dyDescent="0.25">
      <c r="B2065" t="s">
        <v>14</v>
      </c>
      <c r="C2065" s="1">
        <v>46199.999988425923</v>
      </c>
      <c r="D2065">
        <v>25.151072160807001</v>
      </c>
      <c r="E2065">
        <v>60285.1964456485</v>
      </c>
      <c r="F2065" s="1">
        <v>46198.605787037035</v>
      </c>
      <c r="G2065">
        <v>52.874705668676299</v>
      </c>
      <c r="H2065" t="s">
        <v>26</v>
      </c>
      <c r="I2065">
        <v>42243</v>
      </c>
      <c r="J2065" t="s">
        <v>16</v>
      </c>
      <c r="K2065">
        <v>314942.79197288898</v>
      </c>
      <c r="L2065" t="s">
        <v>17</v>
      </c>
      <c r="M2065">
        <v>0</v>
      </c>
      <c r="N2065">
        <v>0.19141633967237401</v>
      </c>
    </row>
    <row r="2066" spans="2:14" x14ac:dyDescent="0.25">
      <c r="B2066" t="s">
        <v>14</v>
      </c>
      <c r="C2066" s="1">
        <v>46198.999988425923</v>
      </c>
      <c r="D2066">
        <v>25.151072160807001</v>
      </c>
      <c r="E2066">
        <v>60285.1964456485</v>
      </c>
      <c r="F2066" s="1">
        <v>46198.605787037035</v>
      </c>
      <c r="G2066">
        <v>52.874705668676299</v>
      </c>
      <c r="H2066" t="s">
        <v>26</v>
      </c>
      <c r="I2066">
        <v>42243</v>
      </c>
      <c r="J2066" t="s">
        <v>16</v>
      </c>
      <c r="K2066">
        <v>314942.79197288898</v>
      </c>
      <c r="L2066" t="s">
        <v>17</v>
      </c>
      <c r="M2066">
        <v>0</v>
      </c>
      <c r="N2066">
        <v>0.19141633967237401</v>
      </c>
    </row>
    <row r="2067" spans="2:14" x14ac:dyDescent="0.25">
      <c r="B2067" t="s">
        <v>14</v>
      </c>
      <c r="C2067" s="1">
        <v>46197.999988425923</v>
      </c>
      <c r="D2067">
        <v>25.151072160807001</v>
      </c>
      <c r="E2067">
        <v>71283.763945779006</v>
      </c>
      <c r="F2067" s="1">
        <v>46194.099780092591</v>
      </c>
      <c r="G2067">
        <v>52.874705668676299</v>
      </c>
      <c r="H2067" t="s">
        <v>26</v>
      </c>
      <c r="I2067">
        <v>42243</v>
      </c>
      <c r="J2067" t="s">
        <v>16</v>
      </c>
      <c r="K2067">
        <v>314942.79197288898</v>
      </c>
      <c r="L2067" t="s">
        <v>17</v>
      </c>
      <c r="M2067">
        <v>10998.567500130501</v>
      </c>
      <c r="N2067">
        <v>0.22633876933406699</v>
      </c>
    </row>
    <row r="2068" spans="2:14" x14ac:dyDescent="0.25">
      <c r="B2068" t="s">
        <v>14</v>
      </c>
      <c r="C2068" s="1">
        <v>46196.999988425923</v>
      </c>
      <c r="D2068">
        <v>25.151072160807001</v>
      </c>
      <c r="E2068">
        <v>71283.763945779006</v>
      </c>
      <c r="F2068" s="1">
        <v>46194.099780092591</v>
      </c>
      <c r="G2068">
        <v>52.874705668676299</v>
      </c>
      <c r="H2068" t="s">
        <v>26</v>
      </c>
      <c r="I2068">
        <v>42243</v>
      </c>
      <c r="J2068" t="s">
        <v>16</v>
      </c>
      <c r="K2068">
        <v>314942.79197288898</v>
      </c>
      <c r="L2068" t="s">
        <v>17</v>
      </c>
      <c r="M2068">
        <v>0</v>
      </c>
      <c r="N2068">
        <v>0.22633876933406699</v>
      </c>
    </row>
    <row r="2069" spans="2:14" x14ac:dyDescent="0.25">
      <c r="B2069" t="s">
        <v>14</v>
      </c>
      <c r="C2069" s="1">
        <v>46195.999988425923</v>
      </c>
      <c r="D2069">
        <v>25.151072160807001</v>
      </c>
      <c r="E2069">
        <v>71283.763945779006</v>
      </c>
      <c r="F2069" s="1">
        <v>46194.099780092591</v>
      </c>
      <c r="G2069">
        <v>52.874705668676299</v>
      </c>
      <c r="H2069" t="s">
        <v>26</v>
      </c>
      <c r="I2069">
        <v>42243</v>
      </c>
      <c r="J2069" t="s">
        <v>16</v>
      </c>
      <c r="K2069">
        <v>314942.79197288898</v>
      </c>
      <c r="L2069" t="s">
        <v>17</v>
      </c>
      <c r="M2069">
        <v>0</v>
      </c>
      <c r="N2069">
        <v>0.22633876933406699</v>
      </c>
    </row>
    <row r="2070" spans="2:14" x14ac:dyDescent="0.25">
      <c r="B2070" t="s">
        <v>14</v>
      </c>
      <c r="C2070" s="1">
        <v>46194.999988425923</v>
      </c>
      <c r="D2070">
        <v>25.151072160807001</v>
      </c>
      <c r="E2070">
        <v>71283.763945779006</v>
      </c>
      <c r="F2070" s="1">
        <v>46194.099780092591</v>
      </c>
      <c r="G2070">
        <v>52.874705668676299</v>
      </c>
      <c r="H2070" t="s">
        <v>26</v>
      </c>
      <c r="I2070">
        <v>42243</v>
      </c>
      <c r="J2070" t="s">
        <v>16</v>
      </c>
      <c r="K2070">
        <v>314942.79197288898</v>
      </c>
      <c r="L2070" t="s">
        <v>17</v>
      </c>
      <c r="M2070">
        <v>0</v>
      </c>
      <c r="N2070">
        <v>0.22633876933406699</v>
      </c>
    </row>
    <row r="2071" spans="2:14" x14ac:dyDescent="0.25">
      <c r="B2071" t="s">
        <v>14</v>
      </c>
      <c r="C2071" s="1">
        <v>46193.999988425923</v>
      </c>
      <c r="D2071">
        <v>25.151072160807001</v>
      </c>
      <c r="E2071">
        <v>63451.944368927499</v>
      </c>
      <c r="F2071" s="1">
        <v>46191.606261574074</v>
      </c>
      <c r="G2071">
        <v>52.874705668676299</v>
      </c>
      <c r="H2071" t="s">
        <v>26</v>
      </c>
      <c r="I2071">
        <v>42243</v>
      </c>
      <c r="J2071" t="s">
        <v>16</v>
      </c>
      <c r="K2071">
        <v>314942.79197288898</v>
      </c>
      <c r="L2071" t="s">
        <v>17</v>
      </c>
      <c r="M2071">
        <v>-7831.8195768514697</v>
      </c>
      <c r="N2071">
        <v>0.20147133379826501</v>
      </c>
    </row>
    <row r="2072" spans="2:14" x14ac:dyDescent="0.25">
      <c r="B2072" t="s">
        <v>14</v>
      </c>
      <c r="C2072" s="1">
        <v>46192.999988425923</v>
      </c>
      <c r="D2072">
        <v>25.151072160807001</v>
      </c>
      <c r="E2072">
        <v>63451.944368927499</v>
      </c>
      <c r="F2072" s="1">
        <v>46191.606261574074</v>
      </c>
      <c r="G2072">
        <v>52.874705668676299</v>
      </c>
      <c r="H2072" t="s">
        <v>26</v>
      </c>
      <c r="I2072">
        <v>42243</v>
      </c>
      <c r="J2072" t="s">
        <v>16</v>
      </c>
      <c r="K2072">
        <v>314942.79197288898</v>
      </c>
      <c r="L2072" t="s">
        <v>17</v>
      </c>
      <c r="M2072">
        <v>0</v>
      </c>
      <c r="N2072">
        <v>0.20147133379826501</v>
      </c>
    </row>
    <row r="2073" spans="2:14" x14ac:dyDescent="0.25">
      <c r="B2073" t="s">
        <v>14</v>
      </c>
      <c r="C2073" s="1">
        <v>46191.999988425923</v>
      </c>
      <c r="D2073">
        <v>25.151072160807001</v>
      </c>
      <c r="E2073">
        <v>63451.944368927499</v>
      </c>
      <c r="F2073" s="1">
        <v>46191.606261574074</v>
      </c>
      <c r="G2073">
        <v>52.874705668676299</v>
      </c>
      <c r="H2073" t="s">
        <v>26</v>
      </c>
      <c r="I2073">
        <v>42243</v>
      </c>
      <c r="J2073" t="s">
        <v>16</v>
      </c>
      <c r="K2073">
        <v>314942.79197288898</v>
      </c>
      <c r="L2073" t="s">
        <v>17</v>
      </c>
      <c r="M2073">
        <v>0</v>
      </c>
      <c r="N2073">
        <v>0.20147133379826501</v>
      </c>
    </row>
    <row r="2074" spans="2:14" x14ac:dyDescent="0.25">
      <c r="B2074" t="s">
        <v>14</v>
      </c>
      <c r="C2074" s="1">
        <v>46190.999988425923</v>
      </c>
      <c r="D2074">
        <v>25.151072160807001</v>
      </c>
      <c r="E2074">
        <v>60532.260079870197</v>
      </c>
      <c r="F2074" s="1">
        <v>46189.099270833336</v>
      </c>
      <c r="G2074">
        <v>52.874705668676299</v>
      </c>
      <c r="H2074" t="s">
        <v>26</v>
      </c>
      <c r="I2074">
        <v>42243</v>
      </c>
      <c r="J2074" t="s">
        <v>16</v>
      </c>
      <c r="K2074">
        <v>314942.79197288898</v>
      </c>
      <c r="L2074" t="s">
        <v>17</v>
      </c>
      <c r="M2074">
        <v>-2919.6842890572998</v>
      </c>
      <c r="N2074">
        <v>0.19220081113995099</v>
      </c>
    </row>
    <row r="2075" spans="2:14" x14ac:dyDescent="0.25">
      <c r="B2075" t="s">
        <v>14</v>
      </c>
      <c r="C2075" s="1">
        <v>46189.999988425923</v>
      </c>
      <c r="D2075">
        <v>25.151072160807001</v>
      </c>
      <c r="E2075">
        <v>60532.260079870197</v>
      </c>
      <c r="F2075" s="1">
        <v>46189.099270833336</v>
      </c>
      <c r="G2075">
        <v>52.874705668676299</v>
      </c>
      <c r="H2075" t="s">
        <v>26</v>
      </c>
      <c r="I2075">
        <v>42243</v>
      </c>
      <c r="J2075" t="s">
        <v>16</v>
      </c>
      <c r="K2075">
        <v>314942.79197288898</v>
      </c>
      <c r="L2075" t="s">
        <v>17</v>
      </c>
      <c r="M2075">
        <v>0</v>
      </c>
      <c r="N2075">
        <v>0.19220081113995099</v>
      </c>
    </row>
    <row r="2076" spans="2:14" x14ac:dyDescent="0.25">
      <c r="B2076" t="s">
        <v>14</v>
      </c>
      <c r="C2076" s="1">
        <v>46188.999988425923</v>
      </c>
      <c r="D2076">
        <v>25.151072160807001</v>
      </c>
      <c r="E2076">
        <v>59401.891612334002</v>
      </c>
      <c r="F2076" s="1">
        <v>46186.60564814815</v>
      </c>
      <c r="G2076">
        <v>52.874705668676299</v>
      </c>
      <c r="H2076" t="s">
        <v>26</v>
      </c>
      <c r="I2076">
        <v>42243</v>
      </c>
      <c r="J2076" t="s">
        <v>16</v>
      </c>
      <c r="K2076">
        <v>314942.79197288898</v>
      </c>
      <c r="L2076" t="s">
        <v>17</v>
      </c>
      <c r="M2076">
        <v>-1130.3684675362299</v>
      </c>
      <c r="N2076">
        <v>0.18861168798378899</v>
      </c>
    </row>
    <row r="2077" spans="2:14" x14ac:dyDescent="0.25">
      <c r="B2077" t="s">
        <v>14</v>
      </c>
      <c r="C2077" s="1">
        <v>46187.999988425923</v>
      </c>
      <c r="D2077">
        <v>25.151072160807001</v>
      </c>
      <c r="E2077">
        <v>59401.891612334002</v>
      </c>
      <c r="F2077" s="1">
        <v>46186.60564814815</v>
      </c>
      <c r="G2077">
        <v>52.874705668676299</v>
      </c>
      <c r="H2077" t="s">
        <v>26</v>
      </c>
      <c r="I2077">
        <v>42243</v>
      </c>
      <c r="J2077" t="s">
        <v>16</v>
      </c>
      <c r="K2077">
        <v>314942.79197288898</v>
      </c>
      <c r="L2077" t="s">
        <v>17</v>
      </c>
      <c r="M2077">
        <v>0</v>
      </c>
      <c r="N2077">
        <v>0.18861168798378899</v>
      </c>
    </row>
    <row r="2078" spans="2:14" x14ac:dyDescent="0.25">
      <c r="B2078" t="s">
        <v>14</v>
      </c>
      <c r="C2078" s="1">
        <v>46186.999988425923</v>
      </c>
      <c r="D2078">
        <v>25.151072160807001</v>
      </c>
      <c r="E2078">
        <v>59401.891612334002</v>
      </c>
      <c r="F2078" s="1">
        <v>46186.60564814815</v>
      </c>
      <c r="G2078">
        <v>52.874705668676299</v>
      </c>
      <c r="H2078" t="s">
        <v>26</v>
      </c>
      <c r="I2078">
        <v>42243</v>
      </c>
      <c r="J2078" t="s">
        <v>16</v>
      </c>
      <c r="K2078">
        <v>314942.79197288898</v>
      </c>
      <c r="L2078" t="s">
        <v>17</v>
      </c>
      <c r="M2078">
        <v>0</v>
      </c>
      <c r="N2078">
        <v>0.18861168798378899</v>
      </c>
    </row>
    <row r="2079" spans="2:14" x14ac:dyDescent="0.25">
      <c r="B2079" t="s">
        <v>14</v>
      </c>
      <c r="C2079" s="1">
        <v>46185.999988425923</v>
      </c>
      <c r="D2079">
        <v>25.151072160807001</v>
      </c>
      <c r="E2079">
        <v>41571.268208387301</v>
      </c>
      <c r="F2079" s="1">
        <v>46182.099780092591</v>
      </c>
      <c r="G2079">
        <v>52.874705668676299</v>
      </c>
      <c r="H2079" t="s">
        <v>26</v>
      </c>
      <c r="I2079">
        <v>42243</v>
      </c>
      <c r="J2079" t="s">
        <v>16</v>
      </c>
      <c r="K2079">
        <v>314942.79197288898</v>
      </c>
      <c r="L2079" t="s">
        <v>17</v>
      </c>
      <c r="M2079">
        <v>-17830.6234039466</v>
      </c>
      <c r="N2079">
        <v>0.13199625223353501</v>
      </c>
    </row>
    <row r="2080" spans="2:14" x14ac:dyDescent="0.25">
      <c r="B2080" t="s">
        <v>14</v>
      </c>
      <c r="C2080" s="1">
        <v>46184.999988425923</v>
      </c>
      <c r="D2080">
        <v>25.151072160807001</v>
      </c>
      <c r="E2080">
        <v>41571.268208387301</v>
      </c>
      <c r="F2080" s="1">
        <v>46182.099780092591</v>
      </c>
      <c r="G2080">
        <v>52.874705668676299</v>
      </c>
      <c r="H2080" t="s">
        <v>26</v>
      </c>
      <c r="I2080">
        <v>42243</v>
      </c>
      <c r="J2080" t="s">
        <v>16</v>
      </c>
      <c r="K2080">
        <v>314942.79197288898</v>
      </c>
      <c r="L2080" t="s">
        <v>17</v>
      </c>
      <c r="M2080">
        <v>0</v>
      </c>
      <c r="N2080">
        <v>0.13199625223353501</v>
      </c>
    </row>
    <row r="2081" spans="2:14" x14ac:dyDescent="0.25">
      <c r="B2081" t="s">
        <v>14</v>
      </c>
      <c r="C2081" s="1">
        <v>46183.999988425923</v>
      </c>
      <c r="D2081">
        <v>25.151072160807001</v>
      </c>
      <c r="E2081">
        <v>41571.268208387301</v>
      </c>
      <c r="F2081" s="1">
        <v>46182.099780092591</v>
      </c>
      <c r="G2081">
        <v>52.874705668676299</v>
      </c>
      <c r="H2081" t="s">
        <v>26</v>
      </c>
      <c r="I2081">
        <v>42243</v>
      </c>
      <c r="J2081" t="s">
        <v>16</v>
      </c>
      <c r="K2081">
        <v>314942.79197288898</v>
      </c>
      <c r="L2081" t="s">
        <v>17</v>
      </c>
      <c r="M2081">
        <v>0</v>
      </c>
      <c r="N2081">
        <v>0.13199625223353501</v>
      </c>
    </row>
    <row r="2082" spans="2:14" x14ac:dyDescent="0.25">
      <c r="B2082" t="s">
        <v>14</v>
      </c>
      <c r="C2082" s="1">
        <v>46182.999988425923</v>
      </c>
      <c r="D2082">
        <v>25.151072160807001</v>
      </c>
      <c r="E2082">
        <v>41571.268208387301</v>
      </c>
      <c r="F2082" s="1">
        <v>46182.099780092591</v>
      </c>
      <c r="G2082">
        <v>52.874705668676299</v>
      </c>
      <c r="H2082" t="s">
        <v>26</v>
      </c>
      <c r="I2082">
        <v>42243</v>
      </c>
      <c r="J2082" t="s">
        <v>16</v>
      </c>
      <c r="K2082">
        <v>314942.79197288898</v>
      </c>
      <c r="L2082" t="s">
        <v>17</v>
      </c>
      <c r="M2082">
        <v>0</v>
      </c>
      <c r="N2082">
        <v>0.13199625223353501</v>
      </c>
    </row>
    <row r="2083" spans="2:14" x14ac:dyDescent="0.25">
      <c r="B2083" t="s">
        <v>14</v>
      </c>
      <c r="C2083" s="1">
        <v>46181.999988425923</v>
      </c>
      <c r="D2083">
        <v>25.151072160807001</v>
      </c>
      <c r="E2083">
        <v>58234.097412456598</v>
      </c>
      <c r="F2083" s="1">
        <v>46179.606273148151</v>
      </c>
      <c r="G2083">
        <v>52.874705668676299</v>
      </c>
      <c r="H2083" t="s">
        <v>26</v>
      </c>
      <c r="I2083">
        <v>42243</v>
      </c>
      <c r="J2083" t="s">
        <v>16</v>
      </c>
      <c r="K2083">
        <v>314942.79197288898</v>
      </c>
      <c r="L2083" t="s">
        <v>17</v>
      </c>
      <c r="M2083">
        <v>16662.829204069199</v>
      </c>
      <c r="N2083">
        <v>0.184903731397254</v>
      </c>
    </row>
    <row r="2084" spans="2:14" x14ac:dyDescent="0.25">
      <c r="B2084" t="s">
        <v>14</v>
      </c>
      <c r="C2084" s="1">
        <v>46180.999988425923</v>
      </c>
      <c r="D2084">
        <v>25.151072160807001</v>
      </c>
      <c r="E2084">
        <v>58234.097412456598</v>
      </c>
      <c r="F2084" s="1">
        <v>46179.606273148151</v>
      </c>
      <c r="G2084">
        <v>52.874705668676299</v>
      </c>
      <c r="H2084" t="s">
        <v>26</v>
      </c>
      <c r="I2084">
        <v>42243</v>
      </c>
      <c r="J2084" t="s">
        <v>16</v>
      </c>
      <c r="K2084">
        <v>314942.79197288898</v>
      </c>
      <c r="L2084" t="s">
        <v>17</v>
      </c>
      <c r="M2084">
        <v>0</v>
      </c>
      <c r="N2084">
        <v>0.184903731397254</v>
      </c>
    </row>
    <row r="2085" spans="2:14" x14ac:dyDescent="0.25">
      <c r="B2085" t="s">
        <v>14</v>
      </c>
      <c r="C2085" s="1">
        <v>46179.999988425923</v>
      </c>
      <c r="D2085">
        <v>25.151072160807001</v>
      </c>
      <c r="E2085">
        <v>58234.097412456598</v>
      </c>
      <c r="F2085" s="1">
        <v>46179.606273148151</v>
      </c>
      <c r="G2085">
        <v>52.874705668676299</v>
      </c>
      <c r="H2085" t="s">
        <v>26</v>
      </c>
      <c r="I2085">
        <v>42243</v>
      </c>
      <c r="J2085" t="s">
        <v>16</v>
      </c>
      <c r="K2085">
        <v>314942.79197288898</v>
      </c>
      <c r="L2085" t="s">
        <v>17</v>
      </c>
      <c r="M2085">
        <v>0</v>
      </c>
      <c r="N2085">
        <v>0.184903731397254</v>
      </c>
    </row>
    <row r="2086" spans="2:14" x14ac:dyDescent="0.25">
      <c r="B2086" t="s">
        <v>14</v>
      </c>
      <c r="C2086" s="1">
        <v>46178.999988425923</v>
      </c>
      <c r="D2086">
        <v>25.151072160807001</v>
      </c>
      <c r="E2086">
        <v>68182.419263869393</v>
      </c>
      <c r="F2086" s="1">
        <v>46177.099259259259</v>
      </c>
      <c r="G2086">
        <v>52.874705668676299</v>
      </c>
      <c r="H2086" t="s">
        <v>26</v>
      </c>
      <c r="I2086">
        <v>42243</v>
      </c>
      <c r="J2086" t="s">
        <v>16</v>
      </c>
      <c r="K2086">
        <v>314942.79197288898</v>
      </c>
      <c r="L2086" t="s">
        <v>17</v>
      </c>
      <c r="M2086">
        <v>9948.3218514127893</v>
      </c>
      <c r="N2086">
        <v>0.21649144226084899</v>
      </c>
    </row>
    <row r="2087" spans="2:14" x14ac:dyDescent="0.25">
      <c r="B2087" t="s">
        <v>14</v>
      </c>
      <c r="C2087" s="1">
        <v>46177.999988425923</v>
      </c>
      <c r="D2087">
        <v>25.151072160807001</v>
      </c>
      <c r="E2087">
        <v>68182.419263869393</v>
      </c>
      <c r="F2087" s="1">
        <v>46177.099259259259</v>
      </c>
      <c r="G2087">
        <v>52.874705668676299</v>
      </c>
      <c r="H2087" t="s">
        <v>26</v>
      </c>
      <c r="I2087">
        <v>42243</v>
      </c>
      <c r="J2087" t="s">
        <v>16</v>
      </c>
      <c r="K2087">
        <v>314942.79197288898</v>
      </c>
      <c r="L2087" t="s">
        <v>17</v>
      </c>
      <c r="M2087">
        <v>0</v>
      </c>
      <c r="N2087">
        <v>0.21649144226084899</v>
      </c>
    </row>
    <row r="2088" spans="2:14" x14ac:dyDescent="0.25">
      <c r="B2088" t="s">
        <v>14</v>
      </c>
      <c r="C2088" s="1">
        <v>46176.999988425923</v>
      </c>
      <c r="D2088">
        <v>25.151072160807001</v>
      </c>
      <c r="E2088">
        <v>77212.267342097199</v>
      </c>
      <c r="F2088" s="1">
        <v>46176.099143518521</v>
      </c>
      <c r="G2088">
        <v>52.874705668676299</v>
      </c>
      <c r="H2088" t="s">
        <v>26</v>
      </c>
      <c r="I2088">
        <v>42243</v>
      </c>
      <c r="J2088" t="s">
        <v>16</v>
      </c>
      <c r="K2088">
        <v>314942.79197288898</v>
      </c>
      <c r="L2088" t="s">
        <v>17</v>
      </c>
      <c r="M2088">
        <v>9029.8480782277693</v>
      </c>
      <c r="N2088">
        <v>0.24516283372741399</v>
      </c>
    </row>
    <row r="2089" spans="2:14" x14ac:dyDescent="0.25">
      <c r="B2089" t="s">
        <v>14</v>
      </c>
      <c r="C2089" s="1">
        <v>46175.999988425923</v>
      </c>
      <c r="D2089">
        <v>25.151072160807001</v>
      </c>
      <c r="E2089">
        <v>57580.409571519602</v>
      </c>
      <c r="F2089" s="1">
        <v>46173.605520833335</v>
      </c>
      <c r="G2089">
        <v>52.874705668676299</v>
      </c>
      <c r="H2089" t="s">
        <v>26</v>
      </c>
      <c r="I2089">
        <v>42243</v>
      </c>
      <c r="J2089" t="s">
        <v>16</v>
      </c>
      <c r="K2089">
        <v>314942.79197288898</v>
      </c>
      <c r="L2089" t="s">
        <v>17</v>
      </c>
      <c r="M2089">
        <v>-19631.857770577499</v>
      </c>
      <c r="N2089">
        <v>0.182828154950998</v>
      </c>
    </row>
    <row r="2090" spans="2:14" x14ac:dyDescent="0.25">
      <c r="B2090" t="s">
        <v>14</v>
      </c>
      <c r="C2090" s="1">
        <v>46174.999988425923</v>
      </c>
      <c r="D2090">
        <v>25.151072160807001</v>
      </c>
      <c r="E2090">
        <v>57580.409571519602</v>
      </c>
      <c r="F2090" s="1">
        <v>46173.605520833335</v>
      </c>
      <c r="G2090">
        <v>52.874705668676299</v>
      </c>
      <c r="H2090" t="s">
        <v>26</v>
      </c>
      <c r="I2090">
        <v>42243</v>
      </c>
      <c r="J2090" t="s">
        <v>16</v>
      </c>
      <c r="K2090">
        <v>314942.79197288898</v>
      </c>
      <c r="L2090" t="s">
        <v>17</v>
      </c>
      <c r="M2090">
        <v>0</v>
      </c>
      <c r="N2090">
        <v>0.182828154950998</v>
      </c>
    </row>
    <row r="2091" spans="2:14" x14ac:dyDescent="0.25">
      <c r="B2091" t="s">
        <v>14</v>
      </c>
      <c r="C2091" s="1">
        <v>46173.999988425923</v>
      </c>
      <c r="D2091">
        <v>25.151072160807001</v>
      </c>
      <c r="E2091">
        <v>57580.409571519602</v>
      </c>
      <c r="F2091" s="1">
        <v>46173.605520833335</v>
      </c>
      <c r="G2091">
        <v>52.874705668676299</v>
      </c>
      <c r="H2091" t="s">
        <v>26</v>
      </c>
      <c r="I2091">
        <v>42243</v>
      </c>
      <c r="J2091" t="s">
        <v>16</v>
      </c>
      <c r="K2091">
        <v>314942.79197288898</v>
      </c>
      <c r="L2091" t="s">
        <v>17</v>
      </c>
      <c r="M2091">
        <v>0</v>
      </c>
      <c r="N2091">
        <v>0.182828154950998</v>
      </c>
    </row>
    <row r="2092" spans="2:14" x14ac:dyDescent="0.25">
      <c r="B2092" t="s">
        <v>14</v>
      </c>
      <c r="C2092" s="1">
        <v>46172.999988425923</v>
      </c>
      <c r="D2092">
        <v>25.151072160807001</v>
      </c>
      <c r="E2092">
        <v>71700.211135602003</v>
      </c>
      <c r="F2092" s="1">
        <v>46170.099791666667</v>
      </c>
      <c r="G2092">
        <v>52.874705668676299</v>
      </c>
      <c r="H2092" t="s">
        <v>26</v>
      </c>
      <c r="I2092">
        <v>42243</v>
      </c>
      <c r="J2092" t="s">
        <v>16</v>
      </c>
      <c r="K2092">
        <v>314942.79197288898</v>
      </c>
      <c r="L2092" t="s">
        <v>17</v>
      </c>
      <c r="M2092">
        <v>14119.8015640823</v>
      </c>
      <c r="N2092">
        <v>0.227661064050559</v>
      </c>
    </row>
    <row r="2093" spans="2:14" x14ac:dyDescent="0.25">
      <c r="B2093" t="s">
        <v>14</v>
      </c>
      <c r="C2093" s="1">
        <v>46171.999988425923</v>
      </c>
      <c r="D2093">
        <v>25.151072160807001</v>
      </c>
      <c r="E2093">
        <v>71700.211135602003</v>
      </c>
      <c r="F2093" s="1">
        <v>46170.099791666667</v>
      </c>
      <c r="G2093">
        <v>52.874705668676299</v>
      </c>
      <c r="H2093" t="s">
        <v>26</v>
      </c>
      <c r="I2093">
        <v>42243</v>
      </c>
      <c r="J2093" t="s">
        <v>16</v>
      </c>
      <c r="K2093">
        <v>314942.79197288898</v>
      </c>
      <c r="L2093" t="s">
        <v>17</v>
      </c>
      <c r="M2093">
        <v>0</v>
      </c>
      <c r="N2093">
        <v>0.227661064050559</v>
      </c>
    </row>
    <row r="2094" spans="2:14" x14ac:dyDescent="0.25">
      <c r="B2094" t="s">
        <v>14</v>
      </c>
      <c r="C2094" s="1">
        <v>46170.999988425923</v>
      </c>
      <c r="D2094">
        <v>25.151072160807001</v>
      </c>
      <c r="E2094">
        <v>71700.211135602003</v>
      </c>
      <c r="F2094" s="1">
        <v>46170.099791666667</v>
      </c>
      <c r="G2094">
        <v>52.874705668676299</v>
      </c>
      <c r="H2094" t="s">
        <v>26</v>
      </c>
      <c r="I2094">
        <v>42243</v>
      </c>
      <c r="J2094" t="s">
        <v>16</v>
      </c>
      <c r="K2094">
        <v>314942.79197288898</v>
      </c>
      <c r="L2094" t="s">
        <v>17</v>
      </c>
      <c r="M2094">
        <v>0</v>
      </c>
      <c r="N2094">
        <v>0.227661064050559</v>
      </c>
    </row>
    <row r="2095" spans="2:14" x14ac:dyDescent="0.25">
      <c r="B2095" t="s">
        <v>14</v>
      </c>
      <c r="C2095" s="1">
        <v>46169.999988425923</v>
      </c>
      <c r="D2095">
        <v>25.151072160807001</v>
      </c>
      <c r="E2095">
        <v>58216.7306341859</v>
      </c>
      <c r="F2095" s="1">
        <v>46167.60628472222</v>
      </c>
      <c r="G2095">
        <v>52.874705668676299</v>
      </c>
      <c r="H2095" t="s">
        <v>26</v>
      </c>
      <c r="I2095">
        <v>42243</v>
      </c>
      <c r="J2095" t="s">
        <v>16</v>
      </c>
      <c r="K2095">
        <v>314942.79197288898</v>
      </c>
      <c r="L2095" t="s">
        <v>17</v>
      </c>
      <c r="M2095">
        <v>-13483.480501415999</v>
      </c>
      <c r="N2095">
        <v>0.184848588753214</v>
      </c>
    </row>
    <row r="2096" spans="2:14" x14ac:dyDescent="0.25">
      <c r="B2096" t="s">
        <v>14</v>
      </c>
      <c r="C2096" s="1">
        <v>46168.999988425923</v>
      </c>
      <c r="D2096">
        <v>25.151072160807001</v>
      </c>
      <c r="E2096">
        <v>58216.7306341859</v>
      </c>
      <c r="F2096" s="1">
        <v>46167.60628472222</v>
      </c>
      <c r="G2096">
        <v>52.874705668676299</v>
      </c>
      <c r="H2096" t="s">
        <v>26</v>
      </c>
      <c r="I2096">
        <v>42243</v>
      </c>
      <c r="J2096" t="s">
        <v>16</v>
      </c>
      <c r="K2096">
        <v>314942.79197288898</v>
      </c>
      <c r="L2096" t="s">
        <v>17</v>
      </c>
      <c r="M2096">
        <v>0</v>
      </c>
      <c r="N2096">
        <v>0.184848588753214</v>
      </c>
    </row>
    <row r="2097" spans="2:14" x14ac:dyDescent="0.25">
      <c r="B2097" t="s">
        <v>14</v>
      </c>
      <c r="C2097" s="1">
        <v>46167.999988425923</v>
      </c>
      <c r="D2097">
        <v>25.151072160807001</v>
      </c>
      <c r="E2097">
        <v>58216.7306341859</v>
      </c>
      <c r="F2097" s="1">
        <v>46167.60628472222</v>
      </c>
      <c r="G2097">
        <v>52.874705668676299</v>
      </c>
      <c r="H2097" t="s">
        <v>26</v>
      </c>
      <c r="I2097">
        <v>42243</v>
      </c>
      <c r="J2097" t="s">
        <v>16</v>
      </c>
      <c r="K2097">
        <v>314942.79197288898</v>
      </c>
      <c r="L2097" t="s">
        <v>17</v>
      </c>
      <c r="M2097">
        <v>0</v>
      </c>
      <c r="N2097">
        <v>0.184848588753214</v>
      </c>
    </row>
    <row r="2098" spans="2:14" x14ac:dyDescent="0.25">
      <c r="B2098" t="s">
        <v>14</v>
      </c>
      <c r="C2098" s="1">
        <v>46166.999988425923</v>
      </c>
      <c r="D2098">
        <v>25.151072160807001</v>
      </c>
      <c r="E2098">
        <v>43262.926424868303</v>
      </c>
      <c r="F2098" s="1">
        <v>46165.099259259259</v>
      </c>
      <c r="G2098">
        <v>52.874705668676299</v>
      </c>
      <c r="H2098" t="s">
        <v>26</v>
      </c>
      <c r="I2098">
        <v>42243</v>
      </c>
      <c r="J2098" t="s">
        <v>16</v>
      </c>
      <c r="K2098">
        <v>314942.79197288898</v>
      </c>
      <c r="L2098" t="s">
        <v>17</v>
      </c>
      <c r="M2098">
        <v>-14953.804209317501</v>
      </c>
      <c r="N2098">
        <v>0.13736757127812699</v>
      </c>
    </row>
    <row r="2099" spans="2:14" x14ac:dyDescent="0.25">
      <c r="B2099" t="s">
        <v>14</v>
      </c>
      <c r="C2099" s="1">
        <v>46165.999988425923</v>
      </c>
      <c r="D2099">
        <v>25.151072160807001</v>
      </c>
      <c r="E2099">
        <v>43262.926424868303</v>
      </c>
      <c r="F2099" s="1">
        <v>46165.099259259259</v>
      </c>
      <c r="G2099">
        <v>52.874705668676299</v>
      </c>
      <c r="H2099" t="s">
        <v>26</v>
      </c>
      <c r="I2099">
        <v>42243</v>
      </c>
      <c r="J2099" t="s">
        <v>16</v>
      </c>
      <c r="K2099">
        <v>314942.79197288898</v>
      </c>
      <c r="L2099" t="s">
        <v>17</v>
      </c>
      <c r="M2099">
        <v>0</v>
      </c>
      <c r="N2099">
        <v>0.13736757127812699</v>
      </c>
    </row>
    <row r="2100" spans="2:14" x14ac:dyDescent="0.25">
      <c r="B2100" t="s">
        <v>14</v>
      </c>
      <c r="C2100" s="1">
        <v>46164.999988425923</v>
      </c>
      <c r="D2100">
        <v>25.151072160807001</v>
      </c>
      <c r="E2100">
        <v>314942.79197288898</v>
      </c>
      <c r="F2100" s="1">
        <v>46164.099143518521</v>
      </c>
      <c r="G2100">
        <v>52.874705668676299</v>
      </c>
      <c r="H2100" t="s">
        <v>26</v>
      </c>
      <c r="I2100">
        <v>42243</v>
      </c>
      <c r="J2100" t="s">
        <v>16</v>
      </c>
      <c r="K2100">
        <v>314942.79197288898</v>
      </c>
      <c r="L2100" t="s">
        <v>17</v>
      </c>
      <c r="M2100">
        <v>271679.86554802099</v>
      </c>
      <c r="N2100">
        <v>1</v>
      </c>
    </row>
    <row r="2101" spans="2:14" x14ac:dyDescent="0.25">
      <c r="B2101" t="s">
        <v>14</v>
      </c>
      <c r="C2101" s="1">
        <v>46163.999988425923</v>
      </c>
      <c r="D2101">
        <v>25.151072160807001</v>
      </c>
      <c r="E2101">
        <v>64304.228180145503</v>
      </c>
      <c r="F2101" s="1">
        <v>46162.605624999997</v>
      </c>
      <c r="G2101">
        <v>52.874705668676299</v>
      </c>
      <c r="H2101" t="s">
        <v>26</v>
      </c>
      <c r="I2101">
        <v>42243</v>
      </c>
      <c r="J2101" t="s">
        <v>16</v>
      </c>
      <c r="K2101">
        <v>314942.79197288898</v>
      </c>
      <c r="L2101" t="s">
        <v>17</v>
      </c>
      <c r="M2101">
        <v>-250638.56379274299</v>
      </c>
      <c r="N2101">
        <v>0.20417748816324999</v>
      </c>
    </row>
    <row r="2102" spans="2:14" x14ac:dyDescent="0.25">
      <c r="B2102" t="s">
        <v>14</v>
      </c>
      <c r="C2102" s="1">
        <v>46162.999988425923</v>
      </c>
      <c r="D2102">
        <v>25.151072160807001</v>
      </c>
      <c r="E2102">
        <v>64304.228180145503</v>
      </c>
      <c r="F2102" s="1">
        <v>46162.605624999997</v>
      </c>
      <c r="G2102">
        <v>52.874705668676299</v>
      </c>
      <c r="H2102" t="s">
        <v>26</v>
      </c>
      <c r="I2102">
        <v>42243</v>
      </c>
      <c r="J2102" t="s">
        <v>16</v>
      </c>
      <c r="K2102">
        <v>314942.79197288898</v>
      </c>
      <c r="L2102" t="s">
        <v>17</v>
      </c>
      <c r="M2102">
        <v>0</v>
      </c>
      <c r="N2102">
        <v>0.20417748816324999</v>
      </c>
    </row>
    <row r="2103" spans="2:14" x14ac:dyDescent="0.25">
      <c r="B2103" t="s">
        <v>14</v>
      </c>
      <c r="C2103" s="1">
        <v>46161.999988425923</v>
      </c>
      <c r="D2103">
        <v>25.151072160807001</v>
      </c>
      <c r="E2103">
        <v>60740.042570038197</v>
      </c>
      <c r="F2103" s="1">
        <v>46161.605509259258</v>
      </c>
      <c r="G2103">
        <v>52.874705668676299</v>
      </c>
      <c r="H2103" t="s">
        <v>26</v>
      </c>
      <c r="I2103">
        <v>42243</v>
      </c>
      <c r="J2103" t="s">
        <v>16</v>
      </c>
      <c r="K2103">
        <v>314942.79197288898</v>
      </c>
      <c r="L2103" t="s">
        <v>17</v>
      </c>
      <c r="M2103">
        <v>-3564.1856101072899</v>
      </c>
      <c r="N2103">
        <v>0.19286055791131301</v>
      </c>
    </row>
    <row r="2104" spans="2:14" x14ac:dyDescent="0.25">
      <c r="B2104" t="s">
        <v>14</v>
      </c>
      <c r="C2104" s="1">
        <v>46160.999988425923</v>
      </c>
      <c r="D2104">
        <v>25.151072160807001</v>
      </c>
      <c r="E2104">
        <v>77448.563307624907</v>
      </c>
      <c r="F2104" s="1">
        <v>46158.099791666667</v>
      </c>
      <c r="G2104">
        <v>52.874705668676299</v>
      </c>
      <c r="H2104" t="s">
        <v>26</v>
      </c>
      <c r="I2104">
        <v>42243</v>
      </c>
      <c r="J2104" t="s">
        <v>16</v>
      </c>
      <c r="K2104">
        <v>314942.79197288898</v>
      </c>
      <c r="L2104" t="s">
        <v>17</v>
      </c>
      <c r="M2104">
        <v>16708.520737586601</v>
      </c>
      <c r="N2104">
        <v>0.245913115910561</v>
      </c>
    </row>
    <row r="2105" spans="2:14" x14ac:dyDescent="0.25">
      <c r="B2105" t="s">
        <v>14</v>
      </c>
      <c r="C2105" s="1">
        <v>46159.999988425923</v>
      </c>
      <c r="D2105">
        <v>25.151072160807001</v>
      </c>
      <c r="E2105">
        <v>77448.563307624907</v>
      </c>
      <c r="F2105" s="1">
        <v>46158.099791666667</v>
      </c>
      <c r="G2105">
        <v>52.874705668676299</v>
      </c>
      <c r="H2105" t="s">
        <v>26</v>
      </c>
      <c r="I2105">
        <v>42243</v>
      </c>
      <c r="J2105" t="s">
        <v>16</v>
      </c>
      <c r="K2105">
        <v>314942.79197288898</v>
      </c>
      <c r="L2105" t="s">
        <v>17</v>
      </c>
      <c r="M2105">
        <v>0</v>
      </c>
      <c r="N2105">
        <v>0.245913115910561</v>
      </c>
    </row>
    <row r="2106" spans="2:14" x14ac:dyDescent="0.25">
      <c r="B2106" t="s">
        <v>14</v>
      </c>
      <c r="C2106" s="1">
        <v>46158.999988425923</v>
      </c>
      <c r="D2106">
        <v>25.151072160807001</v>
      </c>
      <c r="E2106">
        <v>77448.563307624907</v>
      </c>
      <c r="F2106" s="1">
        <v>46158.099791666667</v>
      </c>
      <c r="G2106">
        <v>52.874705668676299</v>
      </c>
      <c r="H2106" t="s">
        <v>26</v>
      </c>
      <c r="I2106">
        <v>42243</v>
      </c>
      <c r="J2106" t="s">
        <v>16</v>
      </c>
      <c r="K2106">
        <v>314942.79197288898</v>
      </c>
      <c r="L2106" t="s">
        <v>17</v>
      </c>
      <c r="M2106">
        <v>0</v>
      </c>
      <c r="N2106">
        <v>0.245913115910561</v>
      </c>
    </row>
    <row r="2107" spans="2:14" x14ac:dyDescent="0.25">
      <c r="B2107" t="s">
        <v>14</v>
      </c>
      <c r="C2107" s="1">
        <v>46157.999988425923</v>
      </c>
      <c r="D2107">
        <v>25.151072160807001</v>
      </c>
      <c r="E2107">
        <v>59522.293388570499</v>
      </c>
      <c r="F2107" s="1">
        <v>46155.60628472222</v>
      </c>
      <c r="G2107">
        <v>52.874705668676299</v>
      </c>
      <c r="H2107" t="s">
        <v>26</v>
      </c>
      <c r="I2107">
        <v>42243</v>
      </c>
      <c r="J2107" t="s">
        <v>16</v>
      </c>
      <c r="K2107">
        <v>314942.79197288898</v>
      </c>
      <c r="L2107" t="s">
        <v>17</v>
      </c>
      <c r="M2107">
        <v>-17926.269919054299</v>
      </c>
      <c r="N2107">
        <v>0.188993985274933</v>
      </c>
    </row>
    <row r="2108" spans="2:14" x14ac:dyDescent="0.25">
      <c r="B2108" t="s">
        <v>14</v>
      </c>
      <c r="C2108" s="1">
        <v>46156.999988425923</v>
      </c>
      <c r="D2108">
        <v>25.151072160807001</v>
      </c>
      <c r="E2108">
        <v>59522.293388570499</v>
      </c>
      <c r="F2108" s="1">
        <v>46155.60628472222</v>
      </c>
      <c r="G2108">
        <v>52.874705668676299</v>
      </c>
      <c r="H2108" t="s">
        <v>26</v>
      </c>
      <c r="I2108">
        <v>42243</v>
      </c>
      <c r="J2108" t="s">
        <v>16</v>
      </c>
      <c r="K2108">
        <v>314942.79197288898</v>
      </c>
      <c r="L2108" t="s">
        <v>17</v>
      </c>
      <c r="M2108">
        <v>0</v>
      </c>
      <c r="N2108">
        <v>0.188993985274933</v>
      </c>
    </row>
    <row r="2109" spans="2:14" x14ac:dyDescent="0.25">
      <c r="B2109" t="s">
        <v>14</v>
      </c>
      <c r="C2109" s="1">
        <v>46155.999988425923</v>
      </c>
      <c r="D2109">
        <v>25.151072160807001</v>
      </c>
      <c r="E2109">
        <v>59522.293388570499</v>
      </c>
      <c r="F2109" s="1">
        <v>46155.60628472222</v>
      </c>
      <c r="G2109">
        <v>52.874705668676299</v>
      </c>
      <c r="H2109" t="s">
        <v>26</v>
      </c>
      <c r="I2109">
        <v>42243</v>
      </c>
      <c r="J2109" t="s">
        <v>16</v>
      </c>
      <c r="K2109">
        <v>314942.79197288898</v>
      </c>
      <c r="L2109" t="s">
        <v>17</v>
      </c>
      <c r="M2109">
        <v>0</v>
      </c>
      <c r="N2109">
        <v>0.188993985274933</v>
      </c>
    </row>
    <row r="2110" spans="2:14" x14ac:dyDescent="0.25">
      <c r="B2110" t="s">
        <v>14</v>
      </c>
      <c r="C2110" s="1">
        <v>46154.999988425923</v>
      </c>
      <c r="D2110">
        <v>25.151072160807001</v>
      </c>
      <c r="E2110">
        <v>46467.262218108597</v>
      </c>
      <c r="F2110" s="1">
        <v>46153.099247685182</v>
      </c>
      <c r="G2110">
        <v>52.874705668676299</v>
      </c>
      <c r="H2110" t="s">
        <v>26</v>
      </c>
      <c r="I2110">
        <v>42243</v>
      </c>
      <c r="J2110" t="s">
        <v>16</v>
      </c>
      <c r="K2110">
        <v>314942.79197288898</v>
      </c>
      <c r="L2110" t="s">
        <v>17</v>
      </c>
      <c r="M2110">
        <v>-13055.0311704619</v>
      </c>
      <c r="N2110">
        <v>0.14754191365049099</v>
      </c>
    </row>
    <row r="2111" spans="2:14" x14ac:dyDescent="0.25">
      <c r="B2111" t="s">
        <v>14</v>
      </c>
      <c r="C2111" s="1">
        <v>46153.999988425923</v>
      </c>
      <c r="D2111">
        <v>25.151072160807001</v>
      </c>
      <c r="E2111">
        <v>46467.262218108597</v>
      </c>
      <c r="F2111" s="1">
        <v>46153.099247685182</v>
      </c>
      <c r="G2111">
        <v>52.874705668676299</v>
      </c>
      <c r="H2111" t="s">
        <v>26</v>
      </c>
      <c r="I2111">
        <v>42243</v>
      </c>
      <c r="J2111" t="s">
        <v>16</v>
      </c>
      <c r="K2111">
        <v>314942.79197288898</v>
      </c>
      <c r="L2111" t="s">
        <v>17</v>
      </c>
      <c r="M2111">
        <v>0</v>
      </c>
      <c r="N2111">
        <v>0.14754191365049099</v>
      </c>
    </row>
    <row r="2112" spans="2:14" x14ac:dyDescent="0.25">
      <c r="B2112" t="s">
        <v>14</v>
      </c>
      <c r="C2112" s="1">
        <v>46152.999988425923</v>
      </c>
      <c r="D2112">
        <v>25.151072160807001</v>
      </c>
      <c r="E2112">
        <v>57819.354438396702</v>
      </c>
      <c r="F2112" s="1">
        <v>46150.605613425927</v>
      </c>
      <c r="G2112">
        <v>52.874705668676299</v>
      </c>
      <c r="H2112" t="s">
        <v>26</v>
      </c>
      <c r="I2112">
        <v>42243</v>
      </c>
      <c r="J2112" t="s">
        <v>16</v>
      </c>
      <c r="K2112">
        <v>314942.79197288898</v>
      </c>
      <c r="L2112" t="s">
        <v>17</v>
      </c>
      <c r="M2112">
        <v>11352.092220288099</v>
      </c>
      <c r="N2112">
        <v>0.183586847872276</v>
      </c>
    </row>
    <row r="2113" spans="2:14" x14ac:dyDescent="0.25">
      <c r="B2113" t="s">
        <v>14</v>
      </c>
      <c r="C2113" s="1">
        <v>46151.999988425923</v>
      </c>
      <c r="D2113">
        <v>25.151072160807001</v>
      </c>
      <c r="E2113">
        <v>57819.354438396702</v>
      </c>
      <c r="F2113" s="1">
        <v>46150.605613425927</v>
      </c>
      <c r="G2113">
        <v>52.874705668676299</v>
      </c>
      <c r="H2113" t="s">
        <v>26</v>
      </c>
      <c r="I2113">
        <v>42243</v>
      </c>
      <c r="J2113" t="s">
        <v>16</v>
      </c>
      <c r="K2113">
        <v>314942.79197288898</v>
      </c>
      <c r="L2113" t="s">
        <v>17</v>
      </c>
      <c r="M2113">
        <v>0</v>
      </c>
      <c r="N2113">
        <v>0.183586847872276</v>
      </c>
    </row>
    <row r="2114" spans="2:14" x14ac:dyDescent="0.25">
      <c r="B2114" t="s">
        <v>14</v>
      </c>
      <c r="C2114" s="1">
        <v>46150.999988425923</v>
      </c>
      <c r="D2114">
        <v>25.151072160807001</v>
      </c>
      <c r="E2114">
        <v>57819.354438396702</v>
      </c>
      <c r="F2114" s="1">
        <v>46150.605613425927</v>
      </c>
      <c r="G2114">
        <v>52.874705668676299</v>
      </c>
      <c r="H2114" t="s">
        <v>26</v>
      </c>
      <c r="I2114">
        <v>42243</v>
      </c>
      <c r="J2114" t="s">
        <v>16</v>
      </c>
      <c r="K2114">
        <v>314942.79197288898</v>
      </c>
      <c r="L2114" t="s">
        <v>17</v>
      </c>
      <c r="M2114">
        <v>0</v>
      </c>
      <c r="N2114">
        <v>0.183586847872276</v>
      </c>
    </row>
    <row r="2115" spans="2:14" x14ac:dyDescent="0.25">
      <c r="B2115" t="s">
        <v>14</v>
      </c>
      <c r="C2115" s="1">
        <v>46149.999988425923</v>
      </c>
      <c r="D2115">
        <v>25.151072160807001</v>
      </c>
      <c r="E2115">
        <v>63103.555485847603</v>
      </c>
      <c r="F2115" s="1">
        <v>46149.605497685188</v>
      </c>
      <c r="G2115">
        <v>52.874705668676299</v>
      </c>
      <c r="H2115" t="s">
        <v>26</v>
      </c>
      <c r="I2115">
        <v>42243</v>
      </c>
      <c r="J2115" t="s">
        <v>16</v>
      </c>
      <c r="K2115">
        <v>314942.79197288898</v>
      </c>
      <c r="L2115" t="s">
        <v>17</v>
      </c>
      <c r="M2115">
        <v>5284.2010474508497</v>
      </c>
      <c r="N2115">
        <v>0.200365136444461</v>
      </c>
    </row>
    <row r="2116" spans="2:14" x14ac:dyDescent="0.25">
      <c r="B2116" t="s">
        <v>14</v>
      </c>
      <c r="C2116" s="1">
        <v>46148.999988425923</v>
      </c>
      <c r="D2116">
        <v>25.151072160807001</v>
      </c>
      <c r="E2116">
        <v>42017.3571738342</v>
      </c>
      <c r="F2116" s="1">
        <v>46146.099803240744</v>
      </c>
      <c r="G2116">
        <v>52.874705668676299</v>
      </c>
      <c r="H2116" t="s">
        <v>26</v>
      </c>
      <c r="I2116">
        <v>42243</v>
      </c>
      <c r="J2116" t="s">
        <v>16</v>
      </c>
      <c r="K2116">
        <v>314942.79197288898</v>
      </c>
      <c r="L2116" t="s">
        <v>17</v>
      </c>
      <c r="M2116">
        <v>-21086.198312013301</v>
      </c>
      <c r="N2116">
        <v>0.13341266491805001</v>
      </c>
    </row>
    <row r="2117" spans="2:14" x14ac:dyDescent="0.25">
      <c r="B2117" t="s">
        <v>14</v>
      </c>
      <c r="C2117" s="1">
        <v>46147.999988425923</v>
      </c>
      <c r="D2117">
        <v>25.151072160807001</v>
      </c>
      <c r="E2117">
        <v>42017.3571738342</v>
      </c>
      <c r="F2117" s="1">
        <v>46146.099803240744</v>
      </c>
      <c r="G2117">
        <v>52.874705668676299</v>
      </c>
      <c r="H2117" t="s">
        <v>26</v>
      </c>
      <c r="I2117">
        <v>42243</v>
      </c>
      <c r="J2117" t="s">
        <v>16</v>
      </c>
      <c r="K2117">
        <v>314942.79197288898</v>
      </c>
      <c r="L2117" t="s">
        <v>17</v>
      </c>
      <c r="M2117">
        <v>0</v>
      </c>
      <c r="N2117">
        <v>0.13341266491805001</v>
      </c>
    </row>
    <row r="2118" spans="2:14" x14ac:dyDescent="0.25">
      <c r="B2118" t="s">
        <v>14</v>
      </c>
      <c r="C2118" s="1">
        <v>46146.999988425923</v>
      </c>
      <c r="D2118">
        <v>25.151072160807001</v>
      </c>
      <c r="E2118">
        <v>42017.3571738342</v>
      </c>
      <c r="F2118" s="1">
        <v>46146.099803240744</v>
      </c>
      <c r="G2118">
        <v>52.874705668676299</v>
      </c>
      <c r="H2118" t="s">
        <v>26</v>
      </c>
      <c r="I2118">
        <v>42243</v>
      </c>
      <c r="J2118" t="s">
        <v>16</v>
      </c>
      <c r="K2118">
        <v>314942.79197288898</v>
      </c>
      <c r="L2118" t="s">
        <v>17</v>
      </c>
      <c r="M2118">
        <v>0</v>
      </c>
      <c r="N2118">
        <v>0.13341266491805001</v>
      </c>
    </row>
    <row r="2119" spans="2:14" x14ac:dyDescent="0.25">
      <c r="B2119" t="s">
        <v>14</v>
      </c>
      <c r="C2119" s="1">
        <v>46145.999988425923</v>
      </c>
      <c r="D2119">
        <v>25.151072160807001</v>
      </c>
      <c r="E2119">
        <v>59907.0186695999</v>
      </c>
      <c r="F2119" s="1">
        <v>46143.606296296297</v>
      </c>
      <c r="G2119">
        <v>52.874705668676299</v>
      </c>
      <c r="H2119" t="s">
        <v>26</v>
      </c>
      <c r="I2119">
        <v>42243</v>
      </c>
      <c r="J2119" t="s">
        <v>16</v>
      </c>
      <c r="K2119">
        <v>314942.79197288898</v>
      </c>
      <c r="L2119" t="s">
        <v>17</v>
      </c>
      <c r="M2119">
        <v>17889.661495765598</v>
      </c>
      <c r="N2119">
        <v>0.190215557226522</v>
      </c>
    </row>
    <row r="2120" spans="2:14" x14ac:dyDescent="0.25">
      <c r="B2120" t="s">
        <v>14</v>
      </c>
      <c r="C2120" s="1">
        <v>46144.999988425923</v>
      </c>
      <c r="D2120">
        <v>25.151072160807001</v>
      </c>
      <c r="E2120">
        <v>59907.0186695999</v>
      </c>
      <c r="F2120" s="1">
        <v>46143.606296296297</v>
      </c>
      <c r="G2120">
        <v>52.874705668676299</v>
      </c>
      <c r="H2120" t="s">
        <v>26</v>
      </c>
      <c r="I2120">
        <v>42243</v>
      </c>
      <c r="J2120" t="s">
        <v>16</v>
      </c>
      <c r="K2120">
        <v>314942.79197288898</v>
      </c>
      <c r="L2120" t="s">
        <v>17</v>
      </c>
      <c r="M2120">
        <v>0</v>
      </c>
      <c r="N2120">
        <v>0.190215557226522</v>
      </c>
    </row>
    <row r="2121" spans="2:14" x14ac:dyDescent="0.25">
      <c r="B2121" t="s">
        <v>14</v>
      </c>
      <c r="C2121" s="1">
        <v>46143.999988425923</v>
      </c>
      <c r="D2121">
        <v>25.151072160807001</v>
      </c>
      <c r="E2121">
        <v>59907.0186695999</v>
      </c>
      <c r="F2121" s="1">
        <v>46143.606296296297</v>
      </c>
      <c r="G2121">
        <v>52.874705668676299</v>
      </c>
      <c r="H2121" t="s">
        <v>26</v>
      </c>
      <c r="I2121">
        <v>42243</v>
      </c>
      <c r="J2121" t="s">
        <v>16</v>
      </c>
      <c r="K2121">
        <v>314942.79197288898</v>
      </c>
      <c r="L2121" t="s">
        <v>17</v>
      </c>
      <c r="M2121">
        <v>0</v>
      </c>
      <c r="N2121">
        <v>0.190215557226522</v>
      </c>
    </row>
    <row r="2122" spans="2:14" x14ac:dyDescent="0.25">
      <c r="B2122" t="s">
        <v>14</v>
      </c>
      <c r="C2122" s="1">
        <v>46142.999988425923</v>
      </c>
      <c r="D2122">
        <v>25.151072160807001</v>
      </c>
      <c r="E2122">
        <v>51048.407027390902</v>
      </c>
      <c r="F2122" s="1">
        <v>46140.099120370367</v>
      </c>
      <c r="G2122">
        <v>52.874705668676299</v>
      </c>
      <c r="H2122" t="s">
        <v>26</v>
      </c>
      <c r="I2122">
        <v>42243</v>
      </c>
      <c r="J2122" t="s">
        <v>16</v>
      </c>
      <c r="K2122">
        <v>314942.79197288898</v>
      </c>
      <c r="L2122" t="s">
        <v>17</v>
      </c>
      <c r="M2122">
        <v>-8858.6116422090508</v>
      </c>
      <c r="N2122">
        <v>0.16208787223739701</v>
      </c>
    </row>
    <row r="2123" spans="2:14" x14ac:dyDescent="0.25">
      <c r="B2123" t="s">
        <v>14</v>
      </c>
      <c r="C2123" s="1">
        <v>46141.999988425923</v>
      </c>
      <c r="D2123">
        <v>25.151072160807001</v>
      </c>
      <c r="E2123">
        <v>51048.407027390902</v>
      </c>
      <c r="F2123" s="1">
        <v>46140.099120370367</v>
      </c>
      <c r="G2123">
        <v>52.874705668676299</v>
      </c>
      <c r="H2123" t="s">
        <v>26</v>
      </c>
      <c r="I2123">
        <v>42243</v>
      </c>
      <c r="J2123" t="s">
        <v>16</v>
      </c>
      <c r="K2123">
        <v>314942.79197288898</v>
      </c>
      <c r="L2123" t="s">
        <v>17</v>
      </c>
      <c r="M2123">
        <v>0</v>
      </c>
      <c r="N2123">
        <v>0.16208787223739701</v>
      </c>
    </row>
    <row r="2124" spans="2:14" x14ac:dyDescent="0.25">
      <c r="B2124" t="s">
        <v>14</v>
      </c>
      <c r="C2124" s="1">
        <v>46140.999988425923</v>
      </c>
      <c r="D2124">
        <v>25.151072160807001</v>
      </c>
      <c r="E2124">
        <v>51048.407027390902</v>
      </c>
      <c r="F2124" s="1">
        <v>46140.099120370367</v>
      </c>
      <c r="G2124">
        <v>52.874705668676299</v>
      </c>
      <c r="H2124" t="s">
        <v>26</v>
      </c>
      <c r="I2124">
        <v>42243</v>
      </c>
      <c r="J2124" t="s">
        <v>16</v>
      </c>
      <c r="K2124">
        <v>314942.79197288898</v>
      </c>
      <c r="L2124" t="s">
        <v>17</v>
      </c>
      <c r="M2124">
        <v>0</v>
      </c>
      <c r="N2124">
        <v>0.16208787223739701</v>
      </c>
    </row>
    <row r="2125" spans="2:14" x14ac:dyDescent="0.25">
      <c r="B2125" t="s">
        <v>14</v>
      </c>
      <c r="C2125" s="1">
        <v>46139.999988425923</v>
      </c>
      <c r="D2125">
        <v>25.151072160807001</v>
      </c>
      <c r="E2125">
        <v>63747.234460109401</v>
      </c>
      <c r="F2125" s="1">
        <v>46137.605486111112</v>
      </c>
      <c r="G2125">
        <v>52.874705668676299</v>
      </c>
      <c r="H2125" t="s">
        <v>26</v>
      </c>
      <c r="I2125">
        <v>42243</v>
      </c>
      <c r="J2125" t="s">
        <v>16</v>
      </c>
      <c r="K2125">
        <v>314942.79197288898</v>
      </c>
      <c r="L2125" t="s">
        <v>17</v>
      </c>
      <c r="M2125">
        <v>12698.827432718501</v>
      </c>
      <c r="N2125">
        <v>0.20240893293914999</v>
      </c>
    </row>
    <row r="2126" spans="2:14" x14ac:dyDescent="0.25">
      <c r="B2126" t="s">
        <v>14</v>
      </c>
      <c r="C2126" s="1">
        <v>46138.999988425923</v>
      </c>
      <c r="D2126">
        <v>25.151072160807001</v>
      </c>
      <c r="E2126">
        <v>63747.234460109401</v>
      </c>
      <c r="F2126" s="1">
        <v>46137.605486111112</v>
      </c>
      <c r="G2126">
        <v>52.874705668676299</v>
      </c>
      <c r="H2126" t="s">
        <v>26</v>
      </c>
      <c r="I2126">
        <v>42243</v>
      </c>
      <c r="J2126" t="s">
        <v>16</v>
      </c>
      <c r="K2126">
        <v>314942.79197288898</v>
      </c>
      <c r="L2126" t="s">
        <v>17</v>
      </c>
      <c r="M2126">
        <v>0</v>
      </c>
      <c r="N2126">
        <v>0.20240893293914999</v>
      </c>
    </row>
    <row r="2127" spans="2:14" x14ac:dyDescent="0.25">
      <c r="B2127" t="s">
        <v>14</v>
      </c>
      <c r="C2127" s="1">
        <v>46137.999988425923</v>
      </c>
      <c r="D2127">
        <v>25.151072160807001</v>
      </c>
      <c r="E2127">
        <v>63747.234460109401</v>
      </c>
      <c r="F2127" s="1">
        <v>46137.605486111112</v>
      </c>
      <c r="G2127">
        <v>52.874705668676299</v>
      </c>
      <c r="H2127" t="s">
        <v>26</v>
      </c>
      <c r="I2127">
        <v>42243</v>
      </c>
      <c r="J2127" t="s">
        <v>16</v>
      </c>
      <c r="K2127">
        <v>314942.79197288898</v>
      </c>
      <c r="L2127" t="s">
        <v>17</v>
      </c>
      <c r="M2127">
        <v>0</v>
      </c>
      <c r="N2127">
        <v>0.20240893293914999</v>
      </c>
    </row>
    <row r="2128" spans="2:14" x14ac:dyDescent="0.25">
      <c r="B2128" t="s">
        <v>14</v>
      </c>
      <c r="C2128" s="1">
        <v>46136.999988425923</v>
      </c>
      <c r="D2128">
        <v>25.151072160807001</v>
      </c>
      <c r="E2128">
        <v>64089.440817273397</v>
      </c>
      <c r="F2128" s="1">
        <v>46134.099803240744</v>
      </c>
      <c r="G2128">
        <v>52.874705668676299</v>
      </c>
      <c r="H2128" t="s">
        <v>26</v>
      </c>
      <c r="I2128">
        <v>42243</v>
      </c>
      <c r="J2128" t="s">
        <v>16</v>
      </c>
      <c r="K2128">
        <v>314942.79197288898</v>
      </c>
      <c r="L2128" t="s">
        <v>17</v>
      </c>
      <c r="M2128">
        <v>342.20635716395901</v>
      </c>
      <c r="N2128">
        <v>0.20349549966138</v>
      </c>
    </row>
    <row r="2129" spans="2:14" x14ac:dyDescent="0.25">
      <c r="B2129" t="s">
        <v>14</v>
      </c>
      <c r="C2129" s="1">
        <v>46135.999988425923</v>
      </c>
      <c r="D2129">
        <v>25.151072160807001</v>
      </c>
      <c r="E2129">
        <v>64089.440817273397</v>
      </c>
      <c r="F2129" s="1">
        <v>46134.099803240744</v>
      </c>
      <c r="G2129">
        <v>52.874705668676299</v>
      </c>
      <c r="H2129" t="s">
        <v>26</v>
      </c>
      <c r="I2129">
        <v>42243</v>
      </c>
      <c r="J2129" t="s">
        <v>16</v>
      </c>
      <c r="K2129">
        <v>314942.79197288898</v>
      </c>
      <c r="L2129" t="s">
        <v>17</v>
      </c>
      <c r="M2129">
        <v>0</v>
      </c>
      <c r="N2129">
        <v>0.20349549966138</v>
      </c>
    </row>
    <row r="2130" spans="2:14" x14ac:dyDescent="0.25">
      <c r="B2130" t="s">
        <v>14</v>
      </c>
      <c r="C2130" s="1">
        <v>46134.999988425923</v>
      </c>
      <c r="D2130">
        <v>25.151072160807001</v>
      </c>
      <c r="E2130">
        <v>64089.440817273397</v>
      </c>
      <c r="F2130" s="1">
        <v>46134.099803240744</v>
      </c>
      <c r="G2130">
        <v>52.874705668676299</v>
      </c>
      <c r="H2130" t="s">
        <v>26</v>
      </c>
      <c r="I2130">
        <v>42243</v>
      </c>
      <c r="J2130" t="s">
        <v>16</v>
      </c>
      <c r="K2130">
        <v>314942.79197288898</v>
      </c>
      <c r="L2130" t="s">
        <v>17</v>
      </c>
      <c r="M2130">
        <v>0</v>
      </c>
      <c r="N2130">
        <v>0.20349549966138</v>
      </c>
    </row>
    <row r="2131" spans="2:14" x14ac:dyDescent="0.25">
      <c r="B2131" t="s">
        <v>14</v>
      </c>
      <c r="C2131" s="1">
        <v>46133.999988425923</v>
      </c>
      <c r="D2131">
        <v>25.151072160807001</v>
      </c>
      <c r="E2131">
        <v>61927.712111397399</v>
      </c>
      <c r="F2131" s="1">
        <v>46131.606296296297</v>
      </c>
      <c r="G2131">
        <v>52.874705668676299</v>
      </c>
      <c r="H2131" t="s">
        <v>26</v>
      </c>
      <c r="I2131">
        <v>42243</v>
      </c>
      <c r="J2131" t="s">
        <v>16</v>
      </c>
      <c r="K2131">
        <v>314942.79197288898</v>
      </c>
      <c r="L2131" t="s">
        <v>17</v>
      </c>
      <c r="M2131">
        <v>-2161.7287058760398</v>
      </c>
      <c r="N2131">
        <v>0.19663162228119199</v>
      </c>
    </row>
    <row r="2132" spans="2:14" x14ac:dyDescent="0.25">
      <c r="B2132" t="s">
        <v>14</v>
      </c>
      <c r="C2132" s="1">
        <v>46132.999988425923</v>
      </c>
      <c r="D2132">
        <v>25.151072160807001</v>
      </c>
      <c r="E2132">
        <v>61927.712111397399</v>
      </c>
      <c r="F2132" s="1">
        <v>46131.606296296297</v>
      </c>
      <c r="G2132">
        <v>52.874705668676299</v>
      </c>
      <c r="H2132" t="s">
        <v>26</v>
      </c>
      <c r="I2132">
        <v>42243</v>
      </c>
      <c r="J2132" t="s">
        <v>16</v>
      </c>
      <c r="K2132">
        <v>314942.79197288898</v>
      </c>
      <c r="L2132" t="s">
        <v>17</v>
      </c>
      <c r="M2132">
        <v>0</v>
      </c>
      <c r="N2132">
        <v>0.19663162228119199</v>
      </c>
    </row>
    <row r="2133" spans="2:14" x14ac:dyDescent="0.25">
      <c r="B2133" t="s">
        <v>14</v>
      </c>
      <c r="C2133" s="1">
        <v>46131.999988425923</v>
      </c>
      <c r="D2133">
        <v>25.151072160807001</v>
      </c>
      <c r="E2133">
        <v>61927.712111397399</v>
      </c>
      <c r="F2133" s="1">
        <v>46131.606296296297</v>
      </c>
      <c r="G2133">
        <v>52.874705668676299</v>
      </c>
      <c r="H2133" t="s">
        <v>26</v>
      </c>
      <c r="I2133">
        <v>42243</v>
      </c>
      <c r="J2133" t="s">
        <v>16</v>
      </c>
      <c r="K2133">
        <v>314942.79197288898</v>
      </c>
      <c r="L2133" t="s">
        <v>17</v>
      </c>
      <c r="M2133">
        <v>0</v>
      </c>
      <c r="N2133">
        <v>0.19663162228119199</v>
      </c>
    </row>
    <row r="2134" spans="2:14" x14ac:dyDescent="0.25">
      <c r="B2134" t="s">
        <v>14</v>
      </c>
      <c r="C2134" s="1">
        <v>46130.999988425923</v>
      </c>
      <c r="D2134">
        <v>25.151072160807001</v>
      </c>
      <c r="E2134">
        <v>62892.607437682302</v>
      </c>
      <c r="F2134" s="1">
        <v>46128.099108796298</v>
      </c>
      <c r="G2134">
        <v>52.874705668676299</v>
      </c>
      <c r="H2134" t="s">
        <v>26</v>
      </c>
      <c r="I2134">
        <v>42243</v>
      </c>
      <c r="J2134" t="s">
        <v>16</v>
      </c>
      <c r="K2134">
        <v>314942.79197288898</v>
      </c>
      <c r="L2134" t="s">
        <v>17</v>
      </c>
      <c r="M2134">
        <v>964.89532628492395</v>
      </c>
      <c r="N2134">
        <v>0.199695338457202</v>
      </c>
    </row>
    <row r="2135" spans="2:14" x14ac:dyDescent="0.25">
      <c r="B2135" t="s">
        <v>14</v>
      </c>
      <c r="C2135" s="1">
        <v>46129.999988425923</v>
      </c>
      <c r="D2135">
        <v>25.151072160807001</v>
      </c>
      <c r="E2135">
        <v>62892.607437682302</v>
      </c>
      <c r="F2135" s="1">
        <v>46128.099108796298</v>
      </c>
      <c r="G2135">
        <v>52.874705668676299</v>
      </c>
      <c r="H2135" t="s">
        <v>26</v>
      </c>
      <c r="I2135">
        <v>42243</v>
      </c>
      <c r="J2135" t="s">
        <v>16</v>
      </c>
      <c r="K2135">
        <v>314942.79197288898</v>
      </c>
      <c r="L2135" t="s">
        <v>17</v>
      </c>
      <c r="M2135">
        <v>0</v>
      </c>
      <c r="N2135">
        <v>0.199695338457202</v>
      </c>
    </row>
    <row r="2136" spans="2:14" x14ac:dyDescent="0.25">
      <c r="B2136" t="s">
        <v>14</v>
      </c>
      <c r="C2136" s="1">
        <v>46128.999988425923</v>
      </c>
      <c r="D2136">
        <v>25.151072160807001</v>
      </c>
      <c r="E2136">
        <v>62892.607437682302</v>
      </c>
      <c r="F2136" s="1">
        <v>46128.099108796298</v>
      </c>
      <c r="G2136">
        <v>52.874705668676299</v>
      </c>
      <c r="H2136" t="s">
        <v>26</v>
      </c>
      <c r="I2136">
        <v>42243</v>
      </c>
      <c r="J2136" t="s">
        <v>16</v>
      </c>
      <c r="K2136">
        <v>314942.79197288898</v>
      </c>
      <c r="L2136" t="s">
        <v>17</v>
      </c>
      <c r="M2136">
        <v>0</v>
      </c>
      <c r="N2136">
        <v>0.199695338457202</v>
      </c>
    </row>
    <row r="2137" spans="2:14" x14ac:dyDescent="0.25">
      <c r="B2137" t="s">
        <v>14</v>
      </c>
      <c r="C2137" s="1">
        <v>46127.999988425923</v>
      </c>
      <c r="D2137">
        <v>25.151072160807001</v>
      </c>
      <c r="E2137">
        <v>67923.837784187694</v>
      </c>
      <c r="F2137" s="1">
        <v>46125.605486111112</v>
      </c>
      <c r="G2137">
        <v>52.874705668676299</v>
      </c>
      <c r="H2137" t="s">
        <v>26</v>
      </c>
      <c r="I2137">
        <v>42243</v>
      </c>
      <c r="J2137" t="s">
        <v>16</v>
      </c>
      <c r="K2137">
        <v>314942.79197288898</v>
      </c>
      <c r="L2137" t="s">
        <v>17</v>
      </c>
      <c r="M2137">
        <v>5031.2303465054401</v>
      </c>
      <c r="N2137">
        <v>0.215670399562707</v>
      </c>
    </row>
    <row r="2138" spans="2:14" x14ac:dyDescent="0.25">
      <c r="B2138" t="s">
        <v>14</v>
      </c>
      <c r="C2138" s="1">
        <v>46126.999988425923</v>
      </c>
      <c r="D2138">
        <v>25.151072160807001</v>
      </c>
      <c r="E2138">
        <v>67923.837784187694</v>
      </c>
      <c r="F2138" s="1">
        <v>46125.605486111112</v>
      </c>
      <c r="G2138">
        <v>52.874705668676299</v>
      </c>
      <c r="H2138" t="s">
        <v>26</v>
      </c>
      <c r="I2138">
        <v>42243</v>
      </c>
      <c r="J2138" t="s">
        <v>16</v>
      </c>
      <c r="K2138">
        <v>314942.79197288898</v>
      </c>
      <c r="L2138" t="s">
        <v>17</v>
      </c>
      <c r="M2138">
        <v>0</v>
      </c>
      <c r="N2138">
        <v>0.215670399562707</v>
      </c>
    </row>
    <row r="2139" spans="2:14" x14ac:dyDescent="0.25">
      <c r="B2139" t="s">
        <v>14</v>
      </c>
      <c r="C2139" s="1">
        <v>46125.999988425923</v>
      </c>
      <c r="D2139">
        <v>25.151072160807001</v>
      </c>
      <c r="E2139">
        <v>67923.837784187694</v>
      </c>
      <c r="F2139" s="1">
        <v>46125.605486111112</v>
      </c>
      <c r="G2139">
        <v>52.874705668676299</v>
      </c>
      <c r="H2139" t="s">
        <v>26</v>
      </c>
      <c r="I2139">
        <v>42243</v>
      </c>
      <c r="J2139" t="s">
        <v>16</v>
      </c>
      <c r="K2139">
        <v>314942.79197288898</v>
      </c>
      <c r="L2139" t="s">
        <v>17</v>
      </c>
      <c r="M2139">
        <v>0</v>
      </c>
      <c r="N2139">
        <v>0.215670399562707</v>
      </c>
    </row>
    <row r="2140" spans="2:14" x14ac:dyDescent="0.25">
      <c r="B2140" t="s">
        <v>14</v>
      </c>
      <c r="C2140" s="1">
        <v>46124.999988425923</v>
      </c>
      <c r="D2140">
        <v>25.151072160807001</v>
      </c>
      <c r="E2140">
        <v>61654.231206592398</v>
      </c>
      <c r="F2140" s="1">
        <v>46122.099803240744</v>
      </c>
      <c r="G2140">
        <v>52.874705668676299</v>
      </c>
      <c r="H2140" t="s">
        <v>26</v>
      </c>
      <c r="I2140">
        <v>42243</v>
      </c>
      <c r="J2140" t="s">
        <v>16</v>
      </c>
      <c r="K2140">
        <v>314942.79197288898</v>
      </c>
      <c r="L2140" t="s">
        <v>17</v>
      </c>
      <c r="M2140">
        <v>-6269.6065775953402</v>
      </c>
      <c r="N2140">
        <v>0.19576327122895201</v>
      </c>
    </row>
    <row r="2141" spans="2:14" x14ac:dyDescent="0.25">
      <c r="B2141" t="s">
        <v>14</v>
      </c>
      <c r="C2141" s="1">
        <v>46123.999988425923</v>
      </c>
      <c r="D2141">
        <v>25.151072160807001</v>
      </c>
      <c r="E2141">
        <v>61654.231206592398</v>
      </c>
      <c r="F2141" s="1">
        <v>46122.099803240744</v>
      </c>
      <c r="G2141">
        <v>52.874705668676299</v>
      </c>
      <c r="H2141" t="s">
        <v>26</v>
      </c>
      <c r="I2141">
        <v>42243</v>
      </c>
      <c r="J2141" t="s">
        <v>16</v>
      </c>
      <c r="K2141">
        <v>314942.79197288898</v>
      </c>
      <c r="L2141" t="s">
        <v>17</v>
      </c>
      <c r="M2141">
        <v>0</v>
      </c>
      <c r="N2141">
        <v>0.19576327122895201</v>
      </c>
    </row>
    <row r="2142" spans="2:14" x14ac:dyDescent="0.25">
      <c r="B2142" t="s">
        <v>14</v>
      </c>
      <c r="C2142" s="1">
        <v>46122.999988425923</v>
      </c>
      <c r="D2142">
        <v>25.151072160807001</v>
      </c>
      <c r="E2142">
        <v>61654.231206592398</v>
      </c>
      <c r="F2142" s="1">
        <v>46122.099803240744</v>
      </c>
      <c r="G2142">
        <v>52.874705668676299</v>
      </c>
      <c r="H2142" t="s">
        <v>26</v>
      </c>
      <c r="I2142">
        <v>42243</v>
      </c>
      <c r="J2142" t="s">
        <v>16</v>
      </c>
      <c r="K2142">
        <v>314942.79197288898</v>
      </c>
      <c r="L2142" t="s">
        <v>17</v>
      </c>
      <c r="M2142">
        <v>0</v>
      </c>
      <c r="N2142">
        <v>0.19576327122895201</v>
      </c>
    </row>
    <row r="2143" spans="2:14" x14ac:dyDescent="0.25">
      <c r="B2143" t="s">
        <v>14</v>
      </c>
      <c r="C2143" s="1">
        <v>46121.999988425923</v>
      </c>
      <c r="D2143">
        <v>25.151072160807001</v>
      </c>
      <c r="E2143">
        <v>61676.974753741699</v>
      </c>
      <c r="F2143" s="1">
        <v>46119.606296296297</v>
      </c>
      <c r="G2143">
        <v>52.874705668676299</v>
      </c>
      <c r="H2143" t="s">
        <v>26</v>
      </c>
      <c r="I2143">
        <v>42243</v>
      </c>
      <c r="J2143" t="s">
        <v>16</v>
      </c>
      <c r="K2143">
        <v>314942.79197288898</v>
      </c>
      <c r="L2143" t="s">
        <v>17</v>
      </c>
      <c r="M2143">
        <v>22.743547149351699</v>
      </c>
      <c r="N2143">
        <v>0.19583548608107501</v>
      </c>
    </row>
    <row r="2144" spans="2:14" x14ac:dyDescent="0.25">
      <c r="B2144" t="s">
        <v>14</v>
      </c>
      <c r="C2144" s="1">
        <v>46120.999988425923</v>
      </c>
      <c r="D2144">
        <v>25.151072160807001</v>
      </c>
      <c r="E2144">
        <v>61676.974753741699</v>
      </c>
      <c r="F2144" s="1">
        <v>46119.606296296297</v>
      </c>
      <c r="G2144">
        <v>52.874705668676299</v>
      </c>
      <c r="H2144" t="s">
        <v>26</v>
      </c>
      <c r="I2144">
        <v>42243</v>
      </c>
      <c r="J2144" t="s">
        <v>16</v>
      </c>
      <c r="K2144">
        <v>314942.79197288898</v>
      </c>
      <c r="L2144" t="s">
        <v>17</v>
      </c>
      <c r="M2144">
        <v>0</v>
      </c>
      <c r="N2144">
        <v>0.19583548608107501</v>
      </c>
    </row>
    <row r="2145" spans="2:14" x14ac:dyDescent="0.25">
      <c r="B2145" t="s">
        <v>14</v>
      </c>
      <c r="C2145" s="1">
        <v>46119.999988425923</v>
      </c>
      <c r="D2145">
        <v>25.151072160807001</v>
      </c>
      <c r="E2145">
        <v>61676.974753741699</v>
      </c>
      <c r="F2145" s="1">
        <v>46119.606296296297</v>
      </c>
      <c r="G2145">
        <v>52.874705668676299</v>
      </c>
      <c r="H2145" t="s">
        <v>26</v>
      </c>
      <c r="I2145">
        <v>42243</v>
      </c>
      <c r="J2145" t="s">
        <v>16</v>
      </c>
      <c r="K2145">
        <v>314942.79197288898</v>
      </c>
      <c r="L2145" t="s">
        <v>17</v>
      </c>
      <c r="M2145">
        <v>0</v>
      </c>
      <c r="N2145">
        <v>0.19583548608107501</v>
      </c>
    </row>
    <row r="2146" spans="2:14" x14ac:dyDescent="0.25">
      <c r="B2146" t="s">
        <v>14</v>
      </c>
      <c r="C2146" s="1">
        <v>46118.999988425923</v>
      </c>
      <c r="D2146">
        <v>25.151072160807001</v>
      </c>
      <c r="E2146">
        <v>65872.642587135095</v>
      </c>
      <c r="F2146" s="1">
        <v>46116.099108796298</v>
      </c>
      <c r="G2146">
        <v>52.874705668676299</v>
      </c>
      <c r="H2146" t="s">
        <v>26</v>
      </c>
      <c r="I2146">
        <v>42243</v>
      </c>
      <c r="J2146" t="s">
        <v>16</v>
      </c>
      <c r="K2146">
        <v>314942.79197288898</v>
      </c>
      <c r="L2146" t="s">
        <v>17</v>
      </c>
      <c r="M2146">
        <v>4195.6678333933496</v>
      </c>
      <c r="N2146">
        <v>0.209157485950037</v>
      </c>
    </row>
    <row r="2147" spans="2:14" x14ac:dyDescent="0.25">
      <c r="B2147" t="s">
        <v>14</v>
      </c>
      <c r="C2147" s="1">
        <v>46117.999988425923</v>
      </c>
      <c r="D2147">
        <v>25.151072160807001</v>
      </c>
      <c r="E2147">
        <v>65872.642587135095</v>
      </c>
      <c r="F2147" s="1">
        <v>46116.099108796298</v>
      </c>
      <c r="G2147">
        <v>52.874705668676299</v>
      </c>
      <c r="H2147" t="s">
        <v>26</v>
      </c>
      <c r="I2147">
        <v>42243</v>
      </c>
      <c r="J2147" t="s">
        <v>16</v>
      </c>
      <c r="K2147">
        <v>314942.79197288898</v>
      </c>
      <c r="L2147" t="s">
        <v>17</v>
      </c>
      <c r="M2147">
        <v>0</v>
      </c>
      <c r="N2147">
        <v>0.209157485950037</v>
      </c>
    </row>
    <row r="2148" spans="2:14" x14ac:dyDescent="0.25">
      <c r="B2148" t="s">
        <v>14</v>
      </c>
      <c r="C2148" s="1">
        <v>46116.999988425923</v>
      </c>
      <c r="D2148">
        <v>25.151072160807001</v>
      </c>
      <c r="E2148">
        <v>65872.642587135095</v>
      </c>
      <c r="F2148" s="1">
        <v>46116.099108796298</v>
      </c>
      <c r="G2148">
        <v>52.874705668676299</v>
      </c>
      <c r="H2148" t="s">
        <v>26</v>
      </c>
      <c r="I2148">
        <v>42243</v>
      </c>
      <c r="J2148" t="s">
        <v>16</v>
      </c>
      <c r="K2148">
        <v>314942.79197288898</v>
      </c>
      <c r="L2148" t="s">
        <v>17</v>
      </c>
      <c r="M2148">
        <v>0</v>
      </c>
      <c r="N2148">
        <v>0.209157485950037</v>
      </c>
    </row>
    <row r="2149" spans="2:14" x14ac:dyDescent="0.25">
      <c r="B2149" t="s">
        <v>14</v>
      </c>
      <c r="C2149" s="1">
        <v>46115.999988425923</v>
      </c>
      <c r="D2149">
        <v>25.151072160807001</v>
      </c>
      <c r="E2149">
        <v>57803.752284780203</v>
      </c>
      <c r="F2149" s="1">
        <v>46113.605474537035</v>
      </c>
      <c r="G2149">
        <v>52.874705668676299</v>
      </c>
      <c r="H2149" t="s">
        <v>26</v>
      </c>
      <c r="I2149">
        <v>42243</v>
      </c>
      <c r="J2149" t="s">
        <v>16</v>
      </c>
      <c r="K2149">
        <v>314942.79197288898</v>
      </c>
      <c r="L2149" t="s">
        <v>17</v>
      </c>
      <c r="M2149">
        <v>-8068.8903023549001</v>
      </c>
      <c r="N2149">
        <v>0.18353730822884101</v>
      </c>
    </row>
    <row r="2150" spans="2:14" x14ac:dyDescent="0.25">
      <c r="B2150" t="s">
        <v>14</v>
      </c>
      <c r="C2150" s="1">
        <v>46114.999988425923</v>
      </c>
      <c r="D2150">
        <v>25.151072160807001</v>
      </c>
      <c r="E2150">
        <v>57803.752284780203</v>
      </c>
      <c r="F2150" s="1">
        <v>46113.605474537035</v>
      </c>
      <c r="G2150">
        <v>52.874705668676299</v>
      </c>
      <c r="H2150" t="s">
        <v>26</v>
      </c>
      <c r="I2150">
        <v>42243</v>
      </c>
      <c r="J2150" t="s">
        <v>16</v>
      </c>
      <c r="K2150">
        <v>314942.79197288898</v>
      </c>
      <c r="L2150" t="s">
        <v>17</v>
      </c>
      <c r="M2150">
        <v>0</v>
      </c>
      <c r="N2150">
        <v>0.18353730822884101</v>
      </c>
    </row>
    <row r="2151" spans="2:14" x14ac:dyDescent="0.25">
      <c r="B2151" t="s">
        <v>14</v>
      </c>
      <c r="C2151" s="1">
        <v>46113.999988425923</v>
      </c>
      <c r="D2151">
        <v>25.151072160807001</v>
      </c>
      <c r="E2151">
        <v>57803.752284780203</v>
      </c>
      <c r="F2151" s="1">
        <v>46113.605474537035</v>
      </c>
      <c r="G2151">
        <v>52.874705668676299</v>
      </c>
      <c r="H2151" t="s">
        <v>26</v>
      </c>
      <c r="I2151">
        <v>42243</v>
      </c>
      <c r="J2151" t="s">
        <v>16</v>
      </c>
      <c r="K2151">
        <v>314942.79197288898</v>
      </c>
      <c r="L2151" t="s">
        <v>17</v>
      </c>
      <c r="M2151">
        <v>0</v>
      </c>
      <c r="N2151">
        <v>0.18353730822884101</v>
      </c>
    </row>
    <row r="2152" spans="2:14" x14ac:dyDescent="0.25">
      <c r="B2152" t="s">
        <v>14</v>
      </c>
      <c r="C2152" s="1">
        <v>46112.999988425923</v>
      </c>
      <c r="D2152">
        <v>25.151072160807001</v>
      </c>
      <c r="E2152">
        <v>161191.70743788601</v>
      </c>
      <c r="F2152" s="1">
        <v>46110.099803240744</v>
      </c>
      <c r="G2152">
        <v>52.874705668676299</v>
      </c>
      <c r="H2152" t="s">
        <v>26</v>
      </c>
      <c r="I2152">
        <v>42243</v>
      </c>
      <c r="J2152" t="s">
        <v>16</v>
      </c>
      <c r="K2152">
        <v>314942.79197288898</v>
      </c>
      <c r="L2152" t="s">
        <v>17</v>
      </c>
      <c r="M2152">
        <v>103387.955153106</v>
      </c>
      <c r="N2152">
        <v>0.51181265787394703</v>
      </c>
    </row>
    <row r="2153" spans="2:14" x14ac:dyDescent="0.25">
      <c r="B2153" t="s">
        <v>14</v>
      </c>
      <c r="C2153" s="1">
        <v>46111.999988425923</v>
      </c>
      <c r="D2153">
        <v>25.151072160807001</v>
      </c>
      <c r="E2153">
        <v>161191.70743788601</v>
      </c>
      <c r="F2153" s="1">
        <v>46110.099803240744</v>
      </c>
      <c r="G2153">
        <v>52.874705668676299</v>
      </c>
      <c r="H2153" t="s">
        <v>26</v>
      </c>
      <c r="I2153">
        <v>42243</v>
      </c>
      <c r="J2153" t="s">
        <v>16</v>
      </c>
      <c r="K2153">
        <v>314942.79197288898</v>
      </c>
      <c r="L2153" t="s">
        <v>17</v>
      </c>
      <c r="M2153">
        <v>0</v>
      </c>
      <c r="N2153">
        <v>0.51181265787394703</v>
      </c>
    </row>
    <row r="2154" spans="2:14" x14ac:dyDescent="0.25">
      <c r="B2154" t="s">
        <v>14</v>
      </c>
      <c r="C2154" s="1">
        <v>46110.999988425923</v>
      </c>
      <c r="D2154">
        <v>25.151072160807001</v>
      </c>
      <c r="E2154">
        <v>161191.70743788601</v>
      </c>
      <c r="F2154" s="1">
        <v>46110.099803240744</v>
      </c>
      <c r="G2154">
        <v>52.874705668676299</v>
      </c>
      <c r="H2154" t="s">
        <v>26</v>
      </c>
      <c r="I2154">
        <v>42243</v>
      </c>
      <c r="J2154" t="s">
        <v>16</v>
      </c>
      <c r="K2154">
        <v>314942.79197288898</v>
      </c>
      <c r="L2154" t="s">
        <v>17</v>
      </c>
      <c r="M2154">
        <v>0</v>
      </c>
      <c r="N2154">
        <v>0.51181265787394703</v>
      </c>
    </row>
    <row r="2155" spans="2:14" x14ac:dyDescent="0.25">
      <c r="B2155" t="s">
        <v>14</v>
      </c>
      <c r="C2155" s="1">
        <v>46109.999988425923</v>
      </c>
      <c r="D2155">
        <v>25.151072160807001</v>
      </c>
      <c r="E2155">
        <v>65693.473046497194</v>
      </c>
      <c r="F2155" s="1">
        <v>46107.606296296297</v>
      </c>
      <c r="G2155">
        <v>52.874705668676299</v>
      </c>
      <c r="H2155" t="s">
        <v>26</v>
      </c>
      <c r="I2155">
        <v>42243</v>
      </c>
      <c r="J2155" t="s">
        <v>16</v>
      </c>
      <c r="K2155">
        <v>314942.79197288898</v>
      </c>
      <c r="L2155" t="s">
        <v>17</v>
      </c>
      <c r="M2155">
        <v>-95498.234391389095</v>
      </c>
      <c r="N2155">
        <v>0.20858859043883801</v>
      </c>
    </row>
    <row r="2156" spans="2:14" x14ac:dyDescent="0.25">
      <c r="B2156" t="s">
        <v>14</v>
      </c>
      <c r="C2156" s="1">
        <v>46108.999988425923</v>
      </c>
      <c r="D2156">
        <v>25.151072160807001</v>
      </c>
      <c r="E2156">
        <v>65693.473046497194</v>
      </c>
      <c r="F2156" s="1">
        <v>46107.606296296297</v>
      </c>
      <c r="G2156">
        <v>52.874705668676299</v>
      </c>
      <c r="H2156" t="s">
        <v>26</v>
      </c>
      <c r="I2156">
        <v>42243</v>
      </c>
      <c r="J2156" t="s">
        <v>16</v>
      </c>
      <c r="K2156">
        <v>314942.79197288898</v>
      </c>
      <c r="L2156" t="s">
        <v>17</v>
      </c>
      <c r="M2156">
        <v>0</v>
      </c>
      <c r="N2156">
        <v>0.20858859043883801</v>
      </c>
    </row>
    <row r="2157" spans="2:14" x14ac:dyDescent="0.25">
      <c r="B2157" t="s">
        <v>14</v>
      </c>
      <c r="C2157" s="1">
        <v>46107.999988425923</v>
      </c>
      <c r="D2157">
        <v>25.151072160807001</v>
      </c>
      <c r="E2157">
        <v>65693.473046497194</v>
      </c>
      <c r="F2157" s="1">
        <v>46107.606296296297</v>
      </c>
      <c r="G2157">
        <v>52.874705668676299</v>
      </c>
      <c r="H2157" t="s">
        <v>26</v>
      </c>
      <c r="I2157">
        <v>42243</v>
      </c>
      <c r="J2157" t="s">
        <v>16</v>
      </c>
      <c r="K2157">
        <v>314942.79197288898</v>
      </c>
      <c r="L2157" t="s">
        <v>17</v>
      </c>
      <c r="M2157">
        <v>0</v>
      </c>
      <c r="N2157">
        <v>0.20858859043883801</v>
      </c>
    </row>
    <row r="2158" spans="2:14" x14ac:dyDescent="0.25">
      <c r="B2158" t="s">
        <v>14</v>
      </c>
      <c r="C2158" s="1">
        <v>46106.999988425923</v>
      </c>
      <c r="D2158">
        <v>25.151072160807001</v>
      </c>
      <c r="E2158">
        <v>40888.758001248803</v>
      </c>
      <c r="F2158" s="1">
        <v>46104.099108796298</v>
      </c>
      <c r="G2158">
        <v>52.874705668676299</v>
      </c>
      <c r="H2158" t="s">
        <v>26</v>
      </c>
      <c r="I2158">
        <v>42243</v>
      </c>
      <c r="J2158" t="s">
        <v>16</v>
      </c>
      <c r="K2158">
        <v>314942.79197288898</v>
      </c>
      <c r="L2158" t="s">
        <v>17</v>
      </c>
      <c r="M2158">
        <v>-24804.7150452483</v>
      </c>
      <c r="N2158">
        <v>0.129829159591525</v>
      </c>
    </row>
    <row r="2159" spans="2:14" x14ac:dyDescent="0.25">
      <c r="B2159" t="s">
        <v>14</v>
      </c>
      <c r="C2159" s="1">
        <v>46105.999988425923</v>
      </c>
      <c r="D2159">
        <v>25.151072160807001</v>
      </c>
      <c r="E2159">
        <v>40888.758001248803</v>
      </c>
      <c r="F2159" s="1">
        <v>46104.099108796298</v>
      </c>
      <c r="G2159">
        <v>52.874705668676299</v>
      </c>
      <c r="H2159" t="s">
        <v>26</v>
      </c>
      <c r="I2159">
        <v>42243</v>
      </c>
      <c r="J2159" t="s">
        <v>16</v>
      </c>
      <c r="K2159">
        <v>314942.79197288898</v>
      </c>
      <c r="L2159" t="s">
        <v>17</v>
      </c>
      <c r="M2159">
        <v>0</v>
      </c>
      <c r="N2159">
        <v>0.129829159591525</v>
      </c>
    </row>
    <row r="2160" spans="2:14" x14ac:dyDescent="0.25">
      <c r="B2160" t="s">
        <v>14</v>
      </c>
      <c r="C2160" s="1">
        <v>46104.999988425923</v>
      </c>
      <c r="D2160">
        <v>25.151072160807001</v>
      </c>
      <c r="E2160">
        <v>40888.758001248803</v>
      </c>
      <c r="F2160" s="1">
        <v>46104.099108796298</v>
      </c>
      <c r="G2160">
        <v>52.874705668676299</v>
      </c>
      <c r="H2160" t="s">
        <v>26</v>
      </c>
      <c r="I2160">
        <v>42243</v>
      </c>
      <c r="J2160" t="s">
        <v>16</v>
      </c>
      <c r="K2160">
        <v>314942.79197288898</v>
      </c>
      <c r="L2160" t="s">
        <v>17</v>
      </c>
      <c r="M2160">
        <v>0</v>
      </c>
      <c r="N2160">
        <v>0.129829159591525</v>
      </c>
    </row>
    <row r="2161" spans="2:14" x14ac:dyDescent="0.25">
      <c r="B2161" t="s">
        <v>14</v>
      </c>
      <c r="C2161" s="1">
        <v>46103.999988425923</v>
      </c>
      <c r="D2161">
        <v>25.151072160807001</v>
      </c>
      <c r="E2161">
        <v>62749.7041709107</v>
      </c>
      <c r="F2161" s="1">
        <v>46101.605474537035</v>
      </c>
      <c r="G2161">
        <v>52.874705668676299</v>
      </c>
      <c r="H2161" t="s">
        <v>26</v>
      </c>
      <c r="I2161">
        <v>42243</v>
      </c>
      <c r="J2161" t="s">
        <v>16</v>
      </c>
      <c r="K2161">
        <v>314942.79197288898</v>
      </c>
      <c r="L2161" t="s">
        <v>17</v>
      </c>
      <c r="M2161">
        <v>21860.946169661798</v>
      </c>
      <c r="N2161">
        <v>0.19924159488721399</v>
      </c>
    </row>
    <row r="2162" spans="2:14" x14ac:dyDescent="0.25">
      <c r="B2162" t="s">
        <v>14</v>
      </c>
      <c r="C2162" s="1">
        <v>46102.999988425923</v>
      </c>
      <c r="D2162">
        <v>25.151072160807001</v>
      </c>
      <c r="E2162">
        <v>62749.7041709107</v>
      </c>
      <c r="F2162" s="1">
        <v>46101.605474537035</v>
      </c>
      <c r="G2162">
        <v>52.874705668676299</v>
      </c>
      <c r="H2162" t="s">
        <v>26</v>
      </c>
      <c r="I2162">
        <v>42243</v>
      </c>
      <c r="J2162" t="s">
        <v>16</v>
      </c>
      <c r="K2162">
        <v>314942.79197288898</v>
      </c>
      <c r="L2162" t="s">
        <v>17</v>
      </c>
      <c r="M2162">
        <v>0</v>
      </c>
      <c r="N2162">
        <v>0.19924159488721399</v>
      </c>
    </row>
    <row r="2163" spans="2:14" x14ac:dyDescent="0.25">
      <c r="B2163" t="s">
        <v>14</v>
      </c>
      <c r="C2163" s="1">
        <v>46101.999988425923</v>
      </c>
      <c r="D2163">
        <v>25.151072160807001</v>
      </c>
      <c r="E2163">
        <v>62749.7041709107</v>
      </c>
      <c r="F2163" s="1">
        <v>46101.605474537035</v>
      </c>
      <c r="G2163">
        <v>52.874705668676299</v>
      </c>
      <c r="H2163" t="s">
        <v>26</v>
      </c>
      <c r="I2163">
        <v>42243</v>
      </c>
      <c r="J2163" t="s">
        <v>16</v>
      </c>
      <c r="K2163">
        <v>314942.79197288898</v>
      </c>
      <c r="L2163" t="s">
        <v>17</v>
      </c>
      <c r="M2163">
        <v>0</v>
      </c>
      <c r="N2163">
        <v>0.19924159488721399</v>
      </c>
    </row>
    <row r="2164" spans="2:14" x14ac:dyDescent="0.25">
      <c r="B2164" t="s">
        <v>14</v>
      </c>
      <c r="C2164" s="1">
        <v>46100.999988425923</v>
      </c>
      <c r="D2164">
        <v>25.151072160807001</v>
      </c>
      <c r="E2164">
        <v>86250.781312209496</v>
      </c>
      <c r="F2164" s="1">
        <v>46098.099803240744</v>
      </c>
      <c r="G2164">
        <v>52.874705668676299</v>
      </c>
      <c r="H2164" t="s">
        <v>26</v>
      </c>
      <c r="I2164">
        <v>42243</v>
      </c>
      <c r="J2164" t="s">
        <v>16</v>
      </c>
      <c r="K2164">
        <v>314942.79197288898</v>
      </c>
      <c r="L2164" t="s">
        <v>17</v>
      </c>
      <c r="M2164">
        <v>23501.077141298701</v>
      </c>
      <c r="N2164">
        <v>0.273861740959082</v>
      </c>
    </row>
    <row r="2165" spans="2:14" x14ac:dyDescent="0.25">
      <c r="B2165" t="s">
        <v>14</v>
      </c>
      <c r="C2165" s="1">
        <v>46099.999988425923</v>
      </c>
      <c r="D2165">
        <v>25.151072160807001</v>
      </c>
      <c r="E2165">
        <v>86250.781312209496</v>
      </c>
      <c r="F2165" s="1">
        <v>46098.099803240744</v>
      </c>
      <c r="G2165">
        <v>52.874705668676299</v>
      </c>
      <c r="H2165" t="s">
        <v>26</v>
      </c>
      <c r="I2165">
        <v>42243</v>
      </c>
      <c r="J2165" t="s">
        <v>16</v>
      </c>
      <c r="K2165">
        <v>314942.79197288898</v>
      </c>
      <c r="L2165" t="s">
        <v>17</v>
      </c>
      <c r="M2165">
        <v>0</v>
      </c>
      <c r="N2165">
        <v>0.273861740959082</v>
      </c>
    </row>
    <row r="2166" spans="2:14" x14ac:dyDescent="0.25">
      <c r="B2166" t="s">
        <v>14</v>
      </c>
      <c r="C2166" s="1">
        <v>46098.999988425923</v>
      </c>
      <c r="D2166">
        <v>25.151072160807001</v>
      </c>
      <c r="E2166">
        <v>86250.781312209496</v>
      </c>
      <c r="F2166" s="1">
        <v>46098.099803240744</v>
      </c>
      <c r="G2166">
        <v>52.874705668676299</v>
      </c>
      <c r="H2166" t="s">
        <v>26</v>
      </c>
      <c r="I2166">
        <v>42243</v>
      </c>
      <c r="J2166" t="s">
        <v>16</v>
      </c>
      <c r="K2166">
        <v>314942.79197288898</v>
      </c>
      <c r="L2166" t="s">
        <v>17</v>
      </c>
      <c r="M2166">
        <v>0</v>
      </c>
      <c r="N2166">
        <v>0.273861740959082</v>
      </c>
    </row>
    <row r="2167" spans="2:14" x14ac:dyDescent="0.25">
      <c r="B2167" t="s">
        <v>14</v>
      </c>
      <c r="C2167" s="1">
        <v>46097.999988425923</v>
      </c>
      <c r="D2167">
        <v>25.151072160807001</v>
      </c>
      <c r="E2167">
        <v>66765.278345370505</v>
      </c>
      <c r="F2167" s="1">
        <v>46095.606296296297</v>
      </c>
      <c r="G2167">
        <v>52.874705668676299</v>
      </c>
      <c r="H2167" t="s">
        <v>26</v>
      </c>
      <c r="I2167">
        <v>42243</v>
      </c>
      <c r="J2167" t="s">
        <v>16</v>
      </c>
      <c r="K2167">
        <v>314942.79197288898</v>
      </c>
      <c r="L2167" t="s">
        <v>17</v>
      </c>
      <c r="M2167">
        <v>-19485.5029668389</v>
      </c>
      <c r="N2167">
        <v>0.21199176500320599</v>
      </c>
    </row>
    <row r="2168" spans="2:14" x14ac:dyDescent="0.25">
      <c r="B2168" t="s">
        <v>14</v>
      </c>
      <c r="C2168" s="1">
        <v>46096.999988425923</v>
      </c>
      <c r="D2168">
        <v>25.151072160807001</v>
      </c>
      <c r="E2168">
        <v>66765.278345370505</v>
      </c>
      <c r="F2168" s="1">
        <v>46095.606296296297</v>
      </c>
      <c r="G2168">
        <v>52.874705668676299</v>
      </c>
      <c r="H2168" t="s">
        <v>26</v>
      </c>
      <c r="I2168">
        <v>42243</v>
      </c>
      <c r="J2168" t="s">
        <v>16</v>
      </c>
      <c r="K2168">
        <v>314942.79197288898</v>
      </c>
      <c r="L2168" t="s">
        <v>17</v>
      </c>
      <c r="M2168">
        <v>0</v>
      </c>
      <c r="N2168">
        <v>0.21199176500320599</v>
      </c>
    </row>
    <row r="2169" spans="2:14" x14ac:dyDescent="0.25">
      <c r="B2169" t="s">
        <v>14</v>
      </c>
      <c r="C2169" s="1">
        <v>46095.999988425923</v>
      </c>
      <c r="D2169">
        <v>25.151072160807001</v>
      </c>
      <c r="E2169">
        <v>66765.278345370505</v>
      </c>
      <c r="F2169" s="1">
        <v>46095.606296296297</v>
      </c>
      <c r="G2169">
        <v>52.874705668676299</v>
      </c>
      <c r="H2169" t="s">
        <v>26</v>
      </c>
      <c r="I2169">
        <v>42243</v>
      </c>
      <c r="J2169" t="s">
        <v>16</v>
      </c>
      <c r="K2169">
        <v>314942.79197288898</v>
      </c>
      <c r="L2169" t="s">
        <v>17</v>
      </c>
      <c r="M2169">
        <v>0</v>
      </c>
      <c r="N2169">
        <v>0.21199176500320599</v>
      </c>
    </row>
    <row r="2170" spans="2:14" x14ac:dyDescent="0.25">
      <c r="B2170" t="s">
        <v>14</v>
      </c>
      <c r="C2170" s="1">
        <v>46094.999988425923</v>
      </c>
      <c r="D2170">
        <v>25.151072160807001</v>
      </c>
      <c r="E2170">
        <v>63807.357210003298</v>
      </c>
      <c r="F2170" s="1">
        <v>46092.099097222221</v>
      </c>
      <c r="G2170">
        <v>52.874705668676299</v>
      </c>
      <c r="H2170" t="s">
        <v>26</v>
      </c>
      <c r="I2170">
        <v>42243</v>
      </c>
      <c r="J2170" t="s">
        <v>16</v>
      </c>
      <c r="K2170">
        <v>314942.79197288898</v>
      </c>
      <c r="L2170" t="s">
        <v>17</v>
      </c>
      <c r="M2170">
        <v>-2957.9211353671799</v>
      </c>
      <c r="N2170">
        <v>0.20259983348180799</v>
      </c>
    </row>
    <row r="2171" spans="2:14" x14ac:dyDescent="0.25">
      <c r="B2171" t="s">
        <v>14</v>
      </c>
      <c r="C2171" s="1">
        <v>46093.999988425923</v>
      </c>
      <c r="D2171">
        <v>25.151072160807001</v>
      </c>
      <c r="E2171">
        <v>63807.357210003298</v>
      </c>
      <c r="F2171" s="1">
        <v>46092.099097222221</v>
      </c>
      <c r="G2171">
        <v>52.874705668676299</v>
      </c>
      <c r="H2171" t="s">
        <v>26</v>
      </c>
      <c r="I2171">
        <v>42243</v>
      </c>
      <c r="J2171" t="s">
        <v>16</v>
      </c>
      <c r="K2171">
        <v>314942.79197288898</v>
      </c>
      <c r="L2171" t="s">
        <v>17</v>
      </c>
      <c r="M2171">
        <v>0</v>
      </c>
      <c r="N2171">
        <v>0.20259983348180799</v>
      </c>
    </row>
    <row r="2172" spans="2:14" x14ac:dyDescent="0.25">
      <c r="B2172" t="s">
        <v>14</v>
      </c>
      <c r="C2172" s="1">
        <v>46092.999988425923</v>
      </c>
      <c r="D2172">
        <v>25.151072160807001</v>
      </c>
      <c r="E2172">
        <v>63807.357210003298</v>
      </c>
      <c r="F2172" s="1">
        <v>46092.099097222221</v>
      </c>
      <c r="G2172">
        <v>52.874705668676299</v>
      </c>
      <c r="H2172" t="s">
        <v>26</v>
      </c>
      <c r="I2172">
        <v>42243</v>
      </c>
      <c r="J2172" t="s">
        <v>16</v>
      </c>
      <c r="K2172">
        <v>314942.79197288898</v>
      </c>
      <c r="L2172" t="s">
        <v>17</v>
      </c>
      <c r="M2172">
        <v>0</v>
      </c>
      <c r="N2172">
        <v>0.20259983348180799</v>
      </c>
    </row>
    <row r="2173" spans="2:14" x14ac:dyDescent="0.25">
      <c r="B2173" t="s">
        <v>14</v>
      </c>
      <c r="C2173" s="1">
        <v>46091.999988425923</v>
      </c>
      <c r="D2173">
        <v>25.151072160807001</v>
      </c>
      <c r="E2173">
        <v>58736.161955288502</v>
      </c>
      <c r="F2173" s="1">
        <v>46089.605474537035</v>
      </c>
      <c r="G2173">
        <v>52.874705668676299</v>
      </c>
      <c r="H2173" t="s">
        <v>26</v>
      </c>
      <c r="I2173">
        <v>42243</v>
      </c>
      <c r="J2173" t="s">
        <v>16</v>
      </c>
      <c r="K2173">
        <v>314942.79197288898</v>
      </c>
      <c r="L2173" t="s">
        <v>17</v>
      </c>
      <c r="M2173">
        <v>-5071.1952547148103</v>
      </c>
      <c r="N2173">
        <v>0.186497876605934</v>
      </c>
    </row>
    <row r="2174" spans="2:14" x14ac:dyDescent="0.25">
      <c r="B2174" t="s">
        <v>14</v>
      </c>
      <c r="C2174" s="1">
        <v>46090.999988425923</v>
      </c>
      <c r="D2174">
        <v>25.151072160807001</v>
      </c>
      <c r="E2174">
        <v>58736.161955288502</v>
      </c>
      <c r="F2174" s="1">
        <v>46089.605474537035</v>
      </c>
      <c r="G2174">
        <v>52.874705668676299</v>
      </c>
      <c r="H2174" t="s">
        <v>26</v>
      </c>
      <c r="I2174">
        <v>42243</v>
      </c>
      <c r="J2174" t="s">
        <v>16</v>
      </c>
      <c r="K2174">
        <v>314942.79197288898</v>
      </c>
      <c r="L2174" t="s">
        <v>17</v>
      </c>
      <c r="M2174">
        <v>0</v>
      </c>
      <c r="N2174">
        <v>0.186497876605934</v>
      </c>
    </row>
    <row r="2175" spans="2:14" x14ac:dyDescent="0.25">
      <c r="B2175" t="s">
        <v>14</v>
      </c>
      <c r="C2175" s="1">
        <v>46089.999988425923</v>
      </c>
      <c r="D2175">
        <v>25.151072160807001</v>
      </c>
      <c r="E2175">
        <v>58736.161955288502</v>
      </c>
      <c r="F2175" s="1">
        <v>46089.605474537035</v>
      </c>
      <c r="G2175">
        <v>52.874705668676299</v>
      </c>
      <c r="H2175" t="s">
        <v>26</v>
      </c>
      <c r="I2175">
        <v>42243</v>
      </c>
      <c r="J2175" t="s">
        <v>16</v>
      </c>
      <c r="K2175">
        <v>314942.79197288898</v>
      </c>
      <c r="L2175" t="s">
        <v>17</v>
      </c>
      <c r="M2175">
        <v>0</v>
      </c>
      <c r="N2175">
        <v>0.186497876605934</v>
      </c>
    </row>
    <row r="2176" spans="2:14" x14ac:dyDescent="0.25">
      <c r="B2176" t="s">
        <v>14</v>
      </c>
      <c r="C2176" s="1">
        <v>46088.999988425923</v>
      </c>
      <c r="D2176">
        <v>25.151072160807001</v>
      </c>
      <c r="E2176">
        <v>62162.413216560097</v>
      </c>
      <c r="F2176" s="1">
        <v>46086.099803240744</v>
      </c>
      <c r="G2176">
        <v>52.874705668676299</v>
      </c>
      <c r="H2176" t="s">
        <v>26</v>
      </c>
      <c r="I2176">
        <v>42243</v>
      </c>
      <c r="J2176" t="s">
        <v>16</v>
      </c>
      <c r="K2176">
        <v>314942.79197288898</v>
      </c>
      <c r="L2176" t="s">
        <v>17</v>
      </c>
      <c r="M2176">
        <v>3426.25126127153</v>
      </c>
      <c r="N2176">
        <v>0.197376840495879</v>
      </c>
    </row>
    <row r="2177" spans="2:14" x14ac:dyDescent="0.25">
      <c r="B2177" t="s">
        <v>14</v>
      </c>
      <c r="C2177" s="1">
        <v>46087.999988425923</v>
      </c>
      <c r="D2177">
        <v>25.151072160807001</v>
      </c>
      <c r="E2177">
        <v>62162.413216560097</v>
      </c>
      <c r="F2177" s="1">
        <v>46086.099803240744</v>
      </c>
      <c r="G2177">
        <v>52.874705668676299</v>
      </c>
      <c r="H2177" t="s">
        <v>26</v>
      </c>
      <c r="I2177">
        <v>42243</v>
      </c>
      <c r="J2177" t="s">
        <v>16</v>
      </c>
      <c r="K2177">
        <v>314942.79197288898</v>
      </c>
      <c r="L2177" t="s">
        <v>17</v>
      </c>
      <c r="M2177">
        <v>0</v>
      </c>
      <c r="N2177">
        <v>0.197376840495879</v>
      </c>
    </row>
    <row r="2178" spans="2:14" x14ac:dyDescent="0.25">
      <c r="B2178" t="s">
        <v>14</v>
      </c>
      <c r="C2178" s="1">
        <v>46086.999988425923</v>
      </c>
      <c r="D2178">
        <v>25.151072160807001</v>
      </c>
      <c r="E2178">
        <v>62162.413216560097</v>
      </c>
      <c r="F2178" s="1">
        <v>46086.099803240744</v>
      </c>
      <c r="G2178">
        <v>52.874705668676299</v>
      </c>
      <c r="H2178" t="s">
        <v>26</v>
      </c>
      <c r="I2178">
        <v>42243</v>
      </c>
      <c r="J2178" t="s">
        <v>16</v>
      </c>
      <c r="K2178">
        <v>314942.79197288898</v>
      </c>
      <c r="L2178" t="s">
        <v>17</v>
      </c>
      <c r="M2178">
        <v>0</v>
      </c>
      <c r="N2178">
        <v>0.197376840495879</v>
      </c>
    </row>
    <row r="2179" spans="2:14" x14ac:dyDescent="0.25">
      <c r="B2179" t="s">
        <v>14</v>
      </c>
      <c r="C2179" s="1">
        <v>46085.999988425923</v>
      </c>
      <c r="D2179">
        <v>25.151072160807001</v>
      </c>
      <c r="E2179">
        <v>63296.113443614398</v>
      </c>
      <c r="F2179" s="1">
        <v>46083.60628472222</v>
      </c>
      <c r="G2179">
        <v>52.874705668676299</v>
      </c>
      <c r="H2179" t="s">
        <v>26</v>
      </c>
      <c r="I2179">
        <v>42243</v>
      </c>
      <c r="J2179" t="s">
        <v>16</v>
      </c>
      <c r="K2179">
        <v>314942.79197288898</v>
      </c>
      <c r="L2179" t="s">
        <v>17</v>
      </c>
      <c r="M2179">
        <v>1133.7002270543001</v>
      </c>
      <c r="N2179">
        <v>0.20097654258765499</v>
      </c>
    </row>
    <row r="2180" spans="2:14" x14ac:dyDescent="0.25">
      <c r="B2180" t="s">
        <v>14</v>
      </c>
      <c r="C2180" s="1">
        <v>46084.999988425923</v>
      </c>
      <c r="D2180">
        <v>25.151072160807001</v>
      </c>
      <c r="E2180">
        <v>63296.113443614398</v>
      </c>
      <c r="F2180" s="1">
        <v>46083.60628472222</v>
      </c>
      <c r="G2180">
        <v>52.874705668676299</v>
      </c>
      <c r="H2180" t="s">
        <v>26</v>
      </c>
      <c r="I2180">
        <v>42243</v>
      </c>
      <c r="J2180" t="s">
        <v>16</v>
      </c>
      <c r="K2180">
        <v>314942.79197288898</v>
      </c>
      <c r="L2180" t="s">
        <v>17</v>
      </c>
      <c r="M2180">
        <v>0</v>
      </c>
      <c r="N2180">
        <v>0.20097654258765499</v>
      </c>
    </row>
    <row r="2181" spans="2:14" x14ac:dyDescent="0.25">
      <c r="B2181" t="s">
        <v>14</v>
      </c>
      <c r="C2181" s="1">
        <v>46083.999988425923</v>
      </c>
      <c r="D2181">
        <v>25.151072160807001</v>
      </c>
      <c r="E2181">
        <v>63296.113443614398</v>
      </c>
      <c r="F2181" s="1">
        <v>46083.60628472222</v>
      </c>
      <c r="G2181">
        <v>52.874705668676299</v>
      </c>
      <c r="H2181" t="s">
        <v>26</v>
      </c>
      <c r="I2181">
        <v>42243</v>
      </c>
      <c r="J2181" t="s">
        <v>16</v>
      </c>
      <c r="K2181">
        <v>314942.79197288898</v>
      </c>
      <c r="L2181" t="s">
        <v>17</v>
      </c>
      <c r="M2181">
        <v>0</v>
      </c>
      <c r="N2181">
        <v>0.20097654258765499</v>
      </c>
    </row>
    <row r="2182" spans="2:14" x14ac:dyDescent="0.25">
      <c r="B2182" t="s">
        <v>14</v>
      </c>
      <c r="C2182" s="1">
        <v>46082.999988425923</v>
      </c>
      <c r="D2182">
        <v>25.151072160807001</v>
      </c>
      <c r="E2182">
        <v>68215.887919145796</v>
      </c>
      <c r="F2182" s="1">
        <v>46080.099097222221</v>
      </c>
      <c r="G2182">
        <v>52.874705668676299</v>
      </c>
      <c r="H2182" t="s">
        <v>26</v>
      </c>
      <c r="I2182">
        <v>42243</v>
      </c>
      <c r="J2182" t="s">
        <v>16</v>
      </c>
      <c r="K2182">
        <v>314942.79197288898</v>
      </c>
      <c r="L2182" t="s">
        <v>17</v>
      </c>
      <c r="M2182">
        <v>4919.7744755314397</v>
      </c>
      <c r="N2182">
        <v>0.21659771125994801</v>
      </c>
    </row>
    <row r="2183" spans="2:14" x14ac:dyDescent="0.25">
      <c r="B2183" t="s">
        <v>14</v>
      </c>
      <c r="C2183" s="1">
        <v>46081.999988425923</v>
      </c>
      <c r="D2183">
        <v>25.151072160807001</v>
      </c>
      <c r="E2183">
        <v>68215.887919145796</v>
      </c>
      <c r="F2183" s="1">
        <v>46080.099097222221</v>
      </c>
      <c r="G2183">
        <v>52.874705668676299</v>
      </c>
      <c r="H2183" t="s">
        <v>26</v>
      </c>
      <c r="I2183">
        <v>42243</v>
      </c>
      <c r="J2183" t="s">
        <v>16</v>
      </c>
      <c r="K2183">
        <v>314942.79197288898</v>
      </c>
      <c r="L2183" t="s">
        <v>17</v>
      </c>
      <c r="M2183">
        <v>0</v>
      </c>
      <c r="N2183">
        <v>0.21659771125994801</v>
      </c>
    </row>
    <row r="2184" spans="2:14" x14ac:dyDescent="0.25">
      <c r="B2184" t="s">
        <v>14</v>
      </c>
      <c r="C2184" s="1">
        <v>46080.999988425923</v>
      </c>
      <c r="D2184">
        <v>25.151072160807001</v>
      </c>
      <c r="E2184">
        <v>68215.887919145796</v>
      </c>
      <c r="F2184" s="1">
        <v>46080.099097222221</v>
      </c>
      <c r="G2184">
        <v>52.874705668676299</v>
      </c>
      <c r="H2184" t="s">
        <v>26</v>
      </c>
      <c r="I2184">
        <v>42243</v>
      </c>
      <c r="J2184" t="s">
        <v>16</v>
      </c>
      <c r="K2184">
        <v>314942.79197288898</v>
      </c>
      <c r="L2184" t="s">
        <v>17</v>
      </c>
      <c r="M2184">
        <v>0</v>
      </c>
      <c r="N2184">
        <v>0.21659771125994801</v>
      </c>
    </row>
    <row r="2185" spans="2:14" x14ac:dyDescent="0.25">
      <c r="B2185" t="s">
        <v>14</v>
      </c>
      <c r="C2185" s="1">
        <v>46079.999988425923</v>
      </c>
      <c r="D2185">
        <v>25.151072160807001</v>
      </c>
      <c r="E2185">
        <v>64116.3158486846</v>
      </c>
      <c r="F2185" s="1">
        <v>46077.605474537035</v>
      </c>
      <c r="G2185">
        <v>52.874705668676299</v>
      </c>
      <c r="H2185" t="s">
        <v>26</v>
      </c>
      <c r="I2185">
        <v>42243</v>
      </c>
      <c r="J2185" t="s">
        <v>16</v>
      </c>
      <c r="K2185">
        <v>314942.79197288898</v>
      </c>
      <c r="L2185" t="s">
        <v>17</v>
      </c>
      <c r="M2185">
        <v>-4099.5720704612604</v>
      </c>
      <c r="N2185">
        <v>0.20358083271899</v>
      </c>
    </row>
    <row r="2186" spans="2:14" x14ac:dyDescent="0.25">
      <c r="B2186" t="s">
        <v>14</v>
      </c>
      <c r="C2186" s="1">
        <v>46078.999988425923</v>
      </c>
      <c r="D2186">
        <v>25.151072160807001</v>
      </c>
      <c r="E2186">
        <v>64116.3158486846</v>
      </c>
      <c r="F2186" s="1">
        <v>46077.605474537035</v>
      </c>
      <c r="G2186">
        <v>52.874705668676299</v>
      </c>
      <c r="H2186" t="s">
        <v>26</v>
      </c>
      <c r="I2186">
        <v>42243</v>
      </c>
      <c r="J2186" t="s">
        <v>16</v>
      </c>
      <c r="K2186">
        <v>314942.79197288898</v>
      </c>
      <c r="L2186" t="s">
        <v>17</v>
      </c>
      <c r="M2186">
        <v>0</v>
      </c>
      <c r="N2186">
        <v>0.20358083271899</v>
      </c>
    </row>
    <row r="2187" spans="2:14" x14ac:dyDescent="0.25">
      <c r="B2187" t="s">
        <v>14</v>
      </c>
      <c r="C2187" s="1">
        <v>46077.999988425923</v>
      </c>
      <c r="D2187">
        <v>25.151072160807001</v>
      </c>
      <c r="E2187">
        <v>64116.3158486846</v>
      </c>
      <c r="F2187" s="1">
        <v>46077.605474537035</v>
      </c>
      <c r="G2187">
        <v>52.874705668676299</v>
      </c>
      <c r="H2187" t="s">
        <v>26</v>
      </c>
      <c r="I2187">
        <v>42243</v>
      </c>
      <c r="J2187" t="s">
        <v>16</v>
      </c>
      <c r="K2187">
        <v>314942.79197288898</v>
      </c>
      <c r="L2187" t="s">
        <v>17</v>
      </c>
      <c r="M2187">
        <v>0</v>
      </c>
      <c r="N2187">
        <v>0.20358083271899</v>
      </c>
    </row>
    <row r="2188" spans="2:14" x14ac:dyDescent="0.25">
      <c r="B2188" t="s">
        <v>14</v>
      </c>
      <c r="C2188" s="1">
        <v>46076.999988425923</v>
      </c>
      <c r="D2188">
        <v>25.151072160807001</v>
      </c>
      <c r="E2188">
        <v>136749.076088645</v>
      </c>
      <c r="F2188" s="1">
        <v>46074.099803240744</v>
      </c>
      <c r="G2188">
        <v>52.874705668676299</v>
      </c>
      <c r="H2188" t="s">
        <v>26</v>
      </c>
      <c r="I2188">
        <v>42243</v>
      </c>
      <c r="J2188" t="s">
        <v>16</v>
      </c>
      <c r="K2188">
        <v>314942.79197288898</v>
      </c>
      <c r="L2188" t="s">
        <v>17</v>
      </c>
      <c r="M2188">
        <v>72632.7602399608</v>
      </c>
      <c r="N2188">
        <v>0.43420290787419202</v>
      </c>
    </row>
    <row r="2189" spans="2:14" x14ac:dyDescent="0.25">
      <c r="B2189" t="s">
        <v>14</v>
      </c>
      <c r="C2189" s="1">
        <v>46075.999988425923</v>
      </c>
      <c r="D2189">
        <v>25.151072160807001</v>
      </c>
      <c r="E2189">
        <v>136749.076088645</v>
      </c>
      <c r="F2189" s="1">
        <v>46074.099803240744</v>
      </c>
      <c r="G2189">
        <v>52.874705668676299</v>
      </c>
      <c r="H2189" t="s">
        <v>26</v>
      </c>
      <c r="I2189">
        <v>42243</v>
      </c>
      <c r="J2189" t="s">
        <v>16</v>
      </c>
      <c r="K2189">
        <v>314942.79197288898</v>
      </c>
      <c r="L2189" t="s">
        <v>17</v>
      </c>
      <c r="M2189">
        <v>0</v>
      </c>
      <c r="N2189">
        <v>0.43420290787419202</v>
      </c>
    </row>
    <row r="2190" spans="2:14" x14ac:dyDescent="0.25">
      <c r="B2190" t="s">
        <v>14</v>
      </c>
      <c r="C2190" s="1">
        <v>46074.999988425923</v>
      </c>
      <c r="D2190">
        <v>25.151072160807001</v>
      </c>
      <c r="E2190">
        <v>136749.076088645</v>
      </c>
      <c r="F2190" s="1">
        <v>46074.099803240744</v>
      </c>
      <c r="G2190">
        <v>52.874705668676299</v>
      </c>
      <c r="H2190" t="s">
        <v>26</v>
      </c>
      <c r="I2190">
        <v>42243</v>
      </c>
      <c r="J2190" t="s">
        <v>16</v>
      </c>
      <c r="K2190">
        <v>314942.79197288898</v>
      </c>
      <c r="L2190" t="s">
        <v>17</v>
      </c>
      <c r="M2190">
        <v>0</v>
      </c>
      <c r="N2190">
        <v>0.43420290787419202</v>
      </c>
    </row>
    <row r="2191" spans="2:14" x14ac:dyDescent="0.25">
      <c r="B2191" t="s">
        <v>14</v>
      </c>
      <c r="C2191" s="1">
        <v>46073.999988425923</v>
      </c>
      <c r="D2191">
        <v>25.151072160807001</v>
      </c>
      <c r="E2191">
        <v>150806.84677656501</v>
      </c>
      <c r="F2191" s="1">
        <v>46071.606296296297</v>
      </c>
      <c r="G2191">
        <v>52.874705668676299</v>
      </c>
      <c r="H2191" t="s">
        <v>26</v>
      </c>
      <c r="I2191">
        <v>42243</v>
      </c>
      <c r="J2191" t="s">
        <v>16</v>
      </c>
      <c r="K2191">
        <v>314942.79197288898</v>
      </c>
      <c r="L2191" t="s">
        <v>17</v>
      </c>
      <c r="M2191">
        <v>14057.770687919599</v>
      </c>
      <c r="N2191">
        <v>0.47883885778705598</v>
      </c>
    </row>
    <row r="2192" spans="2:14" x14ac:dyDescent="0.25">
      <c r="B2192" t="s">
        <v>14</v>
      </c>
      <c r="C2192" s="1">
        <v>46072.999988425923</v>
      </c>
      <c r="D2192">
        <v>25.151072160807001</v>
      </c>
      <c r="E2192">
        <v>150806.84677656501</v>
      </c>
      <c r="F2192" s="1">
        <v>46071.606296296297</v>
      </c>
      <c r="G2192">
        <v>52.874705668676299</v>
      </c>
      <c r="H2192" t="s">
        <v>26</v>
      </c>
      <c r="I2192">
        <v>42243</v>
      </c>
      <c r="J2192" t="s">
        <v>16</v>
      </c>
      <c r="K2192">
        <v>314942.79197288898</v>
      </c>
      <c r="L2192" t="s">
        <v>17</v>
      </c>
      <c r="M2192">
        <v>0</v>
      </c>
      <c r="N2192">
        <v>0.47883885778705598</v>
      </c>
    </row>
    <row r="2193" spans="2:14" x14ac:dyDescent="0.25">
      <c r="B2193" t="s">
        <v>14</v>
      </c>
      <c r="C2193" s="1">
        <v>46071.999988425923</v>
      </c>
      <c r="D2193">
        <v>25.151072160807001</v>
      </c>
      <c r="E2193">
        <v>150806.84677656501</v>
      </c>
      <c r="F2193" s="1">
        <v>46071.606296296297</v>
      </c>
      <c r="G2193">
        <v>52.874705668676299</v>
      </c>
      <c r="H2193" t="s">
        <v>26</v>
      </c>
      <c r="I2193">
        <v>42243</v>
      </c>
      <c r="J2193" t="s">
        <v>16</v>
      </c>
      <c r="K2193">
        <v>314942.79197288898</v>
      </c>
      <c r="L2193" t="s">
        <v>17</v>
      </c>
      <c r="M2193">
        <v>0</v>
      </c>
      <c r="N2193">
        <v>0.47883885778705598</v>
      </c>
    </row>
    <row r="2194" spans="2:14" x14ac:dyDescent="0.25">
      <c r="B2194" t="s">
        <v>14</v>
      </c>
      <c r="C2194" s="1">
        <v>46070.999988425923</v>
      </c>
      <c r="D2194">
        <v>25.151072160807001</v>
      </c>
      <c r="E2194">
        <v>122533.238626798</v>
      </c>
      <c r="F2194" s="1">
        <v>46068.099097222221</v>
      </c>
      <c r="G2194">
        <v>52.874705668676299</v>
      </c>
      <c r="H2194" t="s">
        <v>26</v>
      </c>
      <c r="I2194">
        <v>42243</v>
      </c>
      <c r="J2194" t="s">
        <v>16</v>
      </c>
      <c r="K2194">
        <v>314942.79197288898</v>
      </c>
      <c r="L2194" t="s">
        <v>17</v>
      </c>
      <c r="M2194">
        <v>-28273.6081497665</v>
      </c>
      <c r="N2194">
        <v>0.38906506752929998</v>
      </c>
    </row>
    <row r="2195" spans="2:14" x14ac:dyDescent="0.25">
      <c r="B2195" t="s">
        <v>14</v>
      </c>
      <c r="C2195" s="1">
        <v>46069.999988425923</v>
      </c>
      <c r="D2195">
        <v>25.151072160807001</v>
      </c>
      <c r="E2195">
        <v>122533.238626798</v>
      </c>
      <c r="F2195" s="1">
        <v>46068.099097222221</v>
      </c>
      <c r="G2195">
        <v>52.874705668676299</v>
      </c>
      <c r="H2195" t="s">
        <v>26</v>
      </c>
      <c r="I2195">
        <v>42243</v>
      </c>
      <c r="J2195" t="s">
        <v>16</v>
      </c>
      <c r="K2195">
        <v>314942.79197288898</v>
      </c>
      <c r="L2195" t="s">
        <v>17</v>
      </c>
      <c r="M2195">
        <v>0</v>
      </c>
      <c r="N2195">
        <v>0.38906506752929998</v>
      </c>
    </row>
    <row r="2196" spans="2:14" x14ac:dyDescent="0.25">
      <c r="B2196" t="s">
        <v>14</v>
      </c>
      <c r="C2196" s="1">
        <v>46068.999988425923</v>
      </c>
      <c r="D2196">
        <v>25.151072160807001</v>
      </c>
      <c r="E2196">
        <v>122533.238626798</v>
      </c>
      <c r="F2196" s="1">
        <v>46068.099097222221</v>
      </c>
      <c r="G2196">
        <v>52.874705668676299</v>
      </c>
      <c r="H2196" t="s">
        <v>26</v>
      </c>
      <c r="I2196">
        <v>42243</v>
      </c>
      <c r="J2196" t="s">
        <v>16</v>
      </c>
      <c r="K2196">
        <v>314942.79197288898</v>
      </c>
      <c r="L2196" t="s">
        <v>17</v>
      </c>
      <c r="M2196">
        <v>0</v>
      </c>
      <c r="N2196">
        <v>0.38906506752929998</v>
      </c>
    </row>
    <row r="2197" spans="2:14" x14ac:dyDescent="0.25">
      <c r="B2197" t="s">
        <v>14</v>
      </c>
      <c r="C2197" s="1">
        <v>46067.999988425923</v>
      </c>
      <c r="D2197">
        <v>25.151072160807001</v>
      </c>
      <c r="E2197">
        <v>111283.27133421499</v>
      </c>
      <c r="F2197" s="1">
        <v>46065.605474537035</v>
      </c>
      <c r="G2197">
        <v>52.874705668676299</v>
      </c>
      <c r="H2197" t="s">
        <v>26</v>
      </c>
      <c r="I2197">
        <v>42243</v>
      </c>
      <c r="J2197" t="s">
        <v>16</v>
      </c>
      <c r="K2197">
        <v>314942.79197288898</v>
      </c>
      <c r="L2197" t="s">
        <v>17</v>
      </c>
      <c r="M2197">
        <v>-11249.9672925835</v>
      </c>
      <c r="N2197">
        <v>0.353344398317883</v>
      </c>
    </row>
    <row r="2198" spans="2:14" x14ac:dyDescent="0.25">
      <c r="B2198" t="s">
        <v>14</v>
      </c>
      <c r="C2198" s="1">
        <v>46066.999988425923</v>
      </c>
      <c r="D2198">
        <v>25.151072160807001</v>
      </c>
      <c r="E2198">
        <v>111283.27133421499</v>
      </c>
      <c r="F2198" s="1">
        <v>46065.605474537035</v>
      </c>
      <c r="G2198">
        <v>52.874705668676299</v>
      </c>
      <c r="H2198" t="s">
        <v>26</v>
      </c>
      <c r="I2198">
        <v>42243</v>
      </c>
      <c r="J2198" t="s">
        <v>16</v>
      </c>
      <c r="K2198">
        <v>314942.79197288898</v>
      </c>
      <c r="L2198" t="s">
        <v>17</v>
      </c>
      <c r="M2198">
        <v>0</v>
      </c>
      <c r="N2198">
        <v>0.353344398317883</v>
      </c>
    </row>
    <row r="2199" spans="2:14" x14ac:dyDescent="0.25">
      <c r="B2199" t="s">
        <v>14</v>
      </c>
      <c r="C2199" s="1">
        <v>46065.999988425923</v>
      </c>
      <c r="D2199">
        <v>25.151072160807001</v>
      </c>
      <c r="E2199">
        <v>111283.27133421499</v>
      </c>
      <c r="F2199" s="1">
        <v>46065.605474537035</v>
      </c>
      <c r="G2199">
        <v>52.874705668676299</v>
      </c>
      <c r="H2199" t="s">
        <v>26</v>
      </c>
      <c r="I2199">
        <v>42243</v>
      </c>
      <c r="J2199" t="s">
        <v>16</v>
      </c>
      <c r="K2199">
        <v>314942.79197288898</v>
      </c>
      <c r="L2199" t="s">
        <v>17</v>
      </c>
      <c r="M2199">
        <v>0</v>
      </c>
      <c r="N2199">
        <v>0.353344398317883</v>
      </c>
    </row>
    <row r="2200" spans="2:14" x14ac:dyDescent="0.25">
      <c r="B2200" t="s">
        <v>14</v>
      </c>
      <c r="C2200" s="1">
        <v>46064.999988425923</v>
      </c>
      <c r="D2200">
        <v>25.151072160807001</v>
      </c>
      <c r="E2200">
        <v>105474.619929521</v>
      </c>
      <c r="F2200" s="1">
        <v>46062.099814814814</v>
      </c>
      <c r="G2200">
        <v>52.874705668676299</v>
      </c>
      <c r="H2200" t="s">
        <v>26</v>
      </c>
      <c r="I2200">
        <v>42243</v>
      </c>
      <c r="J2200" t="s">
        <v>16</v>
      </c>
      <c r="K2200">
        <v>314942.79197288898</v>
      </c>
      <c r="L2200" t="s">
        <v>17</v>
      </c>
      <c r="M2200">
        <v>-5808.6514046931898</v>
      </c>
      <c r="N2200">
        <v>0.33490088555067199</v>
      </c>
    </row>
    <row r="2201" spans="2:14" x14ac:dyDescent="0.25">
      <c r="B2201" t="s">
        <v>14</v>
      </c>
      <c r="C2201" s="1">
        <v>46063.999988425923</v>
      </c>
      <c r="D2201">
        <v>25.151072160807001</v>
      </c>
      <c r="E2201">
        <v>105474.619929521</v>
      </c>
      <c r="F2201" s="1">
        <v>46062.099814814814</v>
      </c>
      <c r="G2201">
        <v>52.874705668676299</v>
      </c>
      <c r="H2201" t="s">
        <v>26</v>
      </c>
      <c r="I2201">
        <v>42243</v>
      </c>
      <c r="J2201" t="s">
        <v>16</v>
      </c>
      <c r="K2201">
        <v>314942.79197288898</v>
      </c>
      <c r="L2201" t="s">
        <v>17</v>
      </c>
      <c r="M2201">
        <v>0</v>
      </c>
      <c r="N2201">
        <v>0.33490088555067199</v>
      </c>
    </row>
    <row r="2202" spans="2:14" x14ac:dyDescent="0.25">
      <c r="B2202" t="s">
        <v>14</v>
      </c>
      <c r="C2202" s="1">
        <v>46062.999988425923</v>
      </c>
      <c r="D2202">
        <v>25.151072160807001</v>
      </c>
      <c r="E2202">
        <v>105474.619929521</v>
      </c>
      <c r="F2202" s="1">
        <v>46062.099814814814</v>
      </c>
      <c r="G2202">
        <v>52.874705668676299</v>
      </c>
      <c r="H2202" t="s">
        <v>26</v>
      </c>
      <c r="I2202">
        <v>42243</v>
      </c>
      <c r="J2202" t="s">
        <v>16</v>
      </c>
      <c r="K2202">
        <v>314942.79197288898</v>
      </c>
      <c r="L2202" t="s">
        <v>17</v>
      </c>
      <c r="M2202">
        <v>0</v>
      </c>
      <c r="N2202">
        <v>0.33490088555067199</v>
      </c>
    </row>
    <row r="2203" spans="2:14" x14ac:dyDescent="0.25">
      <c r="B2203" t="s">
        <v>14</v>
      </c>
      <c r="C2203" s="1">
        <v>46061.999988425923</v>
      </c>
      <c r="D2203">
        <v>25.151072160807001</v>
      </c>
      <c r="E2203">
        <v>97852.750243061397</v>
      </c>
      <c r="F2203" s="1">
        <v>46059.606296296297</v>
      </c>
      <c r="G2203">
        <v>52.874705668676299</v>
      </c>
      <c r="H2203" t="s">
        <v>26</v>
      </c>
      <c r="I2203">
        <v>42243</v>
      </c>
      <c r="J2203" t="s">
        <v>16</v>
      </c>
      <c r="K2203">
        <v>314942.79197288898</v>
      </c>
      <c r="L2203" t="s">
        <v>17</v>
      </c>
      <c r="M2203">
        <v>-7621.8696864603198</v>
      </c>
      <c r="N2203">
        <v>0.31070007867169902</v>
      </c>
    </row>
    <row r="2204" spans="2:14" x14ac:dyDescent="0.25">
      <c r="B2204" t="s">
        <v>14</v>
      </c>
      <c r="C2204" s="1">
        <v>46060.999988425923</v>
      </c>
      <c r="D2204">
        <v>25.151072160807001</v>
      </c>
      <c r="E2204">
        <v>97852.750243061397</v>
      </c>
      <c r="F2204" s="1">
        <v>46059.606296296297</v>
      </c>
      <c r="G2204">
        <v>52.874705668676299</v>
      </c>
      <c r="H2204" t="s">
        <v>26</v>
      </c>
      <c r="I2204">
        <v>42243</v>
      </c>
      <c r="J2204" t="s">
        <v>16</v>
      </c>
      <c r="K2204">
        <v>314942.79197288898</v>
      </c>
      <c r="L2204" t="s">
        <v>17</v>
      </c>
      <c r="M2204">
        <v>0</v>
      </c>
      <c r="N2204">
        <v>0.31070007867169902</v>
      </c>
    </row>
    <row r="2205" spans="2:14" x14ac:dyDescent="0.25">
      <c r="B2205" t="s">
        <v>14</v>
      </c>
      <c r="C2205" s="1">
        <v>46059.999988425923</v>
      </c>
      <c r="D2205">
        <v>25.151072160807001</v>
      </c>
      <c r="E2205">
        <v>97852.750243061397</v>
      </c>
      <c r="F2205" s="1">
        <v>46059.606296296297</v>
      </c>
      <c r="G2205">
        <v>52.874705668676299</v>
      </c>
      <c r="H2205" t="s">
        <v>26</v>
      </c>
      <c r="I2205">
        <v>42243</v>
      </c>
      <c r="J2205" t="s">
        <v>16</v>
      </c>
      <c r="K2205">
        <v>314942.79197288898</v>
      </c>
      <c r="L2205" t="s">
        <v>17</v>
      </c>
      <c r="M2205">
        <v>0</v>
      </c>
      <c r="N2205">
        <v>0.31070007867169902</v>
      </c>
    </row>
    <row r="2206" spans="2:14" x14ac:dyDescent="0.25">
      <c r="B2206" t="s">
        <v>14</v>
      </c>
      <c r="C2206" s="1">
        <v>46058.999988425923</v>
      </c>
      <c r="D2206">
        <v>25.151072160807001</v>
      </c>
      <c r="E2206">
        <v>81313.848561073406</v>
      </c>
      <c r="F2206" s="1">
        <v>46056.099097222221</v>
      </c>
      <c r="G2206">
        <v>52.874705668676299</v>
      </c>
      <c r="H2206" t="s">
        <v>26</v>
      </c>
      <c r="I2206">
        <v>42243</v>
      </c>
      <c r="J2206" t="s">
        <v>16</v>
      </c>
      <c r="K2206">
        <v>314942.79197288898</v>
      </c>
      <c r="L2206" t="s">
        <v>17</v>
      </c>
      <c r="M2206">
        <v>-16538.901681988002</v>
      </c>
      <c r="N2206">
        <v>0.25818609167620798</v>
      </c>
    </row>
    <row r="2207" spans="2:14" x14ac:dyDescent="0.25">
      <c r="B2207" t="s">
        <v>14</v>
      </c>
      <c r="C2207" s="1">
        <v>46057.999988425923</v>
      </c>
      <c r="D2207">
        <v>25.151072160807001</v>
      </c>
      <c r="E2207">
        <v>81313.848561073406</v>
      </c>
      <c r="F2207" s="1">
        <v>46056.099097222221</v>
      </c>
      <c r="G2207">
        <v>52.874705668676299</v>
      </c>
      <c r="H2207" t="s">
        <v>26</v>
      </c>
      <c r="I2207">
        <v>42243</v>
      </c>
      <c r="J2207" t="s">
        <v>16</v>
      </c>
      <c r="K2207">
        <v>314942.79197288898</v>
      </c>
      <c r="L2207" t="s">
        <v>17</v>
      </c>
      <c r="M2207">
        <v>0</v>
      </c>
      <c r="N2207">
        <v>0.25818609167620798</v>
      </c>
    </row>
    <row r="2208" spans="2:14" x14ac:dyDescent="0.25">
      <c r="B2208" t="s">
        <v>14</v>
      </c>
      <c r="C2208" s="1">
        <v>46056.999988425923</v>
      </c>
      <c r="D2208">
        <v>25.151072160807001</v>
      </c>
      <c r="E2208">
        <v>81313.848561073406</v>
      </c>
      <c r="F2208" s="1">
        <v>46056.099097222221</v>
      </c>
      <c r="G2208">
        <v>52.874705668676299</v>
      </c>
      <c r="H2208" t="s">
        <v>26</v>
      </c>
      <c r="I2208">
        <v>42243</v>
      </c>
      <c r="J2208" t="s">
        <v>16</v>
      </c>
      <c r="K2208">
        <v>314942.79197288898</v>
      </c>
      <c r="L2208" t="s">
        <v>17</v>
      </c>
      <c r="M2208">
        <v>0</v>
      </c>
      <c r="N2208">
        <v>0.25818609167620798</v>
      </c>
    </row>
    <row r="2209" spans="2:14" x14ac:dyDescent="0.25">
      <c r="B2209" t="s">
        <v>14</v>
      </c>
      <c r="C2209" s="1">
        <v>46055.999988425923</v>
      </c>
      <c r="D2209">
        <v>25.151072160807001</v>
      </c>
      <c r="E2209">
        <v>81184.788191478001</v>
      </c>
      <c r="F2209" s="1">
        <v>46053.605474537035</v>
      </c>
      <c r="G2209">
        <v>52.874705668676299</v>
      </c>
      <c r="H2209" t="s">
        <v>26</v>
      </c>
      <c r="I2209">
        <v>42243</v>
      </c>
      <c r="J2209" t="s">
        <v>16</v>
      </c>
      <c r="K2209">
        <v>314942.79197288898</v>
      </c>
      <c r="L2209" t="s">
        <v>17</v>
      </c>
      <c r="M2209">
        <v>-129.06036959541899</v>
      </c>
      <c r="N2209">
        <v>0.257776301794093</v>
      </c>
    </row>
    <row r="2210" spans="2:14" x14ac:dyDescent="0.25">
      <c r="B2210" t="s">
        <v>14</v>
      </c>
      <c r="C2210" s="1">
        <v>46054.999988425923</v>
      </c>
      <c r="D2210">
        <v>25.151072160807001</v>
      </c>
      <c r="E2210">
        <v>81184.788191478001</v>
      </c>
      <c r="F2210" s="1">
        <v>46053.605474537035</v>
      </c>
      <c r="G2210">
        <v>52.874705668676299</v>
      </c>
      <c r="H2210" t="s">
        <v>26</v>
      </c>
      <c r="I2210">
        <v>42243</v>
      </c>
      <c r="J2210" t="s">
        <v>16</v>
      </c>
      <c r="K2210">
        <v>314942.79197288898</v>
      </c>
      <c r="L2210" t="s">
        <v>17</v>
      </c>
      <c r="M2210">
        <v>0</v>
      </c>
      <c r="N2210">
        <v>0.257776301794093</v>
      </c>
    </row>
    <row r="2211" spans="2:14" x14ac:dyDescent="0.25">
      <c r="B2211" t="s">
        <v>14</v>
      </c>
      <c r="C2211" s="1">
        <v>46053.999988425923</v>
      </c>
      <c r="D2211">
        <v>25.151072160807001</v>
      </c>
      <c r="E2211">
        <v>81184.788191478001</v>
      </c>
      <c r="F2211" s="1">
        <v>46053.605474537035</v>
      </c>
      <c r="G2211">
        <v>52.874705668676299</v>
      </c>
      <c r="H2211" t="s">
        <v>26</v>
      </c>
      <c r="I2211">
        <v>42243</v>
      </c>
      <c r="J2211" t="s">
        <v>16</v>
      </c>
      <c r="K2211">
        <v>314942.79197288898</v>
      </c>
      <c r="L2211" t="s">
        <v>17</v>
      </c>
      <c r="M2211">
        <v>0</v>
      </c>
      <c r="N2211">
        <v>0.257776301794093</v>
      </c>
    </row>
    <row r="2212" spans="2:14" x14ac:dyDescent="0.25">
      <c r="B2212" t="s">
        <v>14</v>
      </c>
      <c r="C2212" s="1">
        <v>46052.999988425923</v>
      </c>
      <c r="D2212">
        <v>25.151072160807001</v>
      </c>
      <c r="E2212">
        <v>58378.839833082799</v>
      </c>
      <c r="F2212" s="1">
        <v>46050.099814814814</v>
      </c>
      <c r="G2212">
        <v>52.874705668676299</v>
      </c>
      <c r="H2212" t="s">
        <v>26</v>
      </c>
      <c r="I2212">
        <v>42243</v>
      </c>
      <c r="J2212" t="s">
        <v>16</v>
      </c>
      <c r="K2212">
        <v>314942.79197288898</v>
      </c>
      <c r="L2212" t="s">
        <v>17</v>
      </c>
      <c r="M2212">
        <v>-22805.948358395199</v>
      </c>
      <c r="N2212">
        <v>0.18536331461146099</v>
      </c>
    </row>
    <row r="2213" spans="2:14" x14ac:dyDescent="0.25">
      <c r="B2213" t="s">
        <v>14</v>
      </c>
      <c r="C2213" s="1">
        <v>46051.999988425923</v>
      </c>
      <c r="D2213">
        <v>25.151072160807001</v>
      </c>
      <c r="E2213">
        <v>58378.839833082799</v>
      </c>
      <c r="F2213" s="1">
        <v>46050.099814814814</v>
      </c>
      <c r="G2213">
        <v>52.874705668676299</v>
      </c>
      <c r="H2213" t="s">
        <v>26</v>
      </c>
      <c r="I2213">
        <v>42243</v>
      </c>
      <c r="J2213" t="s">
        <v>16</v>
      </c>
      <c r="K2213">
        <v>314942.79197288898</v>
      </c>
      <c r="L2213" t="s">
        <v>17</v>
      </c>
      <c r="M2213">
        <v>0</v>
      </c>
      <c r="N2213">
        <v>0.18536331461146099</v>
      </c>
    </row>
    <row r="2214" spans="2:14" x14ac:dyDescent="0.25">
      <c r="B2214" t="s">
        <v>14</v>
      </c>
      <c r="C2214" s="1">
        <v>46050.999988425923</v>
      </c>
      <c r="D2214">
        <v>25.151072160807001</v>
      </c>
      <c r="E2214">
        <v>58378.839833082799</v>
      </c>
      <c r="F2214" s="1">
        <v>46050.099814814814</v>
      </c>
      <c r="G2214">
        <v>52.874705668676299</v>
      </c>
      <c r="H2214" t="s">
        <v>26</v>
      </c>
      <c r="I2214">
        <v>42243</v>
      </c>
      <c r="J2214" t="s">
        <v>16</v>
      </c>
      <c r="K2214">
        <v>314942.79197288898</v>
      </c>
      <c r="L2214" t="s">
        <v>17</v>
      </c>
      <c r="M2214">
        <v>0</v>
      </c>
      <c r="N2214">
        <v>0.18536331461146099</v>
      </c>
    </row>
    <row r="2215" spans="2:14" x14ac:dyDescent="0.25">
      <c r="B2215" t="s">
        <v>14</v>
      </c>
      <c r="C2215" s="1">
        <v>46049.999988425923</v>
      </c>
      <c r="D2215">
        <v>25.151072160807001</v>
      </c>
      <c r="E2215">
        <v>69240.346418976595</v>
      </c>
      <c r="F2215" s="1">
        <v>46047.606307870374</v>
      </c>
      <c r="G2215">
        <v>52.874705668676299</v>
      </c>
      <c r="H2215" t="s">
        <v>26</v>
      </c>
      <c r="I2215">
        <v>42243</v>
      </c>
      <c r="J2215" t="s">
        <v>16</v>
      </c>
      <c r="K2215">
        <v>314942.79197288898</v>
      </c>
      <c r="L2215" t="s">
        <v>17</v>
      </c>
      <c r="M2215">
        <v>10861.5065858937</v>
      </c>
      <c r="N2215">
        <v>0.219850551223083</v>
      </c>
    </row>
    <row r="2216" spans="2:14" x14ac:dyDescent="0.25">
      <c r="B2216" t="s">
        <v>14</v>
      </c>
      <c r="C2216" s="1">
        <v>46048.999988425923</v>
      </c>
      <c r="D2216">
        <v>25.151072160807001</v>
      </c>
      <c r="E2216">
        <v>69240.346418976595</v>
      </c>
      <c r="F2216" s="1">
        <v>46047.606307870374</v>
      </c>
      <c r="G2216">
        <v>52.874705668676299</v>
      </c>
      <c r="H2216" t="s">
        <v>26</v>
      </c>
      <c r="I2216">
        <v>42243</v>
      </c>
      <c r="J2216" t="s">
        <v>16</v>
      </c>
      <c r="K2216">
        <v>314942.79197288898</v>
      </c>
      <c r="L2216" t="s">
        <v>17</v>
      </c>
      <c r="M2216">
        <v>0</v>
      </c>
      <c r="N2216">
        <v>0.219850551223083</v>
      </c>
    </row>
    <row r="2217" spans="2:14" x14ac:dyDescent="0.25">
      <c r="B2217" t="s">
        <v>14</v>
      </c>
      <c r="C2217" s="1">
        <v>46047.999988425923</v>
      </c>
      <c r="D2217">
        <v>25.151072160807001</v>
      </c>
      <c r="E2217">
        <v>69240.346418976595</v>
      </c>
      <c r="F2217" s="1">
        <v>46047.606307870374</v>
      </c>
      <c r="G2217">
        <v>52.874705668676299</v>
      </c>
      <c r="H2217" t="s">
        <v>26</v>
      </c>
      <c r="I2217">
        <v>42243</v>
      </c>
      <c r="J2217" t="s">
        <v>16</v>
      </c>
      <c r="K2217">
        <v>314942.79197288898</v>
      </c>
      <c r="L2217" t="s">
        <v>17</v>
      </c>
      <c r="M2217">
        <v>0</v>
      </c>
      <c r="N2217">
        <v>0.219850551223083</v>
      </c>
    </row>
    <row r="2218" spans="2:14" x14ac:dyDescent="0.25">
      <c r="B2218" t="s">
        <v>14</v>
      </c>
      <c r="C2218" s="1">
        <v>46046.999988425923</v>
      </c>
      <c r="D2218">
        <v>25.151072160807001</v>
      </c>
      <c r="E2218">
        <v>69270.885396019701</v>
      </c>
      <c r="F2218" s="1">
        <v>46041.605486111112</v>
      </c>
      <c r="G2218">
        <v>52.874705668676299</v>
      </c>
      <c r="H2218" t="s">
        <v>26</v>
      </c>
      <c r="I2218">
        <v>42243</v>
      </c>
      <c r="J2218" t="s">
        <v>16</v>
      </c>
      <c r="K2218">
        <v>314942.79197288898</v>
      </c>
      <c r="L2218" t="s">
        <v>17</v>
      </c>
      <c r="M2218">
        <v>30.538977043150201</v>
      </c>
      <c r="N2218">
        <v>0.219947517966953</v>
      </c>
    </row>
    <row r="2219" spans="2:14" x14ac:dyDescent="0.25">
      <c r="B2219" t="s">
        <v>14</v>
      </c>
      <c r="C2219" s="1">
        <v>46045.999988425923</v>
      </c>
      <c r="D2219">
        <v>25.151072160807001</v>
      </c>
      <c r="E2219">
        <v>69270.885396019701</v>
      </c>
      <c r="F2219" s="1">
        <v>46041.605486111112</v>
      </c>
      <c r="G2219">
        <v>52.874705668676299</v>
      </c>
      <c r="H2219" t="s">
        <v>26</v>
      </c>
      <c r="I2219">
        <v>42243</v>
      </c>
      <c r="J2219" t="s">
        <v>16</v>
      </c>
      <c r="K2219">
        <v>314942.79197288898</v>
      </c>
      <c r="L2219" t="s">
        <v>17</v>
      </c>
      <c r="M2219">
        <v>0</v>
      </c>
      <c r="N2219">
        <v>0.219947517966953</v>
      </c>
    </row>
    <row r="2220" spans="2:14" x14ac:dyDescent="0.25">
      <c r="B2220" t="s">
        <v>14</v>
      </c>
      <c r="C2220" s="1">
        <v>46044.999988425923</v>
      </c>
      <c r="D2220">
        <v>25.151072160807001</v>
      </c>
      <c r="E2220">
        <v>69270.885396019701</v>
      </c>
      <c r="F2220" s="1">
        <v>46041.605486111112</v>
      </c>
      <c r="G2220">
        <v>52.874705668676299</v>
      </c>
      <c r="H2220" t="s">
        <v>26</v>
      </c>
      <c r="I2220">
        <v>42243</v>
      </c>
      <c r="J2220" t="s">
        <v>16</v>
      </c>
      <c r="K2220">
        <v>314942.79197288898</v>
      </c>
      <c r="L2220" t="s">
        <v>17</v>
      </c>
      <c r="M2220">
        <v>0</v>
      </c>
      <c r="N2220">
        <v>0.219947517966953</v>
      </c>
    </row>
    <row r="2221" spans="2:14" x14ac:dyDescent="0.25">
      <c r="B2221" t="s">
        <v>14</v>
      </c>
      <c r="C2221" s="1">
        <v>46043.999988425923</v>
      </c>
      <c r="D2221">
        <v>25.151072160807001</v>
      </c>
      <c r="E2221">
        <v>69270.885396019701</v>
      </c>
      <c r="F2221" s="1">
        <v>46041.605486111112</v>
      </c>
      <c r="G2221">
        <v>52.874705668676299</v>
      </c>
      <c r="H2221" t="s">
        <v>26</v>
      </c>
      <c r="I2221">
        <v>42243</v>
      </c>
      <c r="J2221" t="s">
        <v>16</v>
      </c>
      <c r="K2221">
        <v>314942.79197288898</v>
      </c>
      <c r="L2221" t="s">
        <v>17</v>
      </c>
      <c r="M2221">
        <v>0</v>
      </c>
      <c r="N2221">
        <v>0.219947517966953</v>
      </c>
    </row>
    <row r="2222" spans="2:14" x14ac:dyDescent="0.25">
      <c r="B2222" t="s">
        <v>14</v>
      </c>
      <c r="C2222" s="1">
        <v>46042.999988425923</v>
      </c>
      <c r="D2222">
        <v>25.151072160807001</v>
      </c>
      <c r="E2222">
        <v>69270.885396019701</v>
      </c>
      <c r="F2222" s="1">
        <v>46041.605486111112</v>
      </c>
      <c r="G2222">
        <v>52.874705668676299</v>
      </c>
      <c r="H2222" t="s">
        <v>26</v>
      </c>
      <c r="I2222">
        <v>42243</v>
      </c>
      <c r="J2222" t="s">
        <v>16</v>
      </c>
      <c r="K2222">
        <v>314942.79197288898</v>
      </c>
      <c r="L2222" t="s">
        <v>17</v>
      </c>
      <c r="M2222">
        <v>0</v>
      </c>
      <c r="N2222">
        <v>0.219947517966953</v>
      </c>
    </row>
    <row r="2223" spans="2:14" x14ac:dyDescent="0.25">
      <c r="B2223" t="s">
        <v>14</v>
      </c>
      <c r="C2223" s="1">
        <v>46041.999988425923</v>
      </c>
      <c r="D2223">
        <v>25.151072160807001</v>
      </c>
      <c r="E2223">
        <v>69270.885396019701</v>
      </c>
      <c r="F2223" s="1">
        <v>46041.605486111112</v>
      </c>
      <c r="G2223">
        <v>52.874705668676299</v>
      </c>
      <c r="H2223" t="s">
        <v>26</v>
      </c>
      <c r="I2223">
        <v>42243</v>
      </c>
      <c r="J2223" t="s">
        <v>16</v>
      </c>
      <c r="K2223">
        <v>314942.79197288898</v>
      </c>
      <c r="L2223" t="s">
        <v>17</v>
      </c>
      <c r="M2223">
        <v>0</v>
      </c>
      <c r="N2223">
        <v>0.219947517966953</v>
      </c>
    </row>
    <row r="2224" spans="2:14" x14ac:dyDescent="0.25">
      <c r="B2224" t="s">
        <v>14</v>
      </c>
      <c r="C2224" s="1">
        <v>46040.999988425923</v>
      </c>
      <c r="D2224">
        <v>25.151072160807001</v>
      </c>
      <c r="E2224">
        <v>55967.315383588299</v>
      </c>
      <c r="F2224" s="1">
        <v>46038.099826388891</v>
      </c>
      <c r="G2224">
        <v>52.874705668676299</v>
      </c>
      <c r="H2224" t="s">
        <v>26</v>
      </c>
      <c r="I2224">
        <v>42243</v>
      </c>
      <c r="J2224" t="s">
        <v>16</v>
      </c>
      <c r="K2224">
        <v>314942.79197288898</v>
      </c>
      <c r="L2224" t="s">
        <v>17</v>
      </c>
      <c r="M2224">
        <v>-13303.570012431401</v>
      </c>
      <c r="N2224">
        <v>0.17770629082505199</v>
      </c>
    </row>
    <row r="2225" spans="2:14" x14ac:dyDescent="0.25">
      <c r="B2225" t="s">
        <v>14</v>
      </c>
      <c r="C2225" s="1">
        <v>46039.999988425923</v>
      </c>
      <c r="D2225">
        <v>25.151072160807001</v>
      </c>
      <c r="E2225">
        <v>55967.315383588299</v>
      </c>
      <c r="F2225" s="1">
        <v>46038.099826388891</v>
      </c>
      <c r="G2225">
        <v>52.874705668676299</v>
      </c>
      <c r="H2225" t="s">
        <v>26</v>
      </c>
      <c r="I2225">
        <v>42243</v>
      </c>
      <c r="J2225" t="s">
        <v>16</v>
      </c>
      <c r="K2225">
        <v>314942.79197288898</v>
      </c>
      <c r="L2225" t="s">
        <v>17</v>
      </c>
      <c r="M2225">
        <v>0</v>
      </c>
      <c r="N2225">
        <v>0.17770629082505199</v>
      </c>
    </row>
    <row r="2226" spans="2:14" x14ac:dyDescent="0.25">
      <c r="B2226" t="s">
        <v>14</v>
      </c>
      <c r="C2226" s="1">
        <v>46038.999988425923</v>
      </c>
      <c r="D2226">
        <v>25.151072160807001</v>
      </c>
      <c r="E2226">
        <v>55967.315383588299</v>
      </c>
      <c r="F2226" s="1">
        <v>46038.099826388891</v>
      </c>
      <c r="G2226">
        <v>52.874705668676299</v>
      </c>
      <c r="H2226" t="s">
        <v>26</v>
      </c>
      <c r="I2226">
        <v>42243</v>
      </c>
      <c r="J2226" t="s">
        <v>16</v>
      </c>
      <c r="K2226">
        <v>314942.79197288898</v>
      </c>
      <c r="L2226" t="s">
        <v>17</v>
      </c>
      <c r="M2226">
        <v>0</v>
      </c>
      <c r="N2226">
        <v>0.17770629082505199</v>
      </c>
    </row>
    <row r="2227" spans="2:14" x14ac:dyDescent="0.25">
      <c r="B2227" t="s">
        <v>14</v>
      </c>
      <c r="C2227" s="1">
        <v>46037.999988425923</v>
      </c>
      <c r="D2227">
        <v>25.151072160807001</v>
      </c>
      <c r="E2227">
        <v>72702.441211578902</v>
      </c>
      <c r="F2227" s="1">
        <v>46035.606319444443</v>
      </c>
      <c r="G2227">
        <v>52.874705668676299</v>
      </c>
      <c r="H2227" t="s">
        <v>26</v>
      </c>
      <c r="I2227">
        <v>42243</v>
      </c>
      <c r="J2227" t="s">
        <v>16</v>
      </c>
      <c r="K2227">
        <v>314942.79197288898</v>
      </c>
      <c r="L2227" t="s">
        <v>17</v>
      </c>
      <c r="M2227">
        <v>16735.1258279906</v>
      </c>
      <c r="N2227">
        <v>0.23084332477066799</v>
      </c>
    </row>
    <row r="2228" spans="2:14" x14ac:dyDescent="0.25">
      <c r="B2228" t="s">
        <v>14</v>
      </c>
      <c r="C2228" s="1">
        <v>46036.999988425923</v>
      </c>
      <c r="D2228">
        <v>25.151072160807001</v>
      </c>
      <c r="E2228">
        <v>72702.441211578902</v>
      </c>
      <c r="F2228" s="1">
        <v>46035.606319444443</v>
      </c>
      <c r="G2228">
        <v>52.874705668676299</v>
      </c>
      <c r="H2228" t="s">
        <v>26</v>
      </c>
      <c r="I2228">
        <v>42243</v>
      </c>
      <c r="J2228" t="s">
        <v>16</v>
      </c>
      <c r="K2228">
        <v>314942.79197288898</v>
      </c>
      <c r="L2228" t="s">
        <v>17</v>
      </c>
      <c r="M2228">
        <v>0</v>
      </c>
      <c r="N2228">
        <v>0.23084332477066799</v>
      </c>
    </row>
    <row r="2229" spans="2:14" x14ac:dyDescent="0.25">
      <c r="B2229" t="s">
        <v>14</v>
      </c>
      <c r="C2229" s="1">
        <v>46035.999988425923</v>
      </c>
      <c r="D2229">
        <v>25.151072160807001</v>
      </c>
      <c r="E2229">
        <v>72702.441211578902</v>
      </c>
      <c r="F2229" s="1">
        <v>46035.606319444443</v>
      </c>
      <c r="G2229">
        <v>52.874705668676299</v>
      </c>
      <c r="H2229" t="s">
        <v>26</v>
      </c>
      <c r="I2229">
        <v>42243</v>
      </c>
      <c r="J2229" t="s">
        <v>16</v>
      </c>
      <c r="K2229">
        <v>314942.79197288898</v>
      </c>
      <c r="L2229" t="s">
        <v>17</v>
      </c>
      <c r="M2229">
        <v>0</v>
      </c>
      <c r="N2229">
        <v>0.23084332477066799</v>
      </c>
    </row>
    <row r="2230" spans="2:14" x14ac:dyDescent="0.25">
      <c r="B2230" t="s">
        <v>14</v>
      </c>
      <c r="C2230" s="1">
        <v>46034.999988425923</v>
      </c>
      <c r="D2230">
        <v>25.151072160807001</v>
      </c>
      <c r="E2230">
        <v>57933.583320956503</v>
      </c>
      <c r="F2230" s="1">
        <v>46032.099108796298</v>
      </c>
      <c r="G2230">
        <v>52.874705668676299</v>
      </c>
      <c r="H2230" t="s">
        <v>26</v>
      </c>
      <c r="I2230">
        <v>42243</v>
      </c>
      <c r="J2230" t="s">
        <v>16</v>
      </c>
      <c r="K2230">
        <v>314942.79197288898</v>
      </c>
      <c r="L2230" t="s">
        <v>17</v>
      </c>
      <c r="M2230">
        <v>-14768.857890622399</v>
      </c>
      <c r="N2230">
        <v>0.183949545115938</v>
      </c>
    </row>
    <row r="2231" spans="2:14" x14ac:dyDescent="0.25">
      <c r="B2231" t="s">
        <v>14</v>
      </c>
      <c r="C2231" s="1">
        <v>46033.999988425923</v>
      </c>
      <c r="D2231">
        <v>25.151072160807001</v>
      </c>
      <c r="E2231">
        <v>57933.583320956503</v>
      </c>
      <c r="F2231" s="1">
        <v>46032.099108796298</v>
      </c>
      <c r="G2231">
        <v>52.874705668676299</v>
      </c>
      <c r="H2231" t="s">
        <v>26</v>
      </c>
      <c r="I2231">
        <v>42243</v>
      </c>
      <c r="J2231" t="s">
        <v>16</v>
      </c>
      <c r="K2231">
        <v>314942.79197288898</v>
      </c>
      <c r="L2231" t="s">
        <v>17</v>
      </c>
      <c r="M2231">
        <v>0</v>
      </c>
      <c r="N2231">
        <v>0.183949545115938</v>
      </c>
    </row>
    <row r="2232" spans="2:14" x14ac:dyDescent="0.25">
      <c r="B2232" t="s">
        <v>14</v>
      </c>
      <c r="C2232" s="1">
        <v>46032.999988425923</v>
      </c>
      <c r="D2232">
        <v>25.151072160807001</v>
      </c>
      <c r="E2232">
        <v>57933.583320956503</v>
      </c>
      <c r="F2232" s="1">
        <v>46032.099108796298</v>
      </c>
      <c r="G2232">
        <v>52.874705668676299</v>
      </c>
      <c r="H2232" t="s">
        <v>26</v>
      </c>
      <c r="I2232">
        <v>42243</v>
      </c>
      <c r="J2232" t="s">
        <v>16</v>
      </c>
      <c r="K2232">
        <v>314942.79197288898</v>
      </c>
      <c r="L2232" t="s">
        <v>17</v>
      </c>
      <c r="M2232">
        <v>0</v>
      </c>
      <c r="N2232">
        <v>0.183949545115938</v>
      </c>
    </row>
    <row r="2233" spans="2:14" x14ac:dyDescent="0.25">
      <c r="B2233" t="s">
        <v>14</v>
      </c>
      <c r="C2233" s="1">
        <v>46031.999988425923</v>
      </c>
      <c r="D2233">
        <v>25.151072160807001</v>
      </c>
      <c r="E2233">
        <v>70420.018501566999</v>
      </c>
      <c r="F2233" s="1">
        <v>46029.605486111112</v>
      </c>
      <c r="G2233">
        <v>52.874705668676299</v>
      </c>
      <c r="H2233" t="s">
        <v>26</v>
      </c>
      <c r="I2233">
        <v>42243</v>
      </c>
      <c r="J2233" t="s">
        <v>16</v>
      </c>
      <c r="K2233">
        <v>314942.79197288898</v>
      </c>
      <c r="L2233" t="s">
        <v>17</v>
      </c>
      <c r="M2233">
        <v>12486.435180610501</v>
      </c>
      <c r="N2233">
        <v>0.22359622222320499</v>
      </c>
    </row>
    <row r="2234" spans="2:14" x14ac:dyDescent="0.25">
      <c r="B2234" t="s">
        <v>14</v>
      </c>
      <c r="C2234" s="1">
        <v>46030.999988425923</v>
      </c>
      <c r="D2234">
        <v>25.151072160807001</v>
      </c>
      <c r="E2234">
        <v>70420.018501566999</v>
      </c>
      <c r="F2234" s="1">
        <v>46029.605486111112</v>
      </c>
      <c r="G2234">
        <v>52.874705668676299</v>
      </c>
      <c r="H2234" t="s">
        <v>26</v>
      </c>
      <c r="I2234">
        <v>42243</v>
      </c>
      <c r="J2234" t="s">
        <v>16</v>
      </c>
      <c r="K2234">
        <v>314942.79197288898</v>
      </c>
      <c r="L2234" t="s">
        <v>17</v>
      </c>
      <c r="M2234">
        <v>0</v>
      </c>
      <c r="N2234">
        <v>0.22359622222320499</v>
      </c>
    </row>
    <row r="2235" spans="2:14" x14ac:dyDescent="0.25">
      <c r="B2235" t="s">
        <v>14</v>
      </c>
      <c r="C2235" s="1">
        <v>46029.999988425923</v>
      </c>
      <c r="D2235">
        <v>25.151072160807001</v>
      </c>
      <c r="E2235">
        <v>70420.018501566999</v>
      </c>
      <c r="F2235" s="1">
        <v>46029.605486111112</v>
      </c>
      <c r="G2235">
        <v>52.874705668676299</v>
      </c>
      <c r="H2235" t="s">
        <v>26</v>
      </c>
      <c r="I2235">
        <v>42243</v>
      </c>
      <c r="J2235" t="s">
        <v>16</v>
      </c>
      <c r="K2235">
        <v>314942.79197288898</v>
      </c>
      <c r="L2235" t="s">
        <v>17</v>
      </c>
      <c r="M2235">
        <v>0</v>
      </c>
      <c r="N2235">
        <v>0.22359622222320499</v>
      </c>
    </row>
    <row r="2236" spans="2:14" x14ac:dyDescent="0.25">
      <c r="B2236" t="s">
        <v>14</v>
      </c>
      <c r="C2236" s="1">
        <v>46028.999988425923</v>
      </c>
      <c r="D2236">
        <v>25.151072160807001</v>
      </c>
      <c r="E2236">
        <v>304516.033453779</v>
      </c>
      <c r="F2236" s="1">
        <v>46026.09983796296</v>
      </c>
      <c r="G2236">
        <v>52.874705668676299</v>
      </c>
      <c r="H2236" t="s">
        <v>26</v>
      </c>
      <c r="I2236">
        <v>42243</v>
      </c>
      <c r="J2236" t="s">
        <v>16</v>
      </c>
      <c r="K2236">
        <v>314942.79197288898</v>
      </c>
      <c r="L2236" t="s">
        <v>17</v>
      </c>
      <c r="M2236">
        <v>234096.014952211</v>
      </c>
      <c r="N2236">
        <v>0.96689316668022596</v>
      </c>
    </row>
    <row r="2237" spans="2:14" x14ac:dyDescent="0.25">
      <c r="B2237" t="s">
        <v>14</v>
      </c>
      <c r="C2237" s="1">
        <v>46027.999988425923</v>
      </c>
      <c r="D2237">
        <v>25.151072160807001</v>
      </c>
      <c r="E2237">
        <v>304516.033453779</v>
      </c>
      <c r="F2237" s="1">
        <v>46026.09983796296</v>
      </c>
      <c r="G2237">
        <v>52.874705668676299</v>
      </c>
      <c r="H2237" t="s">
        <v>26</v>
      </c>
      <c r="I2237">
        <v>42243</v>
      </c>
      <c r="J2237" t="s">
        <v>16</v>
      </c>
      <c r="K2237">
        <v>314942.79197288898</v>
      </c>
      <c r="L2237" t="s">
        <v>17</v>
      </c>
      <c r="M2237">
        <v>0</v>
      </c>
      <c r="N2237">
        <v>0.96689316668022596</v>
      </c>
    </row>
    <row r="2238" spans="2:14" x14ac:dyDescent="0.25">
      <c r="B2238" t="s">
        <v>14</v>
      </c>
      <c r="C2238" s="1">
        <v>46026.999988425923</v>
      </c>
      <c r="D2238">
        <v>25.151072160807001</v>
      </c>
      <c r="E2238">
        <v>304516.033453779</v>
      </c>
      <c r="F2238" s="1">
        <v>46026.09983796296</v>
      </c>
      <c r="G2238">
        <v>52.874705668676299</v>
      </c>
      <c r="H2238" t="s">
        <v>26</v>
      </c>
      <c r="I2238">
        <v>42243</v>
      </c>
      <c r="J2238" t="s">
        <v>16</v>
      </c>
      <c r="K2238">
        <v>314942.79197288898</v>
      </c>
      <c r="L2238" t="s">
        <v>17</v>
      </c>
      <c r="M2238">
        <v>0</v>
      </c>
      <c r="N2238">
        <v>0.96689316668022596</v>
      </c>
    </row>
    <row r="2239" spans="2:14" x14ac:dyDescent="0.25">
      <c r="B2239" t="s">
        <v>14</v>
      </c>
      <c r="C2239" s="1">
        <v>46025.999988425923</v>
      </c>
      <c r="D2239">
        <v>25.151072160807001</v>
      </c>
      <c r="E2239">
        <v>284867.82633355202</v>
      </c>
      <c r="F2239" s="1">
        <v>46023.60633101852</v>
      </c>
      <c r="G2239">
        <v>52.874705668676299</v>
      </c>
      <c r="H2239" t="s">
        <v>26</v>
      </c>
      <c r="I2239">
        <v>42243</v>
      </c>
      <c r="J2239" t="s">
        <v>16</v>
      </c>
      <c r="K2239">
        <v>314942.79197288898</v>
      </c>
      <c r="L2239" t="s">
        <v>17</v>
      </c>
      <c r="M2239">
        <v>-19648.207120226201</v>
      </c>
      <c r="N2239">
        <v>0.90450657577860805</v>
      </c>
    </row>
    <row r="2240" spans="2:14" x14ac:dyDescent="0.25">
      <c r="B2240" t="s">
        <v>14</v>
      </c>
      <c r="C2240" s="1">
        <v>46024.999988425923</v>
      </c>
      <c r="D2240">
        <v>25.151072160807001</v>
      </c>
      <c r="E2240">
        <v>284867.82633355202</v>
      </c>
      <c r="F2240" s="1">
        <v>46023.60633101852</v>
      </c>
      <c r="G2240">
        <v>52.874705668676299</v>
      </c>
      <c r="H2240" t="s">
        <v>26</v>
      </c>
      <c r="I2240">
        <v>42243</v>
      </c>
      <c r="J2240" t="s">
        <v>16</v>
      </c>
      <c r="K2240">
        <v>314942.79197288898</v>
      </c>
      <c r="L2240" t="s">
        <v>17</v>
      </c>
      <c r="M2240">
        <v>0</v>
      </c>
      <c r="N2240">
        <v>0.90450657577860805</v>
      </c>
    </row>
    <row r="2241" spans="2:14" x14ac:dyDescent="0.25">
      <c r="B2241" t="s">
        <v>14</v>
      </c>
      <c r="C2241" s="1">
        <v>46023.999988425923</v>
      </c>
      <c r="D2241">
        <v>25.151072160807001</v>
      </c>
      <c r="E2241">
        <v>284867.82633355202</v>
      </c>
      <c r="F2241" s="1">
        <v>46023.60633101852</v>
      </c>
      <c r="G2241">
        <v>52.874705668676299</v>
      </c>
      <c r="H2241" t="s">
        <v>26</v>
      </c>
      <c r="I2241">
        <v>42243</v>
      </c>
      <c r="J2241" t="s">
        <v>16</v>
      </c>
      <c r="K2241">
        <v>314942.79197288898</v>
      </c>
      <c r="L2241" t="s">
        <v>17</v>
      </c>
      <c r="M2241">
        <v>0</v>
      </c>
      <c r="N2241">
        <v>0.90450657577860805</v>
      </c>
    </row>
    <row r="2242" spans="2:14" x14ac:dyDescent="0.25">
      <c r="B2242" t="s">
        <v>14</v>
      </c>
      <c r="C2242" s="1">
        <v>46246.999988425923</v>
      </c>
      <c r="D2242">
        <v>25.152079397565299</v>
      </c>
      <c r="E2242">
        <v>284149.25079040503</v>
      </c>
      <c r="F2242" s="1">
        <v>46246.605821759258</v>
      </c>
      <c r="G2242">
        <v>52.874703175737103</v>
      </c>
      <c r="H2242" t="s">
        <v>27</v>
      </c>
      <c r="I2242">
        <v>42243</v>
      </c>
      <c r="J2242" t="s">
        <v>16</v>
      </c>
      <c r="K2242">
        <v>284149.25079040503</v>
      </c>
      <c r="L2242" t="s">
        <v>17</v>
      </c>
      <c r="M2242">
        <v>0</v>
      </c>
      <c r="N2242">
        <v>1</v>
      </c>
    </row>
    <row r="2243" spans="2:14" x14ac:dyDescent="0.25">
      <c r="B2243" t="s">
        <v>14</v>
      </c>
      <c r="C2243" s="1">
        <v>46245.999988425923</v>
      </c>
      <c r="D2243">
        <v>25.152079397565299</v>
      </c>
      <c r="E2243">
        <v>284149.25079040503</v>
      </c>
      <c r="F2243" s="1">
        <v>46243.09915509259</v>
      </c>
      <c r="G2243">
        <v>52.874703175737103</v>
      </c>
      <c r="H2243" t="s">
        <v>27</v>
      </c>
      <c r="I2243">
        <v>42243</v>
      </c>
      <c r="J2243" t="s">
        <v>16</v>
      </c>
      <c r="K2243">
        <v>284149.25079040503</v>
      </c>
      <c r="L2243" t="s">
        <v>17</v>
      </c>
      <c r="M2243">
        <v>0</v>
      </c>
      <c r="N2243">
        <v>1</v>
      </c>
    </row>
    <row r="2244" spans="2:14" x14ac:dyDescent="0.25">
      <c r="B2244" t="s">
        <v>14</v>
      </c>
      <c r="C2244" s="1">
        <v>46244.999988425923</v>
      </c>
      <c r="D2244">
        <v>25.152079397565299</v>
      </c>
      <c r="E2244">
        <v>284149.25079040503</v>
      </c>
      <c r="F2244" s="1">
        <v>46243.09915509259</v>
      </c>
      <c r="G2244">
        <v>52.874703175737103</v>
      </c>
      <c r="H2244" t="s">
        <v>27</v>
      </c>
      <c r="I2244">
        <v>42243</v>
      </c>
      <c r="J2244" t="s">
        <v>16</v>
      </c>
      <c r="K2244">
        <v>284149.25079040503</v>
      </c>
      <c r="L2244" t="s">
        <v>17</v>
      </c>
      <c r="M2244">
        <v>0</v>
      </c>
      <c r="N2244">
        <v>1</v>
      </c>
    </row>
    <row r="2245" spans="2:14" x14ac:dyDescent="0.25">
      <c r="B2245" t="s">
        <v>14</v>
      </c>
      <c r="C2245" s="1">
        <v>46243.999988425923</v>
      </c>
      <c r="D2245">
        <v>25.152079397565299</v>
      </c>
      <c r="E2245">
        <v>284149.25079040503</v>
      </c>
      <c r="F2245" s="1">
        <v>46243.09915509259</v>
      </c>
      <c r="G2245">
        <v>52.874703175737103</v>
      </c>
      <c r="H2245" t="s">
        <v>27</v>
      </c>
      <c r="I2245">
        <v>42243</v>
      </c>
      <c r="J2245" t="s">
        <v>16</v>
      </c>
      <c r="K2245">
        <v>284149.25079040503</v>
      </c>
      <c r="L2245" t="s">
        <v>17</v>
      </c>
      <c r="M2245">
        <v>0</v>
      </c>
      <c r="N2245">
        <v>1</v>
      </c>
    </row>
    <row r="2246" spans="2:14" x14ac:dyDescent="0.25">
      <c r="B2246" t="s">
        <v>14</v>
      </c>
      <c r="C2246" s="1">
        <v>46242.999988425923</v>
      </c>
      <c r="D2246">
        <v>25.152079397565299</v>
      </c>
      <c r="E2246">
        <v>284095.42572705599</v>
      </c>
      <c r="F2246" s="1">
        <v>46240.605520833335</v>
      </c>
      <c r="G2246">
        <v>52.874703175737103</v>
      </c>
      <c r="H2246" t="s">
        <v>27</v>
      </c>
      <c r="I2246">
        <v>42243</v>
      </c>
      <c r="J2246" t="s">
        <v>16</v>
      </c>
      <c r="K2246">
        <v>284149.25079040503</v>
      </c>
      <c r="L2246" t="s">
        <v>17</v>
      </c>
      <c r="M2246">
        <v>-53.825063349213401</v>
      </c>
      <c r="N2246">
        <v>0.999810574677921</v>
      </c>
    </row>
    <row r="2247" spans="2:14" x14ac:dyDescent="0.25">
      <c r="B2247" t="s">
        <v>14</v>
      </c>
      <c r="C2247" s="1">
        <v>46241.999988425923</v>
      </c>
      <c r="D2247">
        <v>25.152079397565299</v>
      </c>
      <c r="E2247">
        <v>284095.42572705599</v>
      </c>
      <c r="F2247" s="1">
        <v>46240.605520833335</v>
      </c>
      <c r="G2247">
        <v>52.874703175737103</v>
      </c>
      <c r="H2247" t="s">
        <v>27</v>
      </c>
      <c r="I2247">
        <v>42243</v>
      </c>
      <c r="J2247" t="s">
        <v>16</v>
      </c>
      <c r="K2247">
        <v>284149.25079040503</v>
      </c>
      <c r="L2247" t="s">
        <v>17</v>
      </c>
      <c r="M2247">
        <v>0</v>
      </c>
      <c r="N2247">
        <v>0.999810574677921</v>
      </c>
    </row>
    <row r="2248" spans="2:14" x14ac:dyDescent="0.25">
      <c r="B2248" t="s">
        <v>14</v>
      </c>
      <c r="C2248" s="1">
        <v>46240.999988425923</v>
      </c>
      <c r="D2248">
        <v>25.152079397565299</v>
      </c>
      <c r="E2248">
        <v>284095.42572705599</v>
      </c>
      <c r="F2248" s="1">
        <v>46240.605520833335</v>
      </c>
      <c r="G2248">
        <v>52.874703175737103</v>
      </c>
      <c r="H2248" t="s">
        <v>27</v>
      </c>
      <c r="I2248">
        <v>42243</v>
      </c>
      <c r="J2248" t="s">
        <v>16</v>
      </c>
      <c r="K2248">
        <v>284149.25079040503</v>
      </c>
      <c r="L2248" t="s">
        <v>17</v>
      </c>
      <c r="M2248">
        <v>0</v>
      </c>
      <c r="N2248">
        <v>0.999810574677921</v>
      </c>
    </row>
    <row r="2249" spans="2:14" x14ac:dyDescent="0.25">
      <c r="B2249" t="s">
        <v>14</v>
      </c>
      <c r="C2249" s="1">
        <v>46239.999988425923</v>
      </c>
      <c r="D2249">
        <v>25.152079397565299</v>
      </c>
      <c r="E2249">
        <v>284149.25079040503</v>
      </c>
      <c r="F2249" s="1">
        <v>46237.099328703705</v>
      </c>
      <c r="G2249">
        <v>52.874703175737103</v>
      </c>
      <c r="H2249" t="s">
        <v>27</v>
      </c>
      <c r="I2249">
        <v>42243</v>
      </c>
      <c r="J2249" t="s">
        <v>16</v>
      </c>
      <c r="K2249">
        <v>284149.25079040503</v>
      </c>
      <c r="L2249" t="s">
        <v>17</v>
      </c>
      <c r="M2249">
        <v>53.825063349213401</v>
      </c>
      <c r="N2249">
        <v>1</v>
      </c>
    </row>
    <row r="2250" spans="2:14" x14ac:dyDescent="0.25">
      <c r="B2250" t="s">
        <v>14</v>
      </c>
      <c r="C2250" s="1">
        <v>46238.999988425923</v>
      </c>
      <c r="D2250">
        <v>25.152079397565299</v>
      </c>
      <c r="E2250">
        <v>284149.25079040503</v>
      </c>
      <c r="F2250" s="1">
        <v>46237.099328703705</v>
      </c>
      <c r="G2250">
        <v>52.874703175737103</v>
      </c>
      <c r="H2250" t="s">
        <v>27</v>
      </c>
      <c r="I2250">
        <v>42243</v>
      </c>
      <c r="J2250" t="s">
        <v>16</v>
      </c>
      <c r="K2250">
        <v>284149.25079040503</v>
      </c>
      <c r="L2250" t="s">
        <v>17</v>
      </c>
      <c r="M2250">
        <v>0</v>
      </c>
      <c r="N2250">
        <v>1</v>
      </c>
    </row>
    <row r="2251" spans="2:14" x14ac:dyDescent="0.25">
      <c r="B2251" t="s">
        <v>14</v>
      </c>
      <c r="C2251" s="1">
        <v>46237.999988425923</v>
      </c>
      <c r="D2251">
        <v>25.152079397565299</v>
      </c>
      <c r="E2251">
        <v>284149.25079040503</v>
      </c>
      <c r="F2251" s="1">
        <v>46237.099328703705</v>
      </c>
      <c r="G2251">
        <v>52.874703175737103</v>
      </c>
      <c r="H2251" t="s">
        <v>27</v>
      </c>
      <c r="I2251">
        <v>42243</v>
      </c>
      <c r="J2251" t="s">
        <v>16</v>
      </c>
      <c r="K2251">
        <v>284149.25079040503</v>
      </c>
      <c r="L2251" t="s">
        <v>17</v>
      </c>
      <c r="M2251">
        <v>0</v>
      </c>
      <c r="N2251">
        <v>1</v>
      </c>
    </row>
    <row r="2252" spans="2:14" x14ac:dyDescent="0.25">
      <c r="B2252" t="s">
        <v>14</v>
      </c>
      <c r="C2252" s="1">
        <v>46236.999988425923</v>
      </c>
      <c r="D2252">
        <v>25.152079397565299</v>
      </c>
      <c r="E2252">
        <v>284149.25079040503</v>
      </c>
      <c r="F2252" s="1">
        <v>46234.605810185189</v>
      </c>
      <c r="G2252">
        <v>52.874703175737103</v>
      </c>
      <c r="H2252" t="s">
        <v>27</v>
      </c>
      <c r="I2252">
        <v>42243</v>
      </c>
      <c r="J2252" t="s">
        <v>16</v>
      </c>
      <c r="K2252">
        <v>284149.25079040503</v>
      </c>
      <c r="L2252" t="s">
        <v>17</v>
      </c>
      <c r="M2252">
        <v>0</v>
      </c>
      <c r="N2252">
        <v>1</v>
      </c>
    </row>
    <row r="2253" spans="2:14" x14ac:dyDescent="0.25">
      <c r="B2253" t="s">
        <v>14</v>
      </c>
      <c r="C2253" s="1">
        <v>46235.999988425923</v>
      </c>
      <c r="D2253">
        <v>25.152079397565299</v>
      </c>
      <c r="E2253">
        <v>284149.25079040503</v>
      </c>
      <c r="F2253" s="1">
        <v>46234.605810185189</v>
      </c>
      <c r="G2253">
        <v>52.874703175737103</v>
      </c>
      <c r="H2253" t="s">
        <v>27</v>
      </c>
      <c r="I2253">
        <v>42243</v>
      </c>
      <c r="J2253" t="s">
        <v>16</v>
      </c>
      <c r="K2253">
        <v>284149.25079040503</v>
      </c>
      <c r="L2253" t="s">
        <v>17</v>
      </c>
      <c r="M2253">
        <v>0</v>
      </c>
      <c r="N2253">
        <v>1</v>
      </c>
    </row>
    <row r="2254" spans="2:14" x14ac:dyDescent="0.25">
      <c r="B2254" t="s">
        <v>14</v>
      </c>
      <c r="C2254" s="1">
        <v>46234.999988425923</v>
      </c>
      <c r="D2254">
        <v>25.152079397565299</v>
      </c>
      <c r="E2254">
        <v>284149.25079040503</v>
      </c>
      <c r="F2254" s="1">
        <v>46234.605810185189</v>
      </c>
      <c r="G2254">
        <v>52.874703175737103</v>
      </c>
      <c r="H2254" t="s">
        <v>27</v>
      </c>
      <c r="I2254">
        <v>42243</v>
      </c>
      <c r="J2254" t="s">
        <v>16</v>
      </c>
      <c r="K2254">
        <v>284149.25079040503</v>
      </c>
      <c r="L2254" t="s">
        <v>17</v>
      </c>
      <c r="M2254">
        <v>0</v>
      </c>
      <c r="N2254">
        <v>1</v>
      </c>
    </row>
    <row r="2255" spans="2:14" x14ac:dyDescent="0.25">
      <c r="B2255" t="s">
        <v>14</v>
      </c>
      <c r="C2255" s="1">
        <v>46233.999988425923</v>
      </c>
      <c r="D2255">
        <v>25.152079397565299</v>
      </c>
      <c r="E2255">
        <v>263598.34659671102</v>
      </c>
      <c r="F2255" s="1">
        <v>46231.09915509259</v>
      </c>
      <c r="G2255">
        <v>52.874703175737103</v>
      </c>
      <c r="H2255" t="s">
        <v>27</v>
      </c>
      <c r="I2255">
        <v>42243</v>
      </c>
      <c r="J2255" t="s">
        <v>16</v>
      </c>
      <c r="K2255">
        <v>284149.25079040503</v>
      </c>
      <c r="L2255" t="s">
        <v>17</v>
      </c>
      <c r="M2255">
        <v>-20550.904193693499</v>
      </c>
      <c r="N2255">
        <v>0.92767566996383699</v>
      </c>
    </row>
    <row r="2256" spans="2:14" x14ac:dyDescent="0.25">
      <c r="B2256" t="s">
        <v>14</v>
      </c>
      <c r="C2256" s="1">
        <v>46232.999988425923</v>
      </c>
      <c r="D2256">
        <v>25.152079397565299</v>
      </c>
      <c r="E2256">
        <v>263598.34659671102</v>
      </c>
      <c r="F2256" s="1">
        <v>46231.09915509259</v>
      </c>
      <c r="G2256">
        <v>52.874703175737103</v>
      </c>
      <c r="H2256" t="s">
        <v>27</v>
      </c>
      <c r="I2256">
        <v>42243</v>
      </c>
      <c r="J2256" t="s">
        <v>16</v>
      </c>
      <c r="K2256">
        <v>284149.25079040503</v>
      </c>
      <c r="L2256" t="s">
        <v>17</v>
      </c>
      <c r="M2256">
        <v>0</v>
      </c>
      <c r="N2256">
        <v>0.92767566996383699</v>
      </c>
    </row>
    <row r="2257" spans="2:14" x14ac:dyDescent="0.25">
      <c r="B2257" t="s">
        <v>14</v>
      </c>
      <c r="C2257" s="1">
        <v>46231.999988425923</v>
      </c>
      <c r="D2257">
        <v>25.152079397565299</v>
      </c>
      <c r="E2257">
        <v>263598.34659671102</v>
      </c>
      <c r="F2257" s="1">
        <v>46231.09915509259</v>
      </c>
      <c r="G2257">
        <v>52.874703175737103</v>
      </c>
      <c r="H2257" t="s">
        <v>27</v>
      </c>
      <c r="I2257">
        <v>42243</v>
      </c>
      <c r="J2257" t="s">
        <v>16</v>
      </c>
      <c r="K2257">
        <v>284149.25079040503</v>
      </c>
      <c r="L2257" t="s">
        <v>17</v>
      </c>
      <c r="M2257">
        <v>0</v>
      </c>
      <c r="N2257">
        <v>0.92767566996383699</v>
      </c>
    </row>
    <row r="2258" spans="2:14" x14ac:dyDescent="0.25">
      <c r="B2258" t="s">
        <v>14</v>
      </c>
      <c r="C2258" s="1">
        <v>46230.999988425923</v>
      </c>
      <c r="D2258">
        <v>25.152079397565299</v>
      </c>
      <c r="E2258">
        <v>279835.413908188</v>
      </c>
      <c r="F2258" s="1">
        <v>46228.605520833335</v>
      </c>
      <c r="G2258">
        <v>52.874703175737103</v>
      </c>
      <c r="H2258" t="s">
        <v>27</v>
      </c>
      <c r="I2258">
        <v>42243</v>
      </c>
      <c r="J2258" t="s">
        <v>16</v>
      </c>
      <c r="K2258">
        <v>284149.25079040503</v>
      </c>
      <c r="L2258" t="s">
        <v>17</v>
      </c>
      <c r="M2258">
        <v>16237.067311476099</v>
      </c>
      <c r="N2258">
        <v>0.98481841190776398</v>
      </c>
    </row>
    <row r="2259" spans="2:14" x14ac:dyDescent="0.25">
      <c r="B2259" t="s">
        <v>14</v>
      </c>
      <c r="C2259" s="1">
        <v>46229.999988425923</v>
      </c>
      <c r="D2259">
        <v>25.152079397565299</v>
      </c>
      <c r="E2259">
        <v>279835.413908188</v>
      </c>
      <c r="F2259" s="1">
        <v>46228.605520833335</v>
      </c>
      <c r="G2259">
        <v>52.874703175737103</v>
      </c>
      <c r="H2259" t="s">
        <v>27</v>
      </c>
      <c r="I2259">
        <v>42243</v>
      </c>
      <c r="J2259" t="s">
        <v>16</v>
      </c>
      <c r="K2259">
        <v>284149.25079040503</v>
      </c>
      <c r="L2259" t="s">
        <v>17</v>
      </c>
      <c r="M2259">
        <v>0</v>
      </c>
      <c r="N2259">
        <v>0.98481841190776398</v>
      </c>
    </row>
    <row r="2260" spans="2:14" x14ac:dyDescent="0.25">
      <c r="B2260" t="s">
        <v>14</v>
      </c>
      <c r="C2260" s="1">
        <v>46228.999988425923</v>
      </c>
      <c r="D2260">
        <v>25.152079397565299</v>
      </c>
      <c r="E2260">
        <v>279835.413908188</v>
      </c>
      <c r="F2260" s="1">
        <v>46228.605520833335</v>
      </c>
      <c r="G2260">
        <v>52.874703175737103</v>
      </c>
      <c r="H2260" t="s">
        <v>27</v>
      </c>
      <c r="I2260">
        <v>42243</v>
      </c>
      <c r="J2260" t="s">
        <v>16</v>
      </c>
      <c r="K2260">
        <v>284149.25079040503</v>
      </c>
      <c r="L2260" t="s">
        <v>17</v>
      </c>
      <c r="M2260">
        <v>0</v>
      </c>
      <c r="N2260">
        <v>0.98481841190776398</v>
      </c>
    </row>
    <row r="2261" spans="2:14" x14ac:dyDescent="0.25">
      <c r="B2261" t="s">
        <v>14</v>
      </c>
      <c r="C2261" s="1">
        <v>46227.999988425923</v>
      </c>
      <c r="D2261">
        <v>25.152079397565299</v>
      </c>
      <c r="E2261">
        <v>284149.25079040503</v>
      </c>
      <c r="F2261" s="1">
        <v>46225.099317129629</v>
      </c>
      <c r="G2261">
        <v>52.874703175737103</v>
      </c>
      <c r="H2261" t="s">
        <v>27</v>
      </c>
      <c r="I2261">
        <v>42243</v>
      </c>
      <c r="J2261" t="s">
        <v>16</v>
      </c>
      <c r="K2261">
        <v>284149.25079040503</v>
      </c>
      <c r="L2261" t="s">
        <v>17</v>
      </c>
      <c r="M2261">
        <v>4313.8368822173798</v>
      </c>
      <c r="N2261">
        <v>1</v>
      </c>
    </row>
    <row r="2262" spans="2:14" x14ac:dyDescent="0.25">
      <c r="B2262" t="s">
        <v>14</v>
      </c>
      <c r="C2262" s="1">
        <v>46226.999988425923</v>
      </c>
      <c r="D2262">
        <v>25.152079397565299</v>
      </c>
      <c r="E2262">
        <v>284149.25079040503</v>
      </c>
      <c r="F2262" s="1">
        <v>46225.099317129629</v>
      </c>
      <c r="G2262">
        <v>52.874703175737103</v>
      </c>
      <c r="H2262" t="s">
        <v>27</v>
      </c>
      <c r="I2262">
        <v>42243</v>
      </c>
      <c r="J2262" t="s">
        <v>16</v>
      </c>
      <c r="K2262">
        <v>284149.25079040503</v>
      </c>
      <c r="L2262" t="s">
        <v>17</v>
      </c>
      <c r="M2262">
        <v>0</v>
      </c>
      <c r="N2262">
        <v>1</v>
      </c>
    </row>
    <row r="2263" spans="2:14" x14ac:dyDescent="0.25">
      <c r="B2263" t="s">
        <v>14</v>
      </c>
      <c r="C2263" s="1">
        <v>46225.999988425923</v>
      </c>
      <c r="D2263">
        <v>25.152079397565299</v>
      </c>
      <c r="E2263">
        <v>284149.25079040503</v>
      </c>
      <c r="F2263" s="1">
        <v>46225.099317129629</v>
      </c>
      <c r="G2263">
        <v>52.874703175737103</v>
      </c>
      <c r="H2263" t="s">
        <v>27</v>
      </c>
      <c r="I2263">
        <v>42243</v>
      </c>
      <c r="J2263" t="s">
        <v>16</v>
      </c>
      <c r="K2263">
        <v>284149.25079040503</v>
      </c>
      <c r="L2263" t="s">
        <v>17</v>
      </c>
      <c r="M2263">
        <v>0</v>
      </c>
      <c r="N2263">
        <v>1</v>
      </c>
    </row>
    <row r="2264" spans="2:14" x14ac:dyDescent="0.25">
      <c r="B2264" t="s">
        <v>14</v>
      </c>
      <c r="C2264" s="1">
        <v>46224.999988425923</v>
      </c>
      <c r="D2264">
        <v>25.152079397565299</v>
      </c>
      <c r="E2264">
        <v>265587.61526084301</v>
      </c>
      <c r="F2264" s="1">
        <v>46222.605810185189</v>
      </c>
      <c r="G2264">
        <v>52.874703175737103</v>
      </c>
      <c r="H2264" t="s">
        <v>27</v>
      </c>
      <c r="I2264">
        <v>42243</v>
      </c>
      <c r="J2264" t="s">
        <v>16</v>
      </c>
      <c r="K2264">
        <v>284149.25079040503</v>
      </c>
      <c r="L2264" t="s">
        <v>17</v>
      </c>
      <c r="M2264">
        <v>-18561.635529561401</v>
      </c>
      <c r="N2264">
        <v>0.93467645796028098</v>
      </c>
    </row>
    <row r="2265" spans="2:14" x14ac:dyDescent="0.25">
      <c r="B2265" t="s">
        <v>14</v>
      </c>
      <c r="C2265" s="1">
        <v>46223.999988425923</v>
      </c>
      <c r="D2265">
        <v>25.152079397565299</v>
      </c>
      <c r="E2265">
        <v>265587.61526084301</v>
      </c>
      <c r="F2265" s="1">
        <v>46222.605810185189</v>
      </c>
      <c r="G2265">
        <v>52.874703175737103</v>
      </c>
      <c r="H2265" t="s">
        <v>27</v>
      </c>
      <c r="I2265">
        <v>42243</v>
      </c>
      <c r="J2265" t="s">
        <v>16</v>
      </c>
      <c r="K2265">
        <v>284149.25079040503</v>
      </c>
      <c r="L2265" t="s">
        <v>17</v>
      </c>
      <c r="M2265">
        <v>0</v>
      </c>
      <c r="N2265">
        <v>0.93467645796028098</v>
      </c>
    </row>
    <row r="2266" spans="2:14" x14ac:dyDescent="0.25">
      <c r="B2266" t="s">
        <v>14</v>
      </c>
      <c r="C2266" s="1">
        <v>46222.999988425923</v>
      </c>
      <c r="D2266">
        <v>25.152079397565299</v>
      </c>
      <c r="E2266">
        <v>265587.61526084301</v>
      </c>
      <c r="F2266" s="1">
        <v>46222.605810185189</v>
      </c>
      <c r="G2266">
        <v>52.874703175737103</v>
      </c>
      <c r="H2266" t="s">
        <v>27</v>
      </c>
      <c r="I2266">
        <v>42243</v>
      </c>
      <c r="J2266" t="s">
        <v>16</v>
      </c>
      <c r="K2266">
        <v>284149.25079040503</v>
      </c>
      <c r="L2266" t="s">
        <v>17</v>
      </c>
      <c r="M2266">
        <v>0</v>
      </c>
      <c r="N2266">
        <v>0.93467645796028098</v>
      </c>
    </row>
    <row r="2267" spans="2:14" x14ac:dyDescent="0.25">
      <c r="B2267" t="s">
        <v>14</v>
      </c>
      <c r="C2267" s="1">
        <v>46221.999988425923</v>
      </c>
      <c r="D2267">
        <v>25.152079397565299</v>
      </c>
      <c r="E2267">
        <v>264263.94861435401</v>
      </c>
      <c r="F2267" s="1">
        <v>46219.099143518521</v>
      </c>
      <c r="G2267">
        <v>52.874703175737103</v>
      </c>
      <c r="H2267" t="s">
        <v>27</v>
      </c>
      <c r="I2267">
        <v>42243</v>
      </c>
      <c r="J2267" t="s">
        <v>16</v>
      </c>
      <c r="K2267">
        <v>284149.25079040503</v>
      </c>
      <c r="L2267" t="s">
        <v>17</v>
      </c>
      <c r="M2267">
        <v>-1323.6666464893401</v>
      </c>
      <c r="N2267">
        <v>0.93001810801634399</v>
      </c>
    </row>
    <row r="2268" spans="2:14" x14ac:dyDescent="0.25">
      <c r="B2268" t="s">
        <v>14</v>
      </c>
      <c r="C2268" s="1">
        <v>46220.999988425923</v>
      </c>
      <c r="D2268">
        <v>25.152079397565299</v>
      </c>
      <c r="E2268">
        <v>264263.94861435401</v>
      </c>
      <c r="F2268" s="1">
        <v>46219.099143518521</v>
      </c>
      <c r="G2268">
        <v>52.874703175737103</v>
      </c>
      <c r="H2268" t="s">
        <v>27</v>
      </c>
      <c r="I2268">
        <v>42243</v>
      </c>
      <c r="J2268" t="s">
        <v>16</v>
      </c>
      <c r="K2268">
        <v>284149.25079040503</v>
      </c>
      <c r="L2268" t="s">
        <v>17</v>
      </c>
      <c r="M2268">
        <v>0</v>
      </c>
      <c r="N2268">
        <v>0.93001810801634399</v>
      </c>
    </row>
    <row r="2269" spans="2:14" x14ac:dyDescent="0.25">
      <c r="B2269" t="s">
        <v>14</v>
      </c>
      <c r="C2269" s="1">
        <v>46219.999988425923</v>
      </c>
      <c r="D2269">
        <v>25.152079397565299</v>
      </c>
      <c r="E2269">
        <v>264263.94861435401</v>
      </c>
      <c r="F2269" s="1">
        <v>46219.099143518521</v>
      </c>
      <c r="G2269">
        <v>52.874703175737103</v>
      </c>
      <c r="H2269" t="s">
        <v>27</v>
      </c>
      <c r="I2269">
        <v>42243</v>
      </c>
      <c r="J2269" t="s">
        <v>16</v>
      </c>
      <c r="K2269">
        <v>284149.25079040503</v>
      </c>
      <c r="L2269" t="s">
        <v>17</v>
      </c>
      <c r="M2269">
        <v>0</v>
      </c>
      <c r="N2269">
        <v>0.93001810801634399</v>
      </c>
    </row>
    <row r="2270" spans="2:14" x14ac:dyDescent="0.25">
      <c r="B2270" t="s">
        <v>14</v>
      </c>
      <c r="C2270" s="1">
        <v>46218.999988425923</v>
      </c>
      <c r="D2270">
        <v>25.152079397565299</v>
      </c>
      <c r="E2270">
        <v>256155.253964398</v>
      </c>
      <c r="F2270" s="1">
        <v>46216.605509259258</v>
      </c>
      <c r="G2270">
        <v>52.874703175737103</v>
      </c>
      <c r="H2270" t="s">
        <v>27</v>
      </c>
      <c r="I2270">
        <v>42243</v>
      </c>
      <c r="J2270" t="s">
        <v>16</v>
      </c>
      <c r="K2270">
        <v>284149.25079040503</v>
      </c>
      <c r="L2270" t="s">
        <v>17</v>
      </c>
      <c r="M2270">
        <v>-8108.6946499556898</v>
      </c>
      <c r="N2270">
        <v>0.90148136323380401</v>
      </c>
    </row>
    <row r="2271" spans="2:14" x14ac:dyDescent="0.25">
      <c r="B2271" t="s">
        <v>14</v>
      </c>
      <c r="C2271" s="1">
        <v>46217.999988425923</v>
      </c>
      <c r="D2271">
        <v>25.152079397565299</v>
      </c>
      <c r="E2271">
        <v>256155.253964398</v>
      </c>
      <c r="F2271" s="1">
        <v>46216.605509259258</v>
      </c>
      <c r="G2271">
        <v>52.874703175737103</v>
      </c>
      <c r="H2271" t="s">
        <v>27</v>
      </c>
      <c r="I2271">
        <v>42243</v>
      </c>
      <c r="J2271" t="s">
        <v>16</v>
      </c>
      <c r="K2271">
        <v>284149.25079040503</v>
      </c>
      <c r="L2271" t="s">
        <v>17</v>
      </c>
      <c r="M2271">
        <v>0</v>
      </c>
      <c r="N2271">
        <v>0.90148136323380401</v>
      </c>
    </row>
    <row r="2272" spans="2:14" x14ac:dyDescent="0.25">
      <c r="B2272" t="s">
        <v>14</v>
      </c>
      <c r="C2272" s="1">
        <v>46216.999988425923</v>
      </c>
      <c r="D2272">
        <v>25.152079397565299</v>
      </c>
      <c r="E2272">
        <v>256155.253964398</v>
      </c>
      <c r="F2272" s="1">
        <v>46216.605509259258</v>
      </c>
      <c r="G2272">
        <v>52.874703175737103</v>
      </c>
      <c r="H2272" t="s">
        <v>27</v>
      </c>
      <c r="I2272">
        <v>42243</v>
      </c>
      <c r="J2272" t="s">
        <v>16</v>
      </c>
      <c r="K2272">
        <v>284149.25079040503</v>
      </c>
      <c r="L2272" t="s">
        <v>17</v>
      </c>
      <c r="M2272">
        <v>0</v>
      </c>
      <c r="N2272">
        <v>0.90148136323380401</v>
      </c>
    </row>
    <row r="2273" spans="2:14" x14ac:dyDescent="0.25">
      <c r="B2273" t="s">
        <v>14</v>
      </c>
      <c r="C2273" s="1">
        <v>46215.999988425923</v>
      </c>
      <c r="D2273">
        <v>25.152079397565299</v>
      </c>
      <c r="E2273">
        <v>270174.979418192</v>
      </c>
      <c r="F2273" s="1">
        <v>46213.099305555559</v>
      </c>
      <c r="G2273">
        <v>52.874703175737103</v>
      </c>
      <c r="H2273" t="s">
        <v>27</v>
      </c>
      <c r="I2273">
        <v>42243</v>
      </c>
      <c r="J2273" t="s">
        <v>16</v>
      </c>
      <c r="K2273">
        <v>284149.25079040503</v>
      </c>
      <c r="L2273" t="s">
        <v>17</v>
      </c>
      <c r="M2273">
        <v>14019.7254537932</v>
      </c>
      <c r="N2273">
        <v>0.95082066437500101</v>
      </c>
    </row>
    <row r="2274" spans="2:14" x14ac:dyDescent="0.25">
      <c r="B2274" t="s">
        <v>14</v>
      </c>
      <c r="C2274" s="1">
        <v>46214.999988425923</v>
      </c>
      <c r="D2274">
        <v>25.152079397565299</v>
      </c>
      <c r="E2274">
        <v>270174.979418192</v>
      </c>
      <c r="F2274" s="1">
        <v>46213.099305555559</v>
      </c>
      <c r="G2274">
        <v>52.874703175737103</v>
      </c>
      <c r="H2274" t="s">
        <v>27</v>
      </c>
      <c r="I2274">
        <v>42243</v>
      </c>
      <c r="J2274" t="s">
        <v>16</v>
      </c>
      <c r="K2274">
        <v>284149.25079040503</v>
      </c>
      <c r="L2274" t="s">
        <v>17</v>
      </c>
      <c r="M2274">
        <v>0</v>
      </c>
      <c r="N2274">
        <v>0.95082066437500101</v>
      </c>
    </row>
    <row r="2275" spans="2:14" x14ac:dyDescent="0.25">
      <c r="B2275" t="s">
        <v>14</v>
      </c>
      <c r="C2275" s="1">
        <v>46213.999988425923</v>
      </c>
      <c r="D2275">
        <v>25.152079397565299</v>
      </c>
      <c r="E2275">
        <v>270174.979418192</v>
      </c>
      <c r="F2275" s="1">
        <v>46213.099305555559</v>
      </c>
      <c r="G2275">
        <v>52.874703175737103</v>
      </c>
      <c r="H2275" t="s">
        <v>27</v>
      </c>
      <c r="I2275">
        <v>42243</v>
      </c>
      <c r="J2275" t="s">
        <v>16</v>
      </c>
      <c r="K2275">
        <v>284149.25079040503</v>
      </c>
      <c r="L2275" t="s">
        <v>17</v>
      </c>
      <c r="M2275">
        <v>0</v>
      </c>
      <c r="N2275">
        <v>0.95082066437500101</v>
      </c>
    </row>
    <row r="2276" spans="2:14" x14ac:dyDescent="0.25">
      <c r="B2276" t="s">
        <v>14</v>
      </c>
      <c r="C2276" s="1">
        <v>46212.999988425923</v>
      </c>
      <c r="D2276">
        <v>25.152079397565299</v>
      </c>
      <c r="E2276">
        <v>252909.62485444499</v>
      </c>
      <c r="F2276" s="1">
        <v>46210.605798611112</v>
      </c>
      <c r="G2276">
        <v>52.874703175737103</v>
      </c>
      <c r="H2276" t="s">
        <v>27</v>
      </c>
      <c r="I2276">
        <v>42243</v>
      </c>
      <c r="J2276" t="s">
        <v>16</v>
      </c>
      <c r="K2276">
        <v>284149.25079040503</v>
      </c>
      <c r="L2276" t="s">
        <v>17</v>
      </c>
      <c r="M2276">
        <v>-17265.354563747002</v>
      </c>
      <c r="N2276">
        <v>0.89005909447565801</v>
      </c>
    </row>
    <row r="2277" spans="2:14" x14ac:dyDescent="0.25">
      <c r="B2277" t="s">
        <v>14</v>
      </c>
      <c r="C2277" s="1">
        <v>46211.999988425923</v>
      </c>
      <c r="D2277">
        <v>25.152079397565299</v>
      </c>
      <c r="E2277">
        <v>252909.62485444499</v>
      </c>
      <c r="F2277" s="1">
        <v>46210.605798611112</v>
      </c>
      <c r="G2277">
        <v>52.874703175737103</v>
      </c>
      <c r="H2277" t="s">
        <v>27</v>
      </c>
      <c r="I2277">
        <v>42243</v>
      </c>
      <c r="J2277" t="s">
        <v>16</v>
      </c>
      <c r="K2277">
        <v>284149.25079040503</v>
      </c>
      <c r="L2277" t="s">
        <v>17</v>
      </c>
      <c r="M2277">
        <v>0</v>
      </c>
      <c r="N2277">
        <v>0.89005909447565801</v>
      </c>
    </row>
    <row r="2278" spans="2:14" x14ac:dyDescent="0.25">
      <c r="B2278" t="s">
        <v>14</v>
      </c>
      <c r="C2278" s="1">
        <v>46210.999988425923</v>
      </c>
      <c r="D2278">
        <v>25.152079397565299</v>
      </c>
      <c r="E2278">
        <v>252909.62485444499</v>
      </c>
      <c r="F2278" s="1">
        <v>46210.605798611112</v>
      </c>
      <c r="G2278">
        <v>52.874703175737103</v>
      </c>
      <c r="H2278" t="s">
        <v>27</v>
      </c>
      <c r="I2278">
        <v>42243</v>
      </c>
      <c r="J2278" t="s">
        <v>16</v>
      </c>
      <c r="K2278">
        <v>284149.25079040503</v>
      </c>
      <c r="L2278" t="s">
        <v>17</v>
      </c>
      <c r="M2278">
        <v>0</v>
      </c>
      <c r="N2278">
        <v>0.89005909447565801</v>
      </c>
    </row>
    <row r="2279" spans="2:14" x14ac:dyDescent="0.25">
      <c r="B2279" t="s">
        <v>14</v>
      </c>
      <c r="C2279" s="1">
        <v>46209.999988425923</v>
      </c>
      <c r="D2279">
        <v>25.152079397565299</v>
      </c>
      <c r="E2279">
        <v>259458.384890961</v>
      </c>
      <c r="F2279" s="1">
        <v>46207.099131944444</v>
      </c>
      <c r="G2279">
        <v>52.874703175737103</v>
      </c>
      <c r="H2279" t="s">
        <v>27</v>
      </c>
      <c r="I2279">
        <v>42243</v>
      </c>
      <c r="J2279" t="s">
        <v>16</v>
      </c>
      <c r="K2279">
        <v>284149.25079040503</v>
      </c>
      <c r="L2279" t="s">
        <v>17</v>
      </c>
      <c r="M2279">
        <v>6548.7600365163498</v>
      </c>
      <c r="N2279">
        <v>0.91310599682820703</v>
      </c>
    </row>
    <row r="2280" spans="2:14" x14ac:dyDescent="0.25">
      <c r="B2280" t="s">
        <v>14</v>
      </c>
      <c r="C2280" s="1">
        <v>46208.999988425923</v>
      </c>
      <c r="D2280">
        <v>25.152079397565299</v>
      </c>
      <c r="E2280">
        <v>259458.384890961</v>
      </c>
      <c r="F2280" s="1">
        <v>46207.099131944444</v>
      </c>
      <c r="G2280">
        <v>52.874703175737103</v>
      </c>
      <c r="H2280" t="s">
        <v>27</v>
      </c>
      <c r="I2280">
        <v>42243</v>
      </c>
      <c r="J2280" t="s">
        <v>16</v>
      </c>
      <c r="K2280">
        <v>284149.25079040503</v>
      </c>
      <c r="L2280" t="s">
        <v>17</v>
      </c>
      <c r="M2280">
        <v>0</v>
      </c>
      <c r="N2280">
        <v>0.91310599682820703</v>
      </c>
    </row>
    <row r="2281" spans="2:14" x14ac:dyDescent="0.25">
      <c r="B2281" t="s">
        <v>14</v>
      </c>
      <c r="C2281" s="1">
        <v>46207.999988425923</v>
      </c>
      <c r="D2281">
        <v>25.152079397565299</v>
      </c>
      <c r="E2281">
        <v>259458.384890961</v>
      </c>
      <c r="F2281" s="1">
        <v>46207.099131944444</v>
      </c>
      <c r="G2281">
        <v>52.874703175737103</v>
      </c>
      <c r="H2281" t="s">
        <v>27</v>
      </c>
      <c r="I2281">
        <v>42243</v>
      </c>
      <c r="J2281" t="s">
        <v>16</v>
      </c>
      <c r="K2281">
        <v>284149.25079040503</v>
      </c>
      <c r="L2281" t="s">
        <v>17</v>
      </c>
      <c r="M2281">
        <v>0</v>
      </c>
      <c r="N2281">
        <v>0.91310599682820703</v>
      </c>
    </row>
    <row r="2282" spans="2:14" x14ac:dyDescent="0.25">
      <c r="B2282" t="s">
        <v>14</v>
      </c>
      <c r="C2282" s="1">
        <v>46206.999988425923</v>
      </c>
      <c r="D2282">
        <v>25.152079397565299</v>
      </c>
      <c r="E2282">
        <v>238756.58649518399</v>
      </c>
      <c r="F2282" s="1">
        <v>46204.605509259258</v>
      </c>
      <c r="G2282">
        <v>52.874703175737103</v>
      </c>
      <c r="H2282" t="s">
        <v>27</v>
      </c>
      <c r="I2282">
        <v>42243</v>
      </c>
      <c r="J2282" t="s">
        <v>16</v>
      </c>
      <c r="K2282">
        <v>284149.25079040503</v>
      </c>
      <c r="L2282" t="s">
        <v>17</v>
      </c>
      <c r="M2282">
        <v>-20701.798395776499</v>
      </c>
      <c r="N2282">
        <v>0.84025062825626395</v>
      </c>
    </row>
    <row r="2283" spans="2:14" x14ac:dyDescent="0.25">
      <c r="B2283" t="s">
        <v>14</v>
      </c>
      <c r="C2283" s="1">
        <v>46205.999988425923</v>
      </c>
      <c r="D2283">
        <v>25.152079397565299</v>
      </c>
      <c r="E2283">
        <v>238756.58649518399</v>
      </c>
      <c r="F2283" s="1">
        <v>46204.605509259258</v>
      </c>
      <c r="G2283">
        <v>52.874703175737103</v>
      </c>
      <c r="H2283" t="s">
        <v>27</v>
      </c>
      <c r="I2283">
        <v>42243</v>
      </c>
      <c r="J2283" t="s">
        <v>16</v>
      </c>
      <c r="K2283">
        <v>284149.25079040503</v>
      </c>
      <c r="L2283" t="s">
        <v>17</v>
      </c>
      <c r="M2283">
        <v>0</v>
      </c>
      <c r="N2283">
        <v>0.84025062825626395</v>
      </c>
    </row>
    <row r="2284" spans="2:14" x14ac:dyDescent="0.25">
      <c r="B2284" t="s">
        <v>14</v>
      </c>
      <c r="C2284" s="1">
        <v>46204.999988425923</v>
      </c>
      <c r="D2284">
        <v>25.152079397565299</v>
      </c>
      <c r="E2284">
        <v>238756.58649518399</v>
      </c>
      <c r="F2284" s="1">
        <v>46204.605509259258</v>
      </c>
      <c r="G2284">
        <v>52.874703175737103</v>
      </c>
      <c r="H2284" t="s">
        <v>27</v>
      </c>
      <c r="I2284">
        <v>42243</v>
      </c>
      <c r="J2284" t="s">
        <v>16</v>
      </c>
      <c r="K2284">
        <v>284149.25079040503</v>
      </c>
      <c r="L2284" t="s">
        <v>17</v>
      </c>
      <c r="M2284">
        <v>0</v>
      </c>
      <c r="N2284">
        <v>0.84025062825626395</v>
      </c>
    </row>
    <row r="2285" spans="2:14" x14ac:dyDescent="0.25">
      <c r="B2285" t="s">
        <v>14</v>
      </c>
      <c r="C2285" s="1">
        <v>46203.999988425923</v>
      </c>
      <c r="D2285">
        <v>25.152079397565299</v>
      </c>
      <c r="E2285">
        <v>245045.87767587099</v>
      </c>
      <c r="F2285" s="1">
        <v>46201.099305555559</v>
      </c>
      <c r="G2285">
        <v>52.874703175737103</v>
      </c>
      <c r="H2285" t="s">
        <v>27</v>
      </c>
      <c r="I2285">
        <v>42243</v>
      </c>
      <c r="J2285" t="s">
        <v>16</v>
      </c>
      <c r="K2285">
        <v>284149.25079040503</v>
      </c>
      <c r="L2285" t="s">
        <v>17</v>
      </c>
      <c r="M2285">
        <v>6289.2911806862103</v>
      </c>
      <c r="N2285">
        <v>0.86238438776184601</v>
      </c>
    </row>
    <row r="2286" spans="2:14" x14ac:dyDescent="0.25">
      <c r="B2286" t="s">
        <v>14</v>
      </c>
      <c r="C2286" s="1">
        <v>46202.999988425923</v>
      </c>
      <c r="D2286">
        <v>25.152079397565299</v>
      </c>
      <c r="E2286">
        <v>245045.87767587099</v>
      </c>
      <c r="F2286" s="1">
        <v>46201.099305555559</v>
      </c>
      <c r="G2286">
        <v>52.874703175737103</v>
      </c>
      <c r="H2286" t="s">
        <v>27</v>
      </c>
      <c r="I2286">
        <v>42243</v>
      </c>
      <c r="J2286" t="s">
        <v>16</v>
      </c>
      <c r="K2286">
        <v>284149.25079040503</v>
      </c>
      <c r="L2286" t="s">
        <v>17</v>
      </c>
      <c r="M2286">
        <v>0</v>
      </c>
      <c r="N2286">
        <v>0.86238438776184601</v>
      </c>
    </row>
    <row r="2287" spans="2:14" x14ac:dyDescent="0.25">
      <c r="B2287" t="s">
        <v>14</v>
      </c>
      <c r="C2287" s="1">
        <v>46201.999988425923</v>
      </c>
      <c r="D2287">
        <v>25.152079397565299</v>
      </c>
      <c r="E2287">
        <v>245045.87767587099</v>
      </c>
      <c r="F2287" s="1">
        <v>46201.099305555559</v>
      </c>
      <c r="G2287">
        <v>52.874703175737103</v>
      </c>
      <c r="H2287" t="s">
        <v>27</v>
      </c>
      <c r="I2287">
        <v>42243</v>
      </c>
      <c r="J2287" t="s">
        <v>16</v>
      </c>
      <c r="K2287">
        <v>284149.25079040503</v>
      </c>
      <c r="L2287" t="s">
        <v>17</v>
      </c>
      <c r="M2287">
        <v>0</v>
      </c>
      <c r="N2287">
        <v>0.86238438776184601</v>
      </c>
    </row>
    <row r="2288" spans="2:14" x14ac:dyDescent="0.25">
      <c r="B2288" t="s">
        <v>14</v>
      </c>
      <c r="C2288" s="1">
        <v>46200.999988425923</v>
      </c>
      <c r="D2288">
        <v>25.152079397565299</v>
      </c>
      <c r="E2288">
        <v>241557.53822419199</v>
      </c>
      <c r="F2288" s="1">
        <v>46198.605787037035</v>
      </c>
      <c r="G2288">
        <v>52.874703175737103</v>
      </c>
      <c r="H2288" t="s">
        <v>27</v>
      </c>
      <c r="I2288">
        <v>42243</v>
      </c>
      <c r="J2288" t="s">
        <v>16</v>
      </c>
      <c r="K2288">
        <v>284149.25079040503</v>
      </c>
      <c r="L2288" t="s">
        <v>17</v>
      </c>
      <c r="M2288">
        <v>-3488.33945167914</v>
      </c>
      <c r="N2288">
        <v>0.85010795401452599</v>
      </c>
    </row>
    <row r="2289" spans="2:14" x14ac:dyDescent="0.25">
      <c r="B2289" t="s">
        <v>14</v>
      </c>
      <c r="C2289" s="1">
        <v>46199.999988425923</v>
      </c>
      <c r="D2289">
        <v>25.152079397565299</v>
      </c>
      <c r="E2289">
        <v>241557.53822419199</v>
      </c>
      <c r="F2289" s="1">
        <v>46198.605787037035</v>
      </c>
      <c r="G2289">
        <v>52.874703175737103</v>
      </c>
      <c r="H2289" t="s">
        <v>27</v>
      </c>
      <c r="I2289">
        <v>42243</v>
      </c>
      <c r="J2289" t="s">
        <v>16</v>
      </c>
      <c r="K2289">
        <v>284149.25079040503</v>
      </c>
      <c r="L2289" t="s">
        <v>17</v>
      </c>
      <c r="M2289">
        <v>0</v>
      </c>
      <c r="N2289">
        <v>0.85010795401452599</v>
      </c>
    </row>
    <row r="2290" spans="2:14" x14ac:dyDescent="0.25">
      <c r="B2290" t="s">
        <v>14</v>
      </c>
      <c r="C2290" s="1">
        <v>46198.999988425923</v>
      </c>
      <c r="D2290">
        <v>25.152079397565299</v>
      </c>
      <c r="E2290">
        <v>241557.53822419199</v>
      </c>
      <c r="F2290" s="1">
        <v>46198.605787037035</v>
      </c>
      <c r="G2290">
        <v>52.874703175737103</v>
      </c>
      <c r="H2290" t="s">
        <v>27</v>
      </c>
      <c r="I2290">
        <v>42243</v>
      </c>
      <c r="J2290" t="s">
        <v>16</v>
      </c>
      <c r="K2290">
        <v>284149.25079040503</v>
      </c>
      <c r="L2290" t="s">
        <v>17</v>
      </c>
      <c r="M2290">
        <v>0</v>
      </c>
      <c r="N2290">
        <v>0.85010795401452599</v>
      </c>
    </row>
    <row r="2291" spans="2:14" x14ac:dyDescent="0.25">
      <c r="B2291" t="s">
        <v>14</v>
      </c>
      <c r="C2291" s="1">
        <v>46197.999988425923</v>
      </c>
      <c r="D2291">
        <v>25.152079397565299</v>
      </c>
      <c r="E2291">
        <v>241262.48985727999</v>
      </c>
      <c r="F2291" s="1">
        <v>46194.099780092591</v>
      </c>
      <c r="G2291">
        <v>52.874703175737103</v>
      </c>
      <c r="H2291" t="s">
        <v>27</v>
      </c>
      <c r="I2291">
        <v>42243</v>
      </c>
      <c r="J2291" t="s">
        <v>16</v>
      </c>
      <c r="K2291">
        <v>284149.25079040503</v>
      </c>
      <c r="L2291" t="s">
        <v>17</v>
      </c>
      <c r="M2291">
        <v>-295.04836691182498</v>
      </c>
      <c r="N2291">
        <v>0.84906959700288098</v>
      </c>
    </row>
    <row r="2292" spans="2:14" x14ac:dyDescent="0.25">
      <c r="B2292" t="s">
        <v>14</v>
      </c>
      <c r="C2292" s="1">
        <v>46196.999988425923</v>
      </c>
      <c r="D2292">
        <v>25.152079397565299</v>
      </c>
      <c r="E2292">
        <v>241262.48985727999</v>
      </c>
      <c r="F2292" s="1">
        <v>46194.099780092591</v>
      </c>
      <c r="G2292">
        <v>52.874703175737103</v>
      </c>
      <c r="H2292" t="s">
        <v>27</v>
      </c>
      <c r="I2292">
        <v>42243</v>
      </c>
      <c r="J2292" t="s">
        <v>16</v>
      </c>
      <c r="K2292">
        <v>284149.25079040503</v>
      </c>
      <c r="L2292" t="s">
        <v>17</v>
      </c>
      <c r="M2292">
        <v>0</v>
      </c>
      <c r="N2292">
        <v>0.84906959700288098</v>
      </c>
    </row>
    <row r="2293" spans="2:14" x14ac:dyDescent="0.25">
      <c r="B2293" t="s">
        <v>14</v>
      </c>
      <c r="C2293" s="1">
        <v>46195.999988425923</v>
      </c>
      <c r="D2293">
        <v>25.152079397565299</v>
      </c>
      <c r="E2293">
        <v>241262.48985727999</v>
      </c>
      <c r="F2293" s="1">
        <v>46194.099780092591</v>
      </c>
      <c r="G2293">
        <v>52.874703175737103</v>
      </c>
      <c r="H2293" t="s">
        <v>27</v>
      </c>
      <c r="I2293">
        <v>42243</v>
      </c>
      <c r="J2293" t="s">
        <v>16</v>
      </c>
      <c r="K2293">
        <v>284149.25079040503</v>
      </c>
      <c r="L2293" t="s">
        <v>17</v>
      </c>
      <c r="M2293">
        <v>0</v>
      </c>
      <c r="N2293">
        <v>0.84906959700288098</v>
      </c>
    </row>
    <row r="2294" spans="2:14" x14ac:dyDescent="0.25">
      <c r="B2294" t="s">
        <v>14</v>
      </c>
      <c r="C2294" s="1">
        <v>46194.999988425923</v>
      </c>
      <c r="D2294">
        <v>25.152079397565299</v>
      </c>
      <c r="E2294">
        <v>241262.48985727999</v>
      </c>
      <c r="F2294" s="1">
        <v>46194.099780092591</v>
      </c>
      <c r="G2294">
        <v>52.874703175737103</v>
      </c>
      <c r="H2294" t="s">
        <v>27</v>
      </c>
      <c r="I2294">
        <v>42243</v>
      </c>
      <c r="J2294" t="s">
        <v>16</v>
      </c>
      <c r="K2294">
        <v>284149.25079040503</v>
      </c>
      <c r="L2294" t="s">
        <v>17</v>
      </c>
      <c r="M2294">
        <v>0</v>
      </c>
      <c r="N2294">
        <v>0.84906959700288098</v>
      </c>
    </row>
    <row r="2295" spans="2:14" x14ac:dyDescent="0.25">
      <c r="B2295" t="s">
        <v>14</v>
      </c>
      <c r="C2295" s="1">
        <v>46193.999988425923</v>
      </c>
      <c r="D2295">
        <v>25.152079397565299</v>
      </c>
      <c r="E2295">
        <v>239265.74864366901</v>
      </c>
      <c r="F2295" s="1">
        <v>46191.606261574074</v>
      </c>
      <c r="G2295">
        <v>52.874703175737103</v>
      </c>
      <c r="H2295" t="s">
        <v>27</v>
      </c>
      <c r="I2295">
        <v>42243</v>
      </c>
      <c r="J2295" t="s">
        <v>16</v>
      </c>
      <c r="K2295">
        <v>284149.25079040503</v>
      </c>
      <c r="L2295" t="s">
        <v>17</v>
      </c>
      <c r="M2295">
        <v>-1996.7412136103001</v>
      </c>
      <c r="N2295">
        <v>0.84204251103289796</v>
      </c>
    </row>
    <row r="2296" spans="2:14" x14ac:dyDescent="0.25">
      <c r="B2296" t="s">
        <v>14</v>
      </c>
      <c r="C2296" s="1">
        <v>46192.999988425923</v>
      </c>
      <c r="D2296">
        <v>25.152079397565299</v>
      </c>
      <c r="E2296">
        <v>239265.74864366901</v>
      </c>
      <c r="F2296" s="1">
        <v>46191.606261574074</v>
      </c>
      <c r="G2296">
        <v>52.874703175737103</v>
      </c>
      <c r="H2296" t="s">
        <v>27</v>
      </c>
      <c r="I2296">
        <v>42243</v>
      </c>
      <c r="J2296" t="s">
        <v>16</v>
      </c>
      <c r="K2296">
        <v>284149.25079040503</v>
      </c>
      <c r="L2296" t="s">
        <v>17</v>
      </c>
      <c r="M2296">
        <v>0</v>
      </c>
      <c r="N2296">
        <v>0.84204251103289796</v>
      </c>
    </row>
    <row r="2297" spans="2:14" x14ac:dyDescent="0.25">
      <c r="B2297" t="s">
        <v>14</v>
      </c>
      <c r="C2297" s="1">
        <v>46191.999988425923</v>
      </c>
      <c r="D2297">
        <v>25.152079397565299</v>
      </c>
      <c r="E2297">
        <v>239265.74864366901</v>
      </c>
      <c r="F2297" s="1">
        <v>46191.606261574074</v>
      </c>
      <c r="G2297">
        <v>52.874703175737103</v>
      </c>
      <c r="H2297" t="s">
        <v>27</v>
      </c>
      <c r="I2297">
        <v>42243</v>
      </c>
      <c r="J2297" t="s">
        <v>16</v>
      </c>
      <c r="K2297">
        <v>284149.25079040503</v>
      </c>
      <c r="L2297" t="s">
        <v>17</v>
      </c>
      <c r="M2297">
        <v>0</v>
      </c>
      <c r="N2297">
        <v>0.84204251103289796</v>
      </c>
    </row>
    <row r="2298" spans="2:14" x14ac:dyDescent="0.25">
      <c r="B2298" t="s">
        <v>14</v>
      </c>
      <c r="C2298" s="1">
        <v>46190.999988425923</v>
      </c>
      <c r="D2298">
        <v>25.152079397565299</v>
      </c>
      <c r="E2298">
        <v>221847.122942927</v>
      </c>
      <c r="F2298" s="1">
        <v>46189.099270833336</v>
      </c>
      <c r="G2298">
        <v>52.874703175737103</v>
      </c>
      <c r="H2298" t="s">
        <v>27</v>
      </c>
      <c r="I2298">
        <v>42243</v>
      </c>
      <c r="J2298" t="s">
        <v>16</v>
      </c>
      <c r="K2298">
        <v>284149.25079040503</v>
      </c>
      <c r="L2298" t="s">
        <v>17</v>
      </c>
      <c r="M2298">
        <v>-17418.625700742599</v>
      </c>
      <c r="N2298">
        <v>0.78074153750476105</v>
      </c>
    </row>
    <row r="2299" spans="2:14" x14ac:dyDescent="0.25">
      <c r="B2299" t="s">
        <v>14</v>
      </c>
      <c r="C2299" s="1">
        <v>46189.999988425923</v>
      </c>
      <c r="D2299">
        <v>25.152079397565299</v>
      </c>
      <c r="E2299">
        <v>221847.122942927</v>
      </c>
      <c r="F2299" s="1">
        <v>46189.099270833336</v>
      </c>
      <c r="G2299">
        <v>52.874703175737103</v>
      </c>
      <c r="H2299" t="s">
        <v>27</v>
      </c>
      <c r="I2299">
        <v>42243</v>
      </c>
      <c r="J2299" t="s">
        <v>16</v>
      </c>
      <c r="K2299">
        <v>284149.25079040503</v>
      </c>
      <c r="L2299" t="s">
        <v>17</v>
      </c>
      <c r="M2299">
        <v>0</v>
      </c>
      <c r="N2299">
        <v>0.78074153750476105</v>
      </c>
    </row>
    <row r="2300" spans="2:14" x14ac:dyDescent="0.25">
      <c r="B2300" t="s">
        <v>14</v>
      </c>
      <c r="C2300" s="1">
        <v>46188.999988425923</v>
      </c>
      <c r="D2300">
        <v>25.152079397565299</v>
      </c>
      <c r="E2300">
        <v>220397.657378337</v>
      </c>
      <c r="F2300" s="1">
        <v>46186.60564814815</v>
      </c>
      <c r="G2300">
        <v>52.874703175737103</v>
      </c>
      <c r="H2300" t="s">
        <v>27</v>
      </c>
      <c r="I2300">
        <v>42243</v>
      </c>
      <c r="J2300" t="s">
        <v>16</v>
      </c>
      <c r="K2300">
        <v>284149.25079040503</v>
      </c>
      <c r="L2300" t="s">
        <v>17</v>
      </c>
      <c r="M2300">
        <v>-1449.4655645899099</v>
      </c>
      <c r="N2300">
        <v>0.77564046628758199</v>
      </c>
    </row>
    <row r="2301" spans="2:14" x14ac:dyDescent="0.25">
      <c r="B2301" t="s">
        <v>14</v>
      </c>
      <c r="C2301" s="1">
        <v>46187.999988425923</v>
      </c>
      <c r="D2301">
        <v>25.152079397565299</v>
      </c>
      <c r="E2301">
        <v>220397.657378337</v>
      </c>
      <c r="F2301" s="1">
        <v>46186.60564814815</v>
      </c>
      <c r="G2301">
        <v>52.874703175737103</v>
      </c>
      <c r="H2301" t="s">
        <v>27</v>
      </c>
      <c r="I2301">
        <v>42243</v>
      </c>
      <c r="J2301" t="s">
        <v>16</v>
      </c>
      <c r="K2301">
        <v>284149.25079040503</v>
      </c>
      <c r="L2301" t="s">
        <v>17</v>
      </c>
      <c r="M2301">
        <v>0</v>
      </c>
      <c r="N2301">
        <v>0.77564046628758199</v>
      </c>
    </row>
    <row r="2302" spans="2:14" x14ac:dyDescent="0.25">
      <c r="B2302" t="s">
        <v>14</v>
      </c>
      <c r="C2302" s="1">
        <v>46186.999988425923</v>
      </c>
      <c r="D2302">
        <v>25.152079397565299</v>
      </c>
      <c r="E2302">
        <v>220397.657378337</v>
      </c>
      <c r="F2302" s="1">
        <v>46186.60564814815</v>
      </c>
      <c r="G2302">
        <v>52.874703175737103</v>
      </c>
      <c r="H2302" t="s">
        <v>27</v>
      </c>
      <c r="I2302">
        <v>42243</v>
      </c>
      <c r="J2302" t="s">
        <v>16</v>
      </c>
      <c r="K2302">
        <v>284149.25079040503</v>
      </c>
      <c r="L2302" t="s">
        <v>17</v>
      </c>
      <c r="M2302">
        <v>0</v>
      </c>
      <c r="N2302">
        <v>0.77564046628758199</v>
      </c>
    </row>
    <row r="2303" spans="2:14" x14ac:dyDescent="0.25">
      <c r="B2303" t="s">
        <v>14</v>
      </c>
      <c r="C2303" s="1">
        <v>46185.999988425923</v>
      </c>
      <c r="D2303">
        <v>25.152079397565299</v>
      </c>
      <c r="E2303">
        <v>215580.78371298799</v>
      </c>
      <c r="F2303" s="1">
        <v>46182.099780092591</v>
      </c>
      <c r="G2303">
        <v>52.874703175737103</v>
      </c>
      <c r="H2303" t="s">
        <v>27</v>
      </c>
      <c r="I2303">
        <v>42243</v>
      </c>
      <c r="J2303" t="s">
        <v>16</v>
      </c>
      <c r="K2303">
        <v>284149.25079040503</v>
      </c>
      <c r="L2303" t="s">
        <v>17</v>
      </c>
      <c r="M2303">
        <v>-4816.8736653484802</v>
      </c>
      <c r="N2303">
        <v>0.75868855227777998</v>
      </c>
    </row>
    <row r="2304" spans="2:14" x14ac:dyDescent="0.25">
      <c r="B2304" t="s">
        <v>14</v>
      </c>
      <c r="C2304" s="1">
        <v>46184.999988425923</v>
      </c>
      <c r="D2304">
        <v>25.152079397565299</v>
      </c>
      <c r="E2304">
        <v>215580.78371298799</v>
      </c>
      <c r="F2304" s="1">
        <v>46182.099780092591</v>
      </c>
      <c r="G2304">
        <v>52.874703175737103</v>
      </c>
      <c r="H2304" t="s">
        <v>27</v>
      </c>
      <c r="I2304">
        <v>42243</v>
      </c>
      <c r="J2304" t="s">
        <v>16</v>
      </c>
      <c r="K2304">
        <v>284149.25079040503</v>
      </c>
      <c r="L2304" t="s">
        <v>17</v>
      </c>
      <c r="M2304">
        <v>0</v>
      </c>
      <c r="N2304">
        <v>0.75868855227777998</v>
      </c>
    </row>
    <row r="2305" spans="2:14" x14ac:dyDescent="0.25">
      <c r="B2305" t="s">
        <v>14</v>
      </c>
      <c r="C2305" s="1">
        <v>46183.999988425923</v>
      </c>
      <c r="D2305">
        <v>25.152079397565299</v>
      </c>
      <c r="E2305">
        <v>215580.78371298799</v>
      </c>
      <c r="F2305" s="1">
        <v>46182.099780092591</v>
      </c>
      <c r="G2305">
        <v>52.874703175737103</v>
      </c>
      <c r="H2305" t="s">
        <v>27</v>
      </c>
      <c r="I2305">
        <v>42243</v>
      </c>
      <c r="J2305" t="s">
        <v>16</v>
      </c>
      <c r="K2305">
        <v>284149.25079040503</v>
      </c>
      <c r="L2305" t="s">
        <v>17</v>
      </c>
      <c r="M2305">
        <v>0</v>
      </c>
      <c r="N2305">
        <v>0.75868855227777998</v>
      </c>
    </row>
    <row r="2306" spans="2:14" x14ac:dyDescent="0.25">
      <c r="B2306" t="s">
        <v>14</v>
      </c>
      <c r="C2306" s="1">
        <v>46182.999988425923</v>
      </c>
      <c r="D2306">
        <v>25.152079397565299</v>
      </c>
      <c r="E2306">
        <v>215580.78371298799</v>
      </c>
      <c r="F2306" s="1">
        <v>46182.099780092591</v>
      </c>
      <c r="G2306">
        <v>52.874703175737103</v>
      </c>
      <c r="H2306" t="s">
        <v>27</v>
      </c>
      <c r="I2306">
        <v>42243</v>
      </c>
      <c r="J2306" t="s">
        <v>16</v>
      </c>
      <c r="K2306">
        <v>284149.25079040503</v>
      </c>
      <c r="L2306" t="s">
        <v>17</v>
      </c>
      <c r="M2306">
        <v>0</v>
      </c>
      <c r="N2306">
        <v>0.75868855227777998</v>
      </c>
    </row>
    <row r="2307" spans="2:14" x14ac:dyDescent="0.25">
      <c r="B2307" t="s">
        <v>14</v>
      </c>
      <c r="C2307" s="1">
        <v>46181.999988425923</v>
      </c>
      <c r="D2307">
        <v>25.152079397565299</v>
      </c>
      <c r="E2307">
        <v>210550.18036095801</v>
      </c>
      <c r="F2307" s="1">
        <v>46179.606273148151</v>
      </c>
      <c r="G2307">
        <v>52.874703175737103</v>
      </c>
      <c r="H2307" t="s">
        <v>27</v>
      </c>
      <c r="I2307">
        <v>42243</v>
      </c>
      <c r="J2307" t="s">
        <v>16</v>
      </c>
      <c r="K2307">
        <v>284149.25079040503</v>
      </c>
      <c r="L2307" t="s">
        <v>17</v>
      </c>
      <c r="M2307">
        <v>-5030.6033520300898</v>
      </c>
      <c r="N2307">
        <v>0.740984464239411</v>
      </c>
    </row>
    <row r="2308" spans="2:14" x14ac:dyDescent="0.25">
      <c r="B2308" t="s">
        <v>14</v>
      </c>
      <c r="C2308" s="1">
        <v>46180.999988425923</v>
      </c>
      <c r="D2308">
        <v>25.152079397565299</v>
      </c>
      <c r="E2308">
        <v>210550.18036095801</v>
      </c>
      <c r="F2308" s="1">
        <v>46179.606273148151</v>
      </c>
      <c r="G2308">
        <v>52.874703175737103</v>
      </c>
      <c r="H2308" t="s">
        <v>27</v>
      </c>
      <c r="I2308">
        <v>42243</v>
      </c>
      <c r="J2308" t="s">
        <v>16</v>
      </c>
      <c r="K2308">
        <v>284149.25079040503</v>
      </c>
      <c r="L2308" t="s">
        <v>17</v>
      </c>
      <c r="M2308">
        <v>0</v>
      </c>
      <c r="N2308">
        <v>0.740984464239411</v>
      </c>
    </row>
    <row r="2309" spans="2:14" x14ac:dyDescent="0.25">
      <c r="B2309" t="s">
        <v>14</v>
      </c>
      <c r="C2309" s="1">
        <v>46179.999988425923</v>
      </c>
      <c r="D2309">
        <v>25.152079397565299</v>
      </c>
      <c r="E2309">
        <v>210550.18036095801</v>
      </c>
      <c r="F2309" s="1">
        <v>46179.606273148151</v>
      </c>
      <c r="G2309">
        <v>52.874703175737103</v>
      </c>
      <c r="H2309" t="s">
        <v>27</v>
      </c>
      <c r="I2309">
        <v>42243</v>
      </c>
      <c r="J2309" t="s">
        <v>16</v>
      </c>
      <c r="K2309">
        <v>284149.25079040503</v>
      </c>
      <c r="L2309" t="s">
        <v>17</v>
      </c>
      <c r="M2309">
        <v>0</v>
      </c>
      <c r="N2309">
        <v>0.740984464239411</v>
      </c>
    </row>
    <row r="2310" spans="2:14" x14ac:dyDescent="0.25">
      <c r="B2310" t="s">
        <v>14</v>
      </c>
      <c r="C2310" s="1">
        <v>46178.999988425923</v>
      </c>
      <c r="D2310">
        <v>25.152079397565299</v>
      </c>
      <c r="E2310">
        <v>202528.258989572</v>
      </c>
      <c r="F2310" s="1">
        <v>46177.099259259259</v>
      </c>
      <c r="G2310">
        <v>52.874703175737103</v>
      </c>
      <c r="H2310" t="s">
        <v>27</v>
      </c>
      <c r="I2310">
        <v>42243</v>
      </c>
      <c r="J2310" t="s">
        <v>16</v>
      </c>
      <c r="K2310">
        <v>284149.25079040503</v>
      </c>
      <c r="L2310" t="s">
        <v>17</v>
      </c>
      <c r="M2310">
        <v>-8021.9213713857398</v>
      </c>
      <c r="N2310">
        <v>0.71275309868391001</v>
      </c>
    </row>
    <row r="2311" spans="2:14" x14ac:dyDescent="0.25">
      <c r="B2311" t="s">
        <v>14</v>
      </c>
      <c r="C2311" s="1">
        <v>46177.999988425923</v>
      </c>
      <c r="D2311">
        <v>25.152079397565299</v>
      </c>
      <c r="E2311">
        <v>202528.258989572</v>
      </c>
      <c r="F2311" s="1">
        <v>46177.099259259259</v>
      </c>
      <c r="G2311">
        <v>52.874703175737103</v>
      </c>
      <c r="H2311" t="s">
        <v>27</v>
      </c>
      <c r="I2311">
        <v>42243</v>
      </c>
      <c r="J2311" t="s">
        <v>16</v>
      </c>
      <c r="K2311">
        <v>284149.25079040503</v>
      </c>
      <c r="L2311" t="s">
        <v>17</v>
      </c>
      <c r="M2311">
        <v>0</v>
      </c>
      <c r="N2311">
        <v>0.71275309868391001</v>
      </c>
    </row>
    <row r="2312" spans="2:14" x14ac:dyDescent="0.25">
      <c r="B2312" t="s">
        <v>14</v>
      </c>
      <c r="C2312" s="1">
        <v>46176.999988425923</v>
      </c>
      <c r="D2312">
        <v>25.152079397565299</v>
      </c>
      <c r="E2312">
        <v>284149.25079040503</v>
      </c>
      <c r="F2312" s="1">
        <v>46176.099143518521</v>
      </c>
      <c r="G2312">
        <v>52.874703175737103</v>
      </c>
      <c r="H2312" t="s">
        <v>27</v>
      </c>
      <c r="I2312">
        <v>42243</v>
      </c>
      <c r="J2312" t="s">
        <v>16</v>
      </c>
      <c r="K2312">
        <v>284149.25079040503</v>
      </c>
      <c r="L2312" t="s">
        <v>17</v>
      </c>
      <c r="M2312">
        <v>81620.991800832504</v>
      </c>
      <c r="N2312">
        <v>1</v>
      </c>
    </row>
    <row r="2313" spans="2:14" x14ac:dyDescent="0.25">
      <c r="B2313" t="s">
        <v>14</v>
      </c>
      <c r="C2313" s="1">
        <v>46175.999988425923</v>
      </c>
      <c r="D2313">
        <v>25.152079397565299</v>
      </c>
      <c r="E2313">
        <v>206918.65535371701</v>
      </c>
      <c r="F2313" s="1">
        <v>46173.605520833335</v>
      </c>
      <c r="G2313">
        <v>52.874703175737103</v>
      </c>
      <c r="H2313" t="s">
        <v>27</v>
      </c>
      <c r="I2313">
        <v>42243</v>
      </c>
      <c r="J2313" t="s">
        <v>16</v>
      </c>
      <c r="K2313">
        <v>284149.25079040503</v>
      </c>
      <c r="L2313" t="s">
        <v>17</v>
      </c>
      <c r="M2313">
        <v>-77230.595436687596</v>
      </c>
      <c r="N2313">
        <v>0.72820412082080499</v>
      </c>
    </row>
    <row r="2314" spans="2:14" x14ac:dyDescent="0.25">
      <c r="B2314" t="s">
        <v>14</v>
      </c>
      <c r="C2314" s="1">
        <v>46174.999988425923</v>
      </c>
      <c r="D2314">
        <v>25.152079397565299</v>
      </c>
      <c r="E2314">
        <v>206918.65535371701</v>
      </c>
      <c r="F2314" s="1">
        <v>46173.605520833335</v>
      </c>
      <c r="G2314">
        <v>52.874703175737103</v>
      </c>
      <c r="H2314" t="s">
        <v>27</v>
      </c>
      <c r="I2314">
        <v>42243</v>
      </c>
      <c r="J2314" t="s">
        <v>16</v>
      </c>
      <c r="K2314">
        <v>284149.25079040503</v>
      </c>
      <c r="L2314" t="s">
        <v>17</v>
      </c>
      <c r="M2314">
        <v>0</v>
      </c>
      <c r="N2314">
        <v>0.72820412082080499</v>
      </c>
    </row>
    <row r="2315" spans="2:14" x14ac:dyDescent="0.25">
      <c r="B2315" t="s">
        <v>14</v>
      </c>
      <c r="C2315" s="1">
        <v>46173.999988425923</v>
      </c>
      <c r="D2315">
        <v>25.152079397565299</v>
      </c>
      <c r="E2315">
        <v>206918.65535371701</v>
      </c>
      <c r="F2315" s="1">
        <v>46173.605520833335</v>
      </c>
      <c r="G2315">
        <v>52.874703175737103</v>
      </c>
      <c r="H2315" t="s">
        <v>27</v>
      </c>
      <c r="I2315">
        <v>42243</v>
      </c>
      <c r="J2315" t="s">
        <v>16</v>
      </c>
      <c r="K2315">
        <v>284149.25079040503</v>
      </c>
      <c r="L2315" t="s">
        <v>17</v>
      </c>
      <c r="M2315">
        <v>0</v>
      </c>
      <c r="N2315">
        <v>0.72820412082080499</v>
      </c>
    </row>
    <row r="2316" spans="2:14" x14ac:dyDescent="0.25">
      <c r="B2316" t="s">
        <v>14</v>
      </c>
      <c r="C2316" s="1">
        <v>46172.999988425923</v>
      </c>
      <c r="D2316">
        <v>25.152079397565299</v>
      </c>
      <c r="E2316">
        <v>210664.26858700099</v>
      </c>
      <c r="F2316" s="1">
        <v>46170.099791666667</v>
      </c>
      <c r="G2316">
        <v>52.874703175737103</v>
      </c>
      <c r="H2316" t="s">
        <v>27</v>
      </c>
      <c r="I2316">
        <v>42243</v>
      </c>
      <c r="J2316" t="s">
        <v>16</v>
      </c>
      <c r="K2316">
        <v>284149.25079040503</v>
      </c>
      <c r="L2316" t="s">
        <v>17</v>
      </c>
      <c r="M2316">
        <v>3745.61323328345</v>
      </c>
      <c r="N2316">
        <v>0.74138597234026005</v>
      </c>
    </row>
    <row r="2317" spans="2:14" x14ac:dyDescent="0.25">
      <c r="B2317" t="s">
        <v>14</v>
      </c>
      <c r="C2317" s="1">
        <v>46171.999988425923</v>
      </c>
      <c r="D2317">
        <v>25.152079397565299</v>
      </c>
      <c r="E2317">
        <v>210664.26858700099</v>
      </c>
      <c r="F2317" s="1">
        <v>46170.099791666667</v>
      </c>
      <c r="G2317">
        <v>52.874703175737103</v>
      </c>
      <c r="H2317" t="s">
        <v>27</v>
      </c>
      <c r="I2317">
        <v>42243</v>
      </c>
      <c r="J2317" t="s">
        <v>16</v>
      </c>
      <c r="K2317">
        <v>284149.25079040503</v>
      </c>
      <c r="L2317" t="s">
        <v>17</v>
      </c>
      <c r="M2317">
        <v>0</v>
      </c>
      <c r="N2317">
        <v>0.74138597234026005</v>
      </c>
    </row>
    <row r="2318" spans="2:14" x14ac:dyDescent="0.25">
      <c r="B2318" t="s">
        <v>14</v>
      </c>
      <c r="C2318" s="1">
        <v>46170.999988425923</v>
      </c>
      <c r="D2318">
        <v>25.152079397565299</v>
      </c>
      <c r="E2318">
        <v>210664.26858700099</v>
      </c>
      <c r="F2318" s="1">
        <v>46170.099791666667</v>
      </c>
      <c r="G2318">
        <v>52.874703175737103</v>
      </c>
      <c r="H2318" t="s">
        <v>27</v>
      </c>
      <c r="I2318">
        <v>42243</v>
      </c>
      <c r="J2318" t="s">
        <v>16</v>
      </c>
      <c r="K2318">
        <v>284149.25079040503</v>
      </c>
      <c r="L2318" t="s">
        <v>17</v>
      </c>
      <c r="M2318">
        <v>0</v>
      </c>
      <c r="N2318">
        <v>0.74138597234026005</v>
      </c>
    </row>
    <row r="2319" spans="2:14" x14ac:dyDescent="0.25">
      <c r="B2319" t="s">
        <v>14</v>
      </c>
      <c r="C2319" s="1">
        <v>46169.999988425923</v>
      </c>
      <c r="D2319">
        <v>25.152079397565299</v>
      </c>
      <c r="E2319">
        <v>188287.188614026</v>
      </c>
      <c r="F2319" s="1">
        <v>46167.60628472222</v>
      </c>
      <c r="G2319">
        <v>52.874703175737103</v>
      </c>
      <c r="H2319" t="s">
        <v>27</v>
      </c>
      <c r="I2319">
        <v>42243</v>
      </c>
      <c r="J2319" t="s">
        <v>16</v>
      </c>
      <c r="K2319">
        <v>284149.25079040503</v>
      </c>
      <c r="L2319" t="s">
        <v>17</v>
      </c>
      <c r="M2319">
        <v>-22377.079972974301</v>
      </c>
      <c r="N2319">
        <v>0.662634823390442</v>
      </c>
    </row>
    <row r="2320" spans="2:14" x14ac:dyDescent="0.25">
      <c r="B2320" t="s">
        <v>14</v>
      </c>
      <c r="C2320" s="1">
        <v>46168.999988425923</v>
      </c>
      <c r="D2320">
        <v>25.152079397565299</v>
      </c>
      <c r="E2320">
        <v>188287.188614026</v>
      </c>
      <c r="F2320" s="1">
        <v>46167.60628472222</v>
      </c>
      <c r="G2320">
        <v>52.874703175737103</v>
      </c>
      <c r="H2320" t="s">
        <v>27</v>
      </c>
      <c r="I2320">
        <v>42243</v>
      </c>
      <c r="J2320" t="s">
        <v>16</v>
      </c>
      <c r="K2320">
        <v>284149.25079040503</v>
      </c>
      <c r="L2320" t="s">
        <v>17</v>
      </c>
      <c r="M2320">
        <v>0</v>
      </c>
      <c r="N2320">
        <v>0.662634823390442</v>
      </c>
    </row>
    <row r="2321" spans="2:14" x14ac:dyDescent="0.25">
      <c r="B2321" t="s">
        <v>14</v>
      </c>
      <c r="C2321" s="1">
        <v>46167.999988425923</v>
      </c>
      <c r="D2321">
        <v>25.152079397565299</v>
      </c>
      <c r="E2321">
        <v>188287.188614026</v>
      </c>
      <c r="F2321" s="1">
        <v>46167.60628472222</v>
      </c>
      <c r="G2321">
        <v>52.874703175737103</v>
      </c>
      <c r="H2321" t="s">
        <v>27</v>
      </c>
      <c r="I2321">
        <v>42243</v>
      </c>
      <c r="J2321" t="s">
        <v>16</v>
      </c>
      <c r="K2321">
        <v>284149.25079040503</v>
      </c>
      <c r="L2321" t="s">
        <v>17</v>
      </c>
      <c r="M2321">
        <v>0</v>
      </c>
      <c r="N2321">
        <v>0.662634823390442</v>
      </c>
    </row>
    <row r="2322" spans="2:14" x14ac:dyDescent="0.25">
      <c r="B2322" t="s">
        <v>14</v>
      </c>
      <c r="C2322" s="1">
        <v>46166.999988425923</v>
      </c>
      <c r="D2322">
        <v>25.152079397565299</v>
      </c>
      <c r="E2322">
        <v>183092.158482814</v>
      </c>
      <c r="F2322" s="1">
        <v>46165.099259259259</v>
      </c>
      <c r="G2322">
        <v>52.874703175737103</v>
      </c>
      <c r="H2322" t="s">
        <v>27</v>
      </c>
      <c r="I2322">
        <v>42243</v>
      </c>
      <c r="J2322" t="s">
        <v>16</v>
      </c>
      <c r="K2322">
        <v>284149.25079040503</v>
      </c>
      <c r="L2322" t="s">
        <v>17</v>
      </c>
      <c r="M2322">
        <v>-5195.0301312123702</v>
      </c>
      <c r="N2322">
        <v>0.64435207192528199</v>
      </c>
    </row>
    <row r="2323" spans="2:14" x14ac:dyDescent="0.25">
      <c r="B2323" t="s">
        <v>14</v>
      </c>
      <c r="C2323" s="1">
        <v>46165.999988425923</v>
      </c>
      <c r="D2323">
        <v>25.152079397565299</v>
      </c>
      <c r="E2323">
        <v>183092.158482814</v>
      </c>
      <c r="F2323" s="1">
        <v>46165.099259259259</v>
      </c>
      <c r="G2323">
        <v>52.874703175737103</v>
      </c>
      <c r="H2323" t="s">
        <v>27</v>
      </c>
      <c r="I2323">
        <v>42243</v>
      </c>
      <c r="J2323" t="s">
        <v>16</v>
      </c>
      <c r="K2323">
        <v>284149.25079040503</v>
      </c>
      <c r="L2323" t="s">
        <v>17</v>
      </c>
      <c r="M2323">
        <v>0</v>
      </c>
      <c r="N2323">
        <v>0.64435207192528199</v>
      </c>
    </row>
    <row r="2324" spans="2:14" x14ac:dyDescent="0.25">
      <c r="B2324" t="s">
        <v>14</v>
      </c>
      <c r="C2324" s="1">
        <v>46164.999988425923</v>
      </c>
      <c r="D2324">
        <v>25.152079397565299</v>
      </c>
      <c r="E2324">
        <v>182765.509791813</v>
      </c>
      <c r="F2324" s="1">
        <v>46164.099143518521</v>
      </c>
      <c r="G2324">
        <v>52.874703175737103</v>
      </c>
      <c r="H2324" t="s">
        <v>27</v>
      </c>
      <c r="I2324">
        <v>42243</v>
      </c>
      <c r="J2324" t="s">
        <v>16</v>
      </c>
      <c r="K2324">
        <v>284149.25079040503</v>
      </c>
      <c r="L2324" t="s">
        <v>17</v>
      </c>
      <c r="M2324">
        <v>-326.64869100085298</v>
      </c>
      <c r="N2324">
        <v>0.64320250461130102</v>
      </c>
    </row>
    <row r="2325" spans="2:14" x14ac:dyDescent="0.25">
      <c r="B2325" t="s">
        <v>14</v>
      </c>
      <c r="C2325" s="1">
        <v>46163.999988425923</v>
      </c>
      <c r="D2325">
        <v>25.152079397565299</v>
      </c>
      <c r="E2325">
        <v>177185.34624284401</v>
      </c>
      <c r="F2325" s="1">
        <v>46162.605624999997</v>
      </c>
      <c r="G2325">
        <v>52.874703175737103</v>
      </c>
      <c r="H2325" t="s">
        <v>27</v>
      </c>
      <c r="I2325">
        <v>42243</v>
      </c>
      <c r="J2325" t="s">
        <v>16</v>
      </c>
      <c r="K2325">
        <v>284149.25079040503</v>
      </c>
      <c r="L2325" t="s">
        <v>17</v>
      </c>
      <c r="M2325">
        <v>-5580.1635489687596</v>
      </c>
      <c r="N2325">
        <v>0.62356436186256403</v>
      </c>
    </row>
    <row r="2326" spans="2:14" x14ac:dyDescent="0.25">
      <c r="B2326" t="s">
        <v>14</v>
      </c>
      <c r="C2326" s="1">
        <v>46162.999988425923</v>
      </c>
      <c r="D2326">
        <v>25.152079397565299</v>
      </c>
      <c r="E2326">
        <v>177185.34624284401</v>
      </c>
      <c r="F2326" s="1">
        <v>46162.605624999997</v>
      </c>
      <c r="G2326">
        <v>52.874703175737103</v>
      </c>
      <c r="H2326" t="s">
        <v>27</v>
      </c>
      <c r="I2326">
        <v>42243</v>
      </c>
      <c r="J2326" t="s">
        <v>16</v>
      </c>
      <c r="K2326">
        <v>284149.25079040503</v>
      </c>
      <c r="L2326" t="s">
        <v>17</v>
      </c>
      <c r="M2326">
        <v>0</v>
      </c>
      <c r="N2326">
        <v>0.62356436186256403</v>
      </c>
    </row>
    <row r="2327" spans="2:14" x14ac:dyDescent="0.25">
      <c r="B2327" t="s">
        <v>14</v>
      </c>
      <c r="C2327" s="1">
        <v>46161.999988425923</v>
      </c>
      <c r="D2327">
        <v>25.152079397565299</v>
      </c>
      <c r="E2327">
        <v>170756.12266617201</v>
      </c>
      <c r="F2327" s="1">
        <v>46161.605509259258</v>
      </c>
      <c r="G2327">
        <v>52.874703175737103</v>
      </c>
      <c r="H2327" t="s">
        <v>27</v>
      </c>
      <c r="I2327">
        <v>42243</v>
      </c>
      <c r="J2327" t="s">
        <v>16</v>
      </c>
      <c r="K2327">
        <v>284149.25079040503</v>
      </c>
      <c r="L2327" t="s">
        <v>17</v>
      </c>
      <c r="M2327">
        <v>-6429.2235766721997</v>
      </c>
      <c r="N2327">
        <v>0.60093814145625202</v>
      </c>
    </row>
    <row r="2328" spans="2:14" x14ac:dyDescent="0.25">
      <c r="B2328" t="s">
        <v>14</v>
      </c>
      <c r="C2328" s="1">
        <v>46160.999988425923</v>
      </c>
      <c r="D2328">
        <v>25.152079397565299</v>
      </c>
      <c r="E2328">
        <v>160597.55057608799</v>
      </c>
      <c r="F2328" s="1">
        <v>46158.099791666667</v>
      </c>
      <c r="G2328">
        <v>52.874703175737103</v>
      </c>
      <c r="H2328" t="s">
        <v>27</v>
      </c>
      <c r="I2328">
        <v>42243</v>
      </c>
      <c r="J2328" t="s">
        <v>16</v>
      </c>
      <c r="K2328">
        <v>284149.25079040503</v>
      </c>
      <c r="L2328" t="s">
        <v>17</v>
      </c>
      <c r="M2328">
        <v>-10158.572090083901</v>
      </c>
      <c r="N2328">
        <v>0.56518730958945596</v>
      </c>
    </row>
    <row r="2329" spans="2:14" x14ac:dyDescent="0.25">
      <c r="B2329" t="s">
        <v>14</v>
      </c>
      <c r="C2329" s="1">
        <v>46159.999988425923</v>
      </c>
      <c r="D2329">
        <v>25.152079397565299</v>
      </c>
      <c r="E2329">
        <v>160597.55057608799</v>
      </c>
      <c r="F2329" s="1">
        <v>46158.099791666667</v>
      </c>
      <c r="G2329">
        <v>52.874703175737103</v>
      </c>
      <c r="H2329" t="s">
        <v>27</v>
      </c>
      <c r="I2329">
        <v>42243</v>
      </c>
      <c r="J2329" t="s">
        <v>16</v>
      </c>
      <c r="K2329">
        <v>284149.25079040503</v>
      </c>
      <c r="L2329" t="s">
        <v>17</v>
      </c>
      <c r="M2329">
        <v>0</v>
      </c>
      <c r="N2329">
        <v>0.56518730958945596</v>
      </c>
    </row>
    <row r="2330" spans="2:14" x14ac:dyDescent="0.25">
      <c r="B2330" t="s">
        <v>14</v>
      </c>
      <c r="C2330" s="1">
        <v>46158.999988425923</v>
      </c>
      <c r="D2330">
        <v>25.152079397565299</v>
      </c>
      <c r="E2330">
        <v>160597.55057608799</v>
      </c>
      <c r="F2330" s="1">
        <v>46158.099791666667</v>
      </c>
      <c r="G2330">
        <v>52.874703175737103</v>
      </c>
      <c r="H2330" t="s">
        <v>27</v>
      </c>
      <c r="I2330">
        <v>42243</v>
      </c>
      <c r="J2330" t="s">
        <v>16</v>
      </c>
      <c r="K2330">
        <v>284149.25079040503</v>
      </c>
      <c r="L2330" t="s">
        <v>17</v>
      </c>
      <c r="M2330">
        <v>0</v>
      </c>
      <c r="N2330">
        <v>0.56518730958945596</v>
      </c>
    </row>
    <row r="2331" spans="2:14" x14ac:dyDescent="0.25">
      <c r="B2331" t="s">
        <v>14</v>
      </c>
      <c r="C2331" s="1">
        <v>46157.999988425923</v>
      </c>
      <c r="D2331">
        <v>25.152079397565299</v>
      </c>
      <c r="E2331">
        <v>133178.607356742</v>
      </c>
      <c r="F2331" s="1">
        <v>46155.60628472222</v>
      </c>
      <c r="G2331">
        <v>52.874703175737103</v>
      </c>
      <c r="H2331" t="s">
        <v>27</v>
      </c>
      <c r="I2331">
        <v>42243</v>
      </c>
      <c r="J2331" t="s">
        <v>16</v>
      </c>
      <c r="K2331">
        <v>284149.25079040503</v>
      </c>
      <c r="L2331" t="s">
        <v>17</v>
      </c>
      <c r="M2331">
        <v>-27418.9432193467</v>
      </c>
      <c r="N2331">
        <v>0.46869244591102999</v>
      </c>
    </row>
    <row r="2332" spans="2:14" x14ac:dyDescent="0.25">
      <c r="B2332" t="s">
        <v>14</v>
      </c>
      <c r="C2332" s="1">
        <v>46156.999988425923</v>
      </c>
      <c r="D2332">
        <v>25.152079397565299</v>
      </c>
      <c r="E2332">
        <v>133178.607356742</v>
      </c>
      <c r="F2332" s="1">
        <v>46155.60628472222</v>
      </c>
      <c r="G2332">
        <v>52.874703175737103</v>
      </c>
      <c r="H2332" t="s">
        <v>27</v>
      </c>
      <c r="I2332">
        <v>42243</v>
      </c>
      <c r="J2332" t="s">
        <v>16</v>
      </c>
      <c r="K2332">
        <v>284149.25079040503</v>
      </c>
      <c r="L2332" t="s">
        <v>17</v>
      </c>
      <c r="M2332">
        <v>0</v>
      </c>
      <c r="N2332">
        <v>0.46869244591102999</v>
      </c>
    </row>
    <row r="2333" spans="2:14" x14ac:dyDescent="0.25">
      <c r="B2333" t="s">
        <v>14</v>
      </c>
      <c r="C2333" s="1">
        <v>46155.999988425923</v>
      </c>
      <c r="D2333">
        <v>25.152079397565299</v>
      </c>
      <c r="E2333">
        <v>133178.607356742</v>
      </c>
      <c r="F2333" s="1">
        <v>46155.60628472222</v>
      </c>
      <c r="G2333">
        <v>52.874703175737103</v>
      </c>
      <c r="H2333" t="s">
        <v>27</v>
      </c>
      <c r="I2333">
        <v>42243</v>
      </c>
      <c r="J2333" t="s">
        <v>16</v>
      </c>
      <c r="K2333">
        <v>284149.25079040503</v>
      </c>
      <c r="L2333" t="s">
        <v>17</v>
      </c>
      <c r="M2333">
        <v>0</v>
      </c>
      <c r="N2333">
        <v>0.46869244591102999</v>
      </c>
    </row>
    <row r="2334" spans="2:14" x14ac:dyDescent="0.25">
      <c r="B2334" t="s">
        <v>14</v>
      </c>
      <c r="C2334" s="1">
        <v>46154.999988425923</v>
      </c>
      <c r="D2334">
        <v>25.152079397565299</v>
      </c>
      <c r="E2334">
        <v>127839.503359132</v>
      </c>
      <c r="F2334" s="1">
        <v>46153.099247685182</v>
      </c>
      <c r="G2334">
        <v>52.874703175737103</v>
      </c>
      <c r="H2334" t="s">
        <v>27</v>
      </c>
      <c r="I2334">
        <v>42243</v>
      </c>
      <c r="J2334" t="s">
        <v>16</v>
      </c>
      <c r="K2334">
        <v>284149.25079040503</v>
      </c>
      <c r="L2334" t="s">
        <v>17</v>
      </c>
      <c r="M2334">
        <v>-5339.1039976091997</v>
      </c>
      <c r="N2334">
        <v>0.44990265856245298</v>
      </c>
    </row>
    <row r="2335" spans="2:14" x14ac:dyDescent="0.25">
      <c r="B2335" t="s">
        <v>14</v>
      </c>
      <c r="C2335" s="1">
        <v>46153.999988425923</v>
      </c>
      <c r="D2335">
        <v>25.152079397565299</v>
      </c>
      <c r="E2335">
        <v>127839.503359132</v>
      </c>
      <c r="F2335" s="1">
        <v>46153.099247685182</v>
      </c>
      <c r="G2335">
        <v>52.874703175737103</v>
      </c>
      <c r="H2335" t="s">
        <v>27</v>
      </c>
      <c r="I2335">
        <v>42243</v>
      </c>
      <c r="J2335" t="s">
        <v>16</v>
      </c>
      <c r="K2335">
        <v>284149.25079040503</v>
      </c>
      <c r="L2335" t="s">
        <v>17</v>
      </c>
      <c r="M2335">
        <v>0</v>
      </c>
      <c r="N2335">
        <v>0.44990265856245298</v>
      </c>
    </row>
    <row r="2336" spans="2:14" x14ac:dyDescent="0.25">
      <c r="B2336" t="s">
        <v>14</v>
      </c>
      <c r="C2336" s="1">
        <v>46152.999988425923</v>
      </c>
      <c r="D2336">
        <v>25.152079397565299</v>
      </c>
      <c r="E2336">
        <v>121459.147974616</v>
      </c>
      <c r="F2336" s="1">
        <v>46150.605613425927</v>
      </c>
      <c r="G2336">
        <v>52.874703175737103</v>
      </c>
      <c r="H2336" t="s">
        <v>27</v>
      </c>
      <c r="I2336">
        <v>42243</v>
      </c>
      <c r="J2336" t="s">
        <v>16</v>
      </c>
      <c r="K2336">
        <v>284149.25079040503</v>
      </c>
      <c r="L2336" t="s">
        <v>17</v>
      </c>
      <c r="M2336">
        <v>-6380.3553845160905</v>
      </c>
      <c r="N2336">
        <v>0.42744841887409202</v>
      </c>
    </row>
    <row r="2337" spans="2:14" x14ac:dyDescent="0.25">
      <c r="B2337" t="s">
        <v>14</v>
      </c>
      <c r="C2337" s="1">
        <v>46151.999988425923</v>
      </c>
      <c r="D2337">
        <v>25.152079397565299</v>
      </c>
      <c r="E2337">
        <v>121459.147974616</v>
      </c>
      <c r="F2337" s="1">
        <v>46150.605613425927</v>
      </c>
      <c r="G2337">
        <v>52.874703175737103</v>
      </c>
      <c r="H2337" t="s">
        <v>27</v>
      </c>
      <c r="I2337">
        <v>42243</v>
      </c>
      <c r="J2337" t="s">
        <v>16</v>
      </c>
      <c r="K2337">
        <v>284149.25079040503</v>
      </c>
      <c r="L2337" t="s">
        <v>17</v>
      </c>
      <c r="M2337">
        <v>0</v>
      </c>
      <c r="N2337">
        <v>0.42744841887409202</v>
      </c>
    </row>
    <row r="2338" spans="2:14" x14ac:dyDescent="0.25">
      <c r="B2338" t="s">
        <v>14</v>
      </c>
      <c r="C2338" s="1">
        <v>46150.999988425923</v>
      </c>
      <c r="D2338">
        <v>25.152079397565299</v>
      </c>
      <c r="E2338">
        <v>121459.147974616</v>
      </c>
      <c r="F2338" s="1">
        <v>46150.605613425927</v>
      </c>
      <c r="G2338">
        <v>52.874703175737103</v>
      </c>
      <c r="H2338" t="s">
        <v>27</v>
      </c>
      <c r="I2338">
        <v>42243</v>
      </c>
      <c r="J2338" t="s">
        <v>16</v>
      </c>
      <c r="K2338">
        <v>284149.25079040503</v>
      </c>
      <c r="L2338" t="s">
        <v>17</v>
      </c>
      <c r="M2338">
        <v>0</v>
      </c>
      <c r="N2338">
        <v>0.42744841887409202</v>
      </c>
    </row>
    <row r="2339" spans="2:14" x14ac:dyDescent="0.25">
      <c r="B2339" t="s">
        <v>14</v>
      </c>
      <c r="C2339" s="1">
        <v>46149.999988425923</v>
      </c>
      <c r="D2339">
        <v>25.152079397565299</v>
      </c>
      <c r="E2339">
        <v>118425.381963477</v>
      </c>
      <c r="F2339" s="1">
        <v>46149.605497685188</v>
      </c>
      <c r="G2339">
        <v>52.874703175737103</v>
      </c>
      <c r="H2339" t="s">
        <v>27</v>
      </c>
      <c r="I2339">
        <v>42243</v>
      </c>
      <c r="J2339" t="s">
        <v>16</v>
      </c>
      <c r="K2339">
        <v>284149.25079040503</v>
      </c>
      <c r="L2339" t="s">
        <v>17</v>
      </c>
      <c r="M2339">
        <v>-3033.7660111393102</v>
      </c>
      <c r="N2339">
        <v>0.41677175510425801</v>
      </c>
    </row>
    <row r="2340" spans="2:14" x14ac:dyDescent="0.25">
      <c r="B2340" t="s">
        <v>14</v>
      </c>
      <c r="C2340" s="1">
        <v>46148.999988425923</v>
      </c>
      <c r="D2340">
        <v>25.152079397565299</v>
      </c>
      <c r="E2340">
        <v>110450.27583739899</v>
      </c>
      <c r="F2340" s="1">
        <v>46146.099803240744</v>
      </c>
      <c r="G2340">
        <v>52.874703175737103</v>
      </c>
      <c r="H2340" t="s">
        <v>27</v>
      </c>
      <c r="I2340">
        <v>42243</v>
      </c>
      <c r="J2340" t="s">
        <v>16</v>
      </c>
      <c r="K2340">
        <v>284149.25079040503</v>
      </c>
      <c r="L2340" t="s">
        <v>17</v>
      </c>
      <c r="M2340">
        <v>-7975.1061260779597</v>
      </c>
      <c r="N2340">
        <v>0.38870514537752499</v>
      </c>
    </row>
    <row r="2341" spans="2:14" x14ac:dyDescent="0.25">
      <c r="B2341" t="s">
        <v>14</v>
      </c>
      <c r="C2341" s="1">
        <v>46147.999988425923</v>
      </c>
      <c r="D2341">
        <v>25.152079397565299</v>
      </c>
      <c r="E2341">
        <v>110450.27583739899</v>
      </c>
      <c r="F2341" s="1">
        <v>46146.099803240744</v>
      </c>
      <c r="G2341">
        <v>52.874703175737103</v>
      </c>
      <c r="H2341" t="s">
        <v>27</v>
      </c>
      <c r="I2341">
        <v>42243</v>
      </c>
      <c r="J2341" t="s">
        <v>16</v>
      </c>
      <c r="K2341">
        <v>284149.25079040503</v>
      </c>
      <c r="L2341" t="s">
        <v>17</v>
      </c>
      <c r="M2341">
        <v>0</v>
      </c>
      <c r="N2341">
        <v>0.38870514537752499</v>
      </c>
    </row>
    <row r="2342" spans="2:14" x14ac:dyDescent="0.25">
      <c r="B2342" t="s">
        <v>14</v>
      </c>
      <c r="C2342" s="1">
        <v>46146.999988425923</v>
      </c>
      <c r="D2342">
        <v>25.152079397565299</v>
      </c>
      <c r="E2342">
        <v>110450.27583739899</v>
      </c>
      <c r="F2342" s="1">
        <v>46146.099803240744</v>
      </c>
      <c r="G2342">
        <v>52.874703175737103</v>
      </c>
      <c r="H2342" t="s">
        <v>27</v>
      </c>
      <c r="I2342">
        <v>42243</v>
      </c>
      <c r="J2342" t="s">
        <v>16</v>
      </c>
      <c r="K2342">
        <v>284149.25079040503</v>
      </c>
      <c r="L2342" t="s">
        <v>17</v>
      </c>
      <c r="M2342">
        <v>0</v>
      </c>
      <c r="N2342">
        <v>0.38870514537752499</v>
      </c>
    </row>
    <row r="2343" spans="2:14" x14ac:dyDescent="0.25">
      <c r="B2343" t="s">
        <v>14</v>
      </c>
      <c r="C2343" s="1">
        <v>46145.999988425923</v>
      </c>
      <c r="D2343">
        <v>25.152079397565299</v>
      </c>
      <c r="E2343">
        <v>116052.778761407</v>
      </c>
      <c r="F2343" s="1">
        <v>46143.606296296297</v>
      </c>
      <c r="G2343">
        <v>52.874703175737103</v>
      </c>
      <c r="H2343" t="s">
        <v>27</v>
      </c>
      <c r="I2343">
        <v>42243</v>
      </c>
      <c r="J2343" t="s">
        <v>16</v>
      </c>
      <c r="K2343">
        <v>284149.25079040503</v>
      </c>
      <c r="L2343" t="s">
        <v>17</v>
      </c>
      <c r="M2343">
        <v>5602.5029240081203</v>
      </c>
      <c r="N2343">
        <v>0.40842190658109601</v>
      </c>
    </row>
    <row r="2344" spans="2:14" x14ac:dyDescent="0.25">
      <c r="B2344" t="s">
        <v>14</v>
      </c>
      <c r="C2344" s="1">
        <v>46144.999988425923</v>
      </c>
      <c r="D2344">
        <v>25.152079397565299</v>
      </c>
      <c r="E2344">
        <v>116052.778761407</v>
      </c>
      <c r="F2344" s="1">
        <v>46143.606296296297</v>
      </c>
      <c r="G2344">
        <v>52.874703175737103</v>
      </c>
      <c r="H2344" t="s">
        <v>27</v>
      </c>
      <c r="I2344">
        <v>42243</v>
      </c>
      <c r="J2344" t="s">
        <v>16</v>
      </c>
      <c r="K2344">
        <v>284149.25079040503</v>
      </c>
      <c r="L2344" t="s">
        <v>17</v>
      </c>
      <c r="M2344">
        <v>0</v>
      </c>
      <c r="N2344">
        <v>0.40842190658109601</v>
      </c>
    </row>
    <row r="2345" spans="2:14" x14ac:dyDescent="0.25">
      <c r="B2345" t="s">
        <v>14</v>
      </c>
      <c r="C2345" s="1">
        <v>46143.999988425923</v>
      </c>
      <c r="D2345">
        <v>25.152079397565299</v>
      </c>
      <c r="E2345">
        <v>116052.778761407</v>
      </c>
      <c r="F2345" s="1">
        <v>46143.606296296297</v>
      </c>
      <c r="G2345">
        <v>52.874703175737103</v>
      </c>
      <c r="H2345" t="s">
        <v>27</v>
      </c>
      <c r="I2345">
        <v>42243</v>
      </c>
      <c r="J2345" t="s">
        <v>16</v>
      </c>
      <c r="K2345">
        <v>284149.25079040503</v>
      </c>
      <c r="L2345" t="s">
        <v>17</v>
      </c>
      <c r="M2345">
        <v>0</v>
      </c>
      <c r="N2345">
        <v>0.40842190658109601</v>
      </c>
    </row>
    <row r="2346" spans="2:14" x14ac:dyDescent="0.25">
      <c r="B2346" t="s">
        <v>14</v>
      </c>
      <c r="C2346" s="1">
        <v>46142.999988425923</v>
      </c>
      <c r="D2346">
        <v>25.152079397565299</v>
      </c>
      <c r="E2346">
        <v>101165.055363839</v>
      </c>
      <c r="F2346" s="1">
        <v>46140.099120370367</v>
      </c>
      <c r="G2346">
        <v>52.874703175737103</v>
      </c>
      <c r="H2346" t="s">
        <v>27</v>
      </c>
      <c r="I2346">
        <v>42243</v>
      </c>
      <c r="J2346" t="s">
        <v>16</v>
      </c>
      <c r="K2346">
        <v>284149.25079040503</v>
      </c>
      <c r="L2346" t="s">
        <v>17</v>
      </c>
      <c r="M2346">
        <v>-14887.723397568499</v>
      </c>
      <c r="N2346">
        <v>0.35602788000472502</v>
      </c>
    </row>
    <row r="2347" spans="2:14" x14ac:dyDescent="0.25">
      <c r="B2347" t="s">
        <v>14</v>
      </c>
      <c r="C2347" s="1">
        <v>46141.999988425923</v>
      </c>
      <c r="D2347">
        <v>25.152079397565299</v>
      </c>
      <c r="E2347">
        <v>101165.055363839</v>
      </c>
      <c r="F2347" s="1">
        <v>46140.099120370367</v>
      </c>
      <c r="G2347">
        <v>52.874703175737103</v>
      </c>
      <c r="H2347" t="s">
        <v>27</v>
      </c>
      <c r="I2347">
        <v>42243</v>
      </c>
      <c r="J2347" t="s">
        <v>16</v>
      </c>
      <c r="K2347">
        <v>284149.25079040503</v>
      </c>
      <c r="L2347" t="s">
        <v>17</v>
      </c>
      <c r="M2347">
        <v>0</v>
      </c>
      <c r="N2347">
        <v>0.35602788000472502</v>
      </c>
    </row>
    <row r="2348" spans="2:14" x14ac:dyDescent="0.25">
      <c r="B2348" t="s">
        <v>14</v>
      </c>
      <c r="C2348" s="1">
        <v>46140.999988425923</v>
      </c>
      <c r="D2348">
        <v>25.152079397565299</v>
      </c>
      <c r="E2348">
        <v>101165.055363839</v>
      </c>
      <c r="F2348" s="1">
        <v>46140.099120370367</v>
      </c>
      <c r="G2348">
        <v>52.874703175737103</v>
      </c>
      <c r="H2348" t="s">
        <v>27</v>
      </c>
      <c r="I2348">
        <v>42243</v>
      </c>
      <c r="J2348" t="s">
        <v>16</v>
      </c>
      <c r="K2348">
        <v>284149.25079040503</v>
      </c>
      <c r="L2348" t="s">
        <v>17</v>
      </c>
      <c r="M2348">
        <v>0</v>
      </c>
      <c r="N2348">
        <v>0.35602788000472502</v>
      </c>
    </row>
    <row r="2349" spans="2:14" x14ac:dyDescent="0.25">
      <c r="B2349" t="s">
        <v>14</v>
      </c>
      <c r="C2349" s="1">
        <v>46139.999988425923</v>
      </c>
      <c r="D2349">
        <v>25.152079397565299</v>
      </c>
      <c r="E2349">
        <v>84085.149674992907</v>
      </c>
      <c r="F2349" s="1">
        <v>46137.605486111112</v>
      </c>
      <c r="G2349">
        <v>52.874703175737103</v>
      </c>
      <c r="H2349" t="s">
        <v>27</v>
      </c>
      <c r="I2349">
        <v>42243</v>
      </c>
      <c r="J2349" t="s">
        <v>16</v>
      </c>
      <c r="K2349">
        <v>284149.25079040503</v>
      </c>
      <c r="L2349" t="s">
        <v>17</v>
      </c>
      <c r="M2349">
        <v>-17079.905688846098</v>
      </c>
      <c r="N2349">
        <v>0.29591895611583302</v>
      </c>
    </row>
    <row r="2350" spans="2:14" x14ac:dyDescent="0.25">
      <c r="B2350" t="s">
        <v>14</v>
      </c>
      <c r="C2350" s="1">
        <v>46138.999988425923</v>
      </c>
      <c r="D2350">
        <v>25.152079397565299</v>
      </c>
      <c r="E2350">
        <v>84085.149674992907</v>
      </c>
      <c r="F2350" s="1">
        <v>46137.605486111112</v>
      </c>
      <c r="G2350">
        <v>52.874703175737103</v>
      </c>
      <c r="H2350" t="s">
        <v>27</v>
      </c>
      <c r="I2350">
        <v>42243</v>
      </c>
      <c r="J2350" t="s">
        <v>16</v>
      </c>
      <c r="K2350">
        <v>284149.25079040503</v>
      </c>
      <c r="L2350" t="s">
        <v>17</v>
      </c>
      <c r="M2350">
        <v>0</v>
      </c>
      <c r="N2350">
        <v>0.29591895611583302</v>
      </c>
    </row>
    <row r="2351" spans="2:14" x14ac:dyDescent="0.25">
      <c r="B2351" t="s">
        <v>14</v>
      </c>
      <c r="C2351" s="1">
        <v>46137.999988425923</v>
      </c>
      <c r="D2351">
        <v>25.152079397565299</v>
      </c>
      <c r="E2351">
        <v>84085.149674992907</v>
      </c>
      <c r="F2351" s="1">
        <v>46137.605486111112</v>
      </c>
      <c r="G2351">
        <v>52.874703175737103</v>
      </c>
      <c r="H2351" t="s">
        <v>27</v>
      </c>
      <c r="I2351">
        <v>42243</v>
      </c>
      <c r="J2351" t="s">
        <v>16</v>
      </c>
      <c r="K2351">
        <v>284149.25079040503</v>
      </c>
      <c r="L2351" t="s">
        <v>17</v>
      </c>
      <c r="M2351">
        <v>0</v>
      </c>
      <c r="N2351">
        <v>0.29591895611583302</v>
      </c>
    </row>
    <row r="2352" spans="2:14" x14ac:dyDescent="0.25">
      <c r="B2352" t="s">
        <v>14</v>
      </c>
      <c r="C2352" s="1">
        <v>46136.999988425923</v>
      </c>
      <c r="D2352">
        <v>25.152079397565299</v>
      </c>
      <c r="E2352">
        <v>86918.191121821306</v>
      </c>
      <c r="F2352" s="1">
        <v>46134.099803240744</v>
      </c>
      <c r="G2352">
        <v>52.874703175737103</v>
      </c>
      <c r="H2352" t="s">
        <v>27</v>
      </c>
      <c r="I2352">
        <v>42243</v>
      </c>
      <c r="J2352" t="s">
        <v>16</v>
      </c>
      <c r="K2352">
        <v>284149.25079040503</v>
      </c>
      <c r="L2352" t="s">
        <v>17</v>
      </c>
      <c r="M2352">
        <v>2833.0414468283998</v>
      </c>
      <c r="N2352">
        <v>0.30588921448867001</v>
      </c>
    </row>
    <row r="2353" spans="2:14" x14ac:dyDescent="0.25">
      <c r="B2353" t="s">
        <v>14</v>
      </c>
      <c r="C2353" s="1">
        <v>46135.999988425923</v>
      </c>
      <c r="D2353">
        <v>25.152079397565299</v>
      </c>
      <c r="E2353">
        <v>86918.191121821306</v>
      </c>
      <c r="F2353" s="1">
        <v>46134.099803240744</v>
      </c>
      <c r="G2353">
        <v>52.874703175737103</v>
      </c>
      <c r="H2353" t="s">
        <v>27</v>
      </c>
      <c r="I2353">
        <v>42243</v>
      </c>
      <c r="J2353" t="s">
        <v>16</v>
      </c>
      <c r="K2353">
        <v>284149.25079040503</v>
      </c>
      <c r="L2353" t="s">
        <v>17</v>
      </c>
      <c r="M2353">
        <v>0</v>
      </c>
      <c r="N2353">
        <v>0.30588921448867001</v>
      </c>
    </row>
    <row r="2354" spans="2:14" x14ac:dyDescent="0.25">
      <c r="B2354" t="s">
        <v>14</v>
      </c>
      <c r="C2354" s="1">
        <v>46134.999988425923</v>
      </c>
      <c r="D2354">
        <v>25.152079397565299</v>
      </c>
      <c r="E2354">
        <v>86918.191121821306</v>
      </c>
      <c r="F2354" s="1">
        <v>46134.099803240744</v>
      </c>
      <c r="G2354">
        <v>52.874703175737103</v>
      </c>
      <c r="H2354" t="s">
        <v>27</v>
      </c>
      <c r="I2354">
        <v>42243</v>
      </c>
      <c r="J2354" t="s">
        <v>16</v>
      </c>
      <c r="K2354">
        <v>284149.25079040503</v>
      </c>
      <c r="L2354" t="s">
        <v>17</v>
      </c>
      <c r="M2354">
        <v>0</v>
      </c>
      <c r="N2354">
        <v>0.30588921448867001</v>
      </c>
    </row>
    <row r="2355" spans="2:14" x14ac:dyDescent="0.25">
      <c r="B2355" t="s">
        <v>14</v>
      </c>
      <c r="C2355" s="1">
        <v>46133.999988425923</v>
      </c>
      <c r="D2355">
        <v>25.152079397565299</v>
      </c>
      <c r="E2355">
        <v>85867.019434409594</v>
      </c>
      <c r="F2355" s="1">
        <v>46131.606296296297</v>
      </c>
      <c r="G2355">
        <v>52.874703175737103</v>
      </c>
      <c r="H2355" t="s">
        <v>27</v>
      </c>
      <c r="I2355">
        <v>42243</v>
      </c>
      <c r="J2355" t="s">
        <v>16</v>
      </c>
      <c r="K2355">
        <v>284149.25079040503</v>
      </c>
      <c r="L2355" t="s">
        <v>17</v>
      </c>
      <c r="M2355">
        <v>-1051.1716874117201</v>
      </c>
      <c r="N2355">
        <v>0.302189849860793</v>
      </c>
    </row>
    <row r="2356" spans="2:14" x14ac:dyDescent="0.25">
      <c r="B2356" t="s">
        <v>14</v>
      </c>
      <c r="C2356" s="1">
        <v>46132.999988425923</v>
      </c>
      <c r="D2356">
        <v>25.152079397565299</v>
      </c>
      <c r="E2356">
        <v>85867.019434409594</v>
      </c>
      <c r="F2356" s="1">
        <v>46131.606296296297</v>
      </c>
      <c r="G2356">
        <v>52.874703175737103</v>
      </c>
      <c r="H2356" t="s">
        <v>27</v>
      </c>
      <c r="I2356">
        <v>42243</v>
      </c>
      <c r="J2356" t="s">
        <v>16</v>
      </c>
      <c r="K2356">
        <v>284149.25079040503</v>
      </c>
      <c r="L2356" t="s">
        <v>17</v>
      </c>
      <c r="M2356">
        <v>0</v>
      </c>
      <c r="N2356">
        <v>0.302189849860793</v>
      </c>
    </row>
    <row r="2357" spans="2:14" x14ac:dyDescent="0.25">
      <c r="B2357" t="s">
        <v>14</v>
      </c>
      <c r="C2357" s="1">
        <v>46131.999988425923</v>
      </c>
      <c r="D2357">
        <v>25.152079397565299</v>
      </c>
      <c r="E2357">
        <v>85867.019434409594</v>
      </c>
      <c r="F2357" s="1">
        <v>46131.606296296297</v>
      </c>
      <c r="G2357">
        <v>52.874703175737103</v>
      </c>
      <c r="H2357" t="s">
        <v>27</v>
      </c>
      <c r="I2357">
        <v>42243</v>
      </c>
      <c r="J2357" t="s">
        <v>16</v>
      </c>
      <c r="K2357">
        <v>284149.25079040503</v>
      </c>
      <c r="L2357" t="s">
        <v>17</v>
      </c>
      <c r="M2357">
        <v>0</v>
      </c>
      <c r="N2357">
        <v>0.302189849860793</v>
      </c>
    </row>
    <row r="2358" spans="2:14" x14ac:dyDescent="0.25">
      <c r="B2358" t="s">
        <v>14</v>
      </c>
      <c r="C2358" s="1">
        <v>46130.999988425923</v>
      </c>
      <c r="D2358">
        <v>25.152079397565299</v>
      </c>
      <c r="E2358">
        <v>86138.0308376342</v>
      </c>
      <c r="F2358" s="1">
        <v>46128.099108796298</v>
      </c>
      <c r="G2358">
        <v>52.874703175737103</v>
      </c>
      <c r="H2358" t="s">
        <v>27</v>
      </c>
      <c r="I2358">
        <v>42243</v>
      </c>
      <c r="J2358" t="s">
        <v>16</v>
      </c>
      <c r="K2358">
        <v>284149.25079040503</v>
      </c>
      <c r="L2358" t="s">
        <v>17</v>
      </c>
      <c r="M2358">
        <v>271.01140322463402</v>
      </c>
      <c r="N2358">
        <v>0.30314361413245899</v>
      </c>
    </row>
    <row r="2359" spans="2:14" x14ac:dyDescent="0.25">
      <c r="B2359" t="s">
        <v>14</v>
      </c>
      <c r="C2359" s="1">
        <v>46129.999988425923</v>
      </c>
      <c r="D2359">
        <v>25.152079397565299</v>
      </c>
      <c r="E2359">
        <v>86138.0308376342</v>
      </c>
      <c r="F2359" s="1">
        <v>46128.099108796298</v>
      </c>
      <c r="G2359">
        <v>52.874703175737103</v>
      </c>
      <c r="H2359" t="s">
        <v>27</v>
      </c>
      <c r="I2359">
        <v>42243</v>
      </c>
      <c r="J2359" t="s">
        <v>16</v>
      </c>
      <c r="K2359">
        <v>284149.25079040503</v>
      </c>
      <c r="L2359" t="s">
        <v>17</v>
      </c>
      <c r="M2359">
        <v>0</v>
      </c>
      <c r="N2359">
        <v>0.30314361413245899</v>
      </c>
    </row>
    <row r="2360" spans="2:14" x14ac:dyDescent="0.25">
      <c r="B2360" t="s">
        <v>14</v>
      </c>
      <c r="C2360" s="1">
        <v>46128.999988425923</v>
      </c>
      <c r="D2360">
        <v>25.152079397565299</v>
      </c>
      <c r="E2360">
        <v>86138.0308376342</v>
      </c>
      <c r="F2360" s="1">
        <v>46128.099108796298</v>
      </c>
      <c r="G2360">
        <v>52.874703175737103</v>
      </c>
      <c r="H2360" t="s">
        <v>27</v>
      </c>
      <c r="I2360">
        <v>42243</v>
      </c>
      <c r="J2360" t="s">
        <v>16</v>
      </c>
      <c r="K2360">
        <v>284149.25079040503</v>
      </c>
      <c r="L2360" t="s">
        <v>17</v>
      </c>
      <c r="M2360">
        <v>0</v>
      </c>
      <c r="N2360">
        <v>0.30314361413245899</v>
      </c>
    </row>
    <row r="2361" spans="2:14" x14ac:dyDescent="0.25">
      <c r="B2361" t="s">
        <v>14</v>
      </c>
      <c r="C2361" s="1">
        <v>46127.999988425923</v>
      </c>
      <c r="D2361">
        <v>25.152079397565299</v>
      </c>
      <c r="E2361">
        <v>85750.073229172296</v>
      </c>
      <c r="F2361" s="1">
        <v>46125.605486111112</v>
      </c>
      <c r="G2361">
        <v>52.874703175737103</v>
      </c>
      <c r="H2361" t="s">
        <v>27</v>
      </c>
      <c r="I2361">
        <v>42243</v>
      </c>
      <c r="J2361" t="s">
        <v>16</v>
      </c>
      <c r="K2361">
        <v>284149.25079040503</v>
      </c>
      <c r="L2361" t="s">
        <v>17</v>
      </c>
      <c r="M2361">
        <v>-387.95760846187397</v>
      </c>
      <c r="N2361">
        <v>0.30177828373872201</v>
      </c>
    </row>
    <row r="2362" spans="2:14" x14ac:dyDescent="0.25">
      <c r="B2362" t="s">
        <v>14</v>
      </c>
      <c r="C2362" s="1">
        <v>46126.999988425923</v>
      </c>
      <c r="D2362">
        <v>25.152079397565299</v>
      </c>
      <c r="E2362">
        <v>85750.073229172296</v>
      </c>
      <c r="F2362" s="1">
        <v>46125.605486111112</v>
      </c>
      <c r="G2362">
        <v>52.874703175737103</v>
      </c>
      <c r="H2362" t="s">
        <v>27</v>
      </c>
      <c r="I2362">
        <v>42243</v>
      </c>
      <c r="J2362" t="s">
        <v>16</v>
      </c>
      <c r="K2362">
        <v>284149.25079040503</v>
      </c>
      <c r="L2362" t="s">
        <v>17</v>
      </c>
      <c r="M2362">
        <v>0</v>
      </c>
      <c r="N2362">
        <v>0.30177828373872201</v>
      </c>
    </row>
    <row r="2363" spans="2:14" x14ac:dyDescent="0.25">
      <c r="B2363" t="s">
        <v>14</v>
      </c>
      <c r="C2363" s="1">
        <v>46125.999988425923</v>
      </c>
      <c r="D2363">
        <v>25.152079397565299</v>
      </c>
      <c r="E2363">
        <v>85750.073229172296</v>
      </c>
      <c r="F2363" s="1">
        <v>46125.605486111112</v>
      </c>
      <c r="G2363">
        <v>52.874703175737103</v>
      </c>
      <c r="H2363" t="s">
        <v>27</v>
      </c>
      <c r="I2363">
        <v>42243</v>
      </c>
      <c r="J2363" t="s">
        <v>16</v>
      </c>
      <c r="K2363">
        <v>284149.25079040503</v>
      </c>
      <c r="L2363" t="s">
        <v>17</v>
      </c>
      <c r="M2363">
        <v>0</v>
      </c>
      <c r="N2363">
        <v>0.30177828373872201</v>
      </c>
    </row>
    <row r="2364" spans="2:14" x14ac:dyDescent="0.25">
      <c r="B2364" t="s">
        <v>14</v>
      </c>
      <c r="C2364" s="1">
        <v>46124.999988425923</v>
      </c>
      <c r="D2364">
        <v>25.152079397565299</v>
      </c>
      <c r="E2364">
        <v>88647.3502595795</v>
      </c>
      <c r="F2364" s="1">
        <v>46122.099803240744</v>
      </c>
      <c r="G2364">
        <v>52.874703175737103</v>
      </c>
      <c r="H2364" t="s">
        <v>27</v>
      </c>
      <c r="I2364">
        <v>42243</v>
      </c>
      <c r="J2364" t="s">
        <v>16</v>
      </c>
      <c r="K2364">
        <v>284149.25079040503</v>
      </c>
      <c r="L2364" t="s">
        <v>17</v>
      </c>
      <c r="M2364">
        <v>2897.2770304072101</v>
      </c>
      <c r="N2364">
        <v>0.31197460494086499</v>
      </c>
    </row>
    <row r="2365" spans="2:14" x14ac:dyDescent="0.25">
      <c r="B2365" t="s">
        <v>14</v>
      </c>
      <c r="C2365" s="1">
        <v>46123.999988425923</v>
      </c>
      <c r="D2365">
        <v>25.152079397565299</v>
      </c>
      <c r="E2365">
        <v>88647.3502595795</v>
      </c>
      <c r="F2365" s="1">
        <v>46122.099803240744</v>
      </c>
      <c r="G2365">
        <v>52.874703175737103</v>
      </c>
      <c r="H2365" t="s">
        <v>27</v>
      </c>
      <c r="I2365">
        <v>42243</v>
      </c>
      <c r="J2365" t="s">
        <v>16</v>
      </c>
      <c r="K2365">
        <v>284149.25079040503</v>
      </c>
      <c r="L2365" t="s">
        <v>17</v>
      </c>
      <c r="M2365">
        <v>0</v>
      </c>
      <c r="N2365">
        <v>0.31197460494086499</v>
      </c>
    </row>
    <row r="2366" spans="2:14" x14ac:dyDescent="0.25">
      <c r="B2366" t="s">
        <v>14</v>
      </c>
      <c r="C2366" s="1">
        <v>46122.999988425923</v>
      </c>
      <c r="D2366">
        <v>25.152079397565299</v>
      </c>
      <c r="E2366">
        <v>88647.3502595795</v>
      </c>
      <c r="F2366" s="1">
        <v>46122.099803240744</v>
      </c>
      <c r="G2366">
        <v>52.874703175737103</v>
      </c>
      <c r="H2366" t="s">
        <v>27</v>
      </c>
      <c r="I2366">
        <v>42243</v>
      </c>
      <c r="J2366" t="s">
        <v>16</v>
      </c>
      <c r="K2366">
        <v>284149.25079040503</v>
      </c>
      <c r="L2366" t="s">
        <v>17</v>
      </c>
      <c r="M2366">
        <v>0</v>
      </c>
      <c r="N2366">
        <v>0.31197460494086499</v>
      </c>
    </row>
    <row r="2367" spans="2:14" x14ac:dyDescent="0.25">
      <c r="B2367" t="s">
        <v>14</v>
      </c>
      <c r="C2367" s="1">
        <v>46121.999988425923</v>
      </c>
      <c r="D2367">
        <v>25.152079397565299</v>
      </c>
      <c r="E2367">
        <v>84686.326821997907</v>
      </c>
      <c r="F2367" s="1">
        <v>46119.606296296297</v>
      </c>
      <c r="G2367">
        <v>52.874703175737103</v>
      </c>
      <c r="H2367" t="s">
        <v>27</v>
      </c>
      <c r="I2367">
        <v>42243</v>
      </c>
      <c r="J2367" t="s">
        <v>16</v>
      </c>
      <c r="K2367">
        <v>284149.25079040503</v>
      </c>
      <c r="L2367" t="s">
        <v>17</v>
      </c>
      <c r="M2367">
        <v>-3961.0234375815999</v>
      </c>
      <c r="N2367">
        <v>0.29803466518539001</v>
      </c>
    </row>
    <row r="2368" spans="2:14" x14ac:dyDescent="0.25">
      <c r="B2368" t="s">
        <v>14</v>
      </c>
      <c r="C2368" s="1">
        <v>46120.999988425923</v>
      </c>
      <c r="D2368">
        <v>25.152079397565299</v>
      </c>
      <c r="E2368">
        <v>84686.326821997907</v>
      </c>
      <c r="F2368" s="1">
        <v>46119.606296296297</v>
      </c>
      <c r="G2368">
        <v>52.874703175737103</v>
      </c>
      <c r="H2368" t="s">
        <v>27</v>
      </c>
      <c r="I2368">
        <v>42243</v>
      </c>
      <c r="J2368" t="s">
        <v>16</v>
      </c>
      <c r="K2368">
        <v>284149.25079040503</v>
      </c>
      <c r="L2368" t="s">
        <v>17</v>
      </c>
      <c r="M2368">
        <v>0</v>
      </c>
      <c r="N2368">
        <v>0.29803466518539001</v>
      </c>
    </row>
    <row r="2369" spans="2:14" x14ac:dyDescent="0.25">
      <c r="B2369" t="s">
        <v>14</v>
      </c>
      <c r="C2369" s="1">
        <v>46119.999988425923</v>
      </c>
      <c r="D2369">
        <v>25.152079397565299</v>
      </c>
      <c r="E2369">
        <v>84686.326821997907</v>
      </c>
      <c r="F2369" s="1">
        <v>46119.606296296297</v>
      </c>
      <c r="G2369">
        <v>52.874703175737103</v>
      </c>
      <c r="H2369" t="s">
        <v>27</v>
      </c>
      <c r="I2369">
        <v>42243</v>
      </c>
      <c r="J2369" t="s">
        <v>16</v>
      </c>
      <c r="K2369">
        <v>284149.25079040503</v>
      </c>
      <c r="L2369" t="s">
        <v>17</v>
      </c>
      <c r="M2369">
        <v>0</v>
      </c>
      <c r="N2369">
        <v>0.29803466518539001</v>
      </c>
    </row>
    <row r="2370" spans="2:14" x14ac:dyDescent="0.25">
      <c r="B2370" t="s">
        <v>14</v>
      </c>
      <c r="C2370" s="1">
        <v>46118.999988425923</v>
      </c>
      <c r="D2370">
        <v>25.152079397565299</v>
      </c>
      <c r="E2370">
        <v>85101.044346645198</v>
      </c>
      <c r="F2370" s="1">
        <v>46116.099108796298</v>
      </c>
      <c r="G2370">
        <v>52.874703175737103</v>
      </c>
      <c r="H2370" t="s">
        <v>27</v>
      </c>
      <c r="I2370">
        <v>42243</v>
      </c>
      <c r="J2370" t="s">
        <v>16</v>
      </c>
      <c r="K2370">
        <v>284149.25079040503</v>
      </c>
      <c r="L2370" t="s">
        <v>17</v>
      </c>
      <c r="M2370">
        <v>414.71752464730503</v>
      </c>
      <c r="N2370">
        <v>0.299494171143944</v>
      </c>
    </row>
    <row r="2371" spans="2:14" x14ac:dyDescent="0.25">
      <c r="B2371" t="s">
        <v>14</v>
      </c>
      <c r="C2371" s="1">
        <v>46117.999988425923</v>
      </c>
      <c r="D2371">
        <v>25.152079397565299</v>
      </c>
      <c r="E2371">
        <v>85101.044346645198</v>
      </c>
      <c r="F2371" s="1">
        <v>46116.099108796298</v>
      </c>
      <c r="G2371">
        <v>52.874703175737103</v>
      </c>
      <c r="H2371" t="s">
        <v>27</v>
      </c>
      <c r="I2371">
        <v>42243</v>
      </c>
      <c r="J2371" t="s">
        <v>16</v>
      </c>
      <c r="K2371">
        <v>284149.25079040503</v>
      </c>
      <c r="L2371" t="s">
        <v>17</v>
      </c>
      <c r="M2371">
        <v>0</v>
      </c>
      <c r="N2371">
        <v>0.299494171143944</v>
      </c>
    </row>
    <row r="2372" spans="2:14" x14ac:dyDescent="0.25">
      <c r="B2372" t="s">
        <v>14</v>
      </c>
      <c r="C2372" s="1">
        <v>46116.999988425923</v>
      </c>
      <c r="D2372">
        <v>25.152079397565299</v>
      </c>
      <c r="E2372">
        <v>85101.044346645198</v>
      </c>
      <c r="F2372" s="1">
        <v>46116.099108796298</v>
      </c>
      <c r="G2372">
        <v>52.874703175737103</v>
      </c>
      <c r="H2372" t="s">
        <v>27</v>
      </c>
      <c r="I2372">
        <v>42243</v>
      </c>
      <c r="J2372" t="s">
        <v>16</v>
      </c>
      <c r="K2372">
        <v>284149.25079040503</v>
      </c>
      <c r="L2372" t="s">
        <v>17</v>
      </c>
      <c r="M2372">
        <v>0</v>
      </c>
      <c r="N2372">
        <v>0.299494171143944</v>
      </c>
    </row>
    <row r="2373" spans="2:14" x14ac:dyDescent="0.25">
      <c r="B2373" t="s">
        <v>14</v>
      </c>
      <c r="C2373" s="1">
        <v>46115.999988425923</v>
      </c>
      <c r="D2373">
        <v>25.152079397565299</v>
      </c>
      <c r="E2373">
        <v>84103.739888630007</v>
      </c>
      <c r="F2373" s="1">
        <v>46113.605474537035</v>
      </c>
      <c r="G2373">
        <v>52.874703175737103</v>
      </c>
      <c r="H2373" t="s">
        <v>27</v>
      </c>
      <c r="I2373">
        <v>42243</v>
      </c>
      <c r="J2373" t="s">
        <v>16</v>
      </c>
      <c r="K2373">
        <v>284149.25079040503</v>
      </c>
      <c r="L2373" t="s">
        <v>17</v>
      </c>
      <c r="M2373">
        <v>-997.30445801522001</v>
      </c>
      <c r="N2373">
        <v>0.29598438023215701</v>
      </c>
    </row>
    <row r="2374" spans="2:14" x14ac:dyDescent="0.25">
      <c r="B2374" t="s">
        <v>14</v>
      </c>
      <c r="C2374" s="1">
        <v>46114.999988425923</v>
      </c>
      <c r="D2374">
        <v>25.152079397565299</v>
      </c>
      <c r="E2374">
        <v>84103.739888630007</v>
      </c>
      <c r="F2374" s="1">
        <v>46113.605474537035</v>
      </c>
      <c r="G2374">
        <v>52.874703175737103</v>
      </c>
      <c r="H2374" t="s">
        <v>27</v>
      </c>
      <c r="I2374">
        <v>42243</v>
      </c>
      <c r="J2374" t="s">
        <v>16</v>
      </c>
      <c r="K2374">
        <v>284149.25079040503</v>
      </c>
      <c r="L2374" t="s">
        <v>17</v>
      </c>
      <c r="M2374">
        <v>0</v>
      </c>
      <c r="N2374">
        <v>0.29598438023215701</v>
      </c>
    </row>
    <row r="2375" spans="2:14" x14ac:dyDescent="0.25">
      <c r="B2375" t="s">
        <v>14</v>
      </c>
      <c r="C2375" s="1">
        <v>46113.999988425923</v>
      </c>
      <c r="D2375">
        <v>25.152079397565299</v>
      </c>
      <c r="E2375">
        <v>84103.739888630007</v>
      </c>
      <c r="F2375" s="1">
        <v>46113.605474537035</v>
      </c>
      <c r="G2375">
        <v>52.874703175737103</v>
      </c>
      <c r="H2375" t="s">
        <v>27</v>
      </c>
      <c r="I2375">
        <v>42243</v>
      </c>
      <c r="J2375" t="s">
        <v>16</v>
      </c>
      <c r="K2375">
        <v>284149.25079040503</v>
      </c>
      <c r="L2375" t="s">
        <v>17</v>
      </c>
      <c r="M2375">
        <v>0</v>
      </c>
      <c r="N2375">
        <v>0.29598438023215701</v>
      </c>
    </row>
    <row r="2376" spans="2:14" x14ac:dyDescent="0.25">
      <c r="B2376" t="s">
        <v>14</v>
      </c>
      <c r="C2376" s="1">
        <v>46112.999988425923</v>
      </c>
      <c r="D2376">
        <v>25.152079397565299</v>
      </c>
      <c r="E2376">
        <v>83815.300172160001</v>
      </c>
      <c r="F2376" s="1">
        <v>46110.099803240744</v>
      </c>
      <c r="G2376">
        <v>52.874703175737103</v>
      </c>
      <c r="H2376" t="s">
        <v>27</v>
      </c>
      <c r="I2376">
        <v>42243</v>
      </c>
      <c r="J2376" t="s">
        <v>16</v>
      </c>
      <c r="K2376">
        <v>284149.25079040503</v>
      </c>
      <c r="L2376" t="s">
        <v>17</v>
      </c>
      <c r="M2376">
        <v>-288.43971647004901</v>
      </c>
      <c r="N2376">
        <v>0.29496928089380697</v>
      </c>
    </row>
    <row r="2377" spans="2:14" x14ac:dyDescent="0.25">
      <c r="B2377" t="s">
        <v>14</v>
      </c>
      <c r="C2377" s="1">
        <v>46111.999988425923</v>
      </c>
      <c r="D2377">
        <v>25.152079397565299</v>
      </c>
      <c r="E2377">
        <v>83815.300172160001</v>
      </c>
      <c r="F2377" s="1">
        <v>46110.099803240744</v>
      </c>
      <c r="G2377">
        <v>52.874703175737103</v>
      </c>
      <c r="H2377" t="s">
        <v>27</v>
      </c>
      <c r="I2377">
        <v>42243</v>
      </c>
      <c r="J2377" t="s">
        <v>16</v>
      </c>
      <c r="K2377">
        <v>284149.25079040503</v>
      </c>
      <c r="L2377" t="s">
        <v>17</v>
      </c>
      <c r="M2377">
        <v>0</v>
      </c>
      <c r="N2377">
        <v>0.29496928089380697</v>
      </c>
    </row>
    <row r="2378" spans="2:14" x14ac:dyDescent="0.25">
      <c r="B2378" t="s">
        <v>14</v>
      </c>
      <c r="C2378" s="1">
        <v>46110.999988425923</v>
      </c>
      <c r="D2378">
        <v>25.152079397565299</v>
      </c>
      <c r="E2378">
        <v>83815.300172160001</v>
      </c>
      <c r="F2378" s="1">
        <v>46110.099803240744</v>
      </c>
      <c r="G2378">
        <v>52.874703175737103</v>
      </c>
      <c r="H2378" t="s">
        <v>27</v>
      </c>
      <c r="I2378">
        <v>42243</v>
      </c>
      <c r="J2378" t="s">
        <v>16</v>
      </c>
      <c r="K2378">
        <v>284149.25079040503</v>
      </c>
      <c r="L2378" t="s">
        <v>17</v>
      </c>
      <c r="M2378">
        <v>0</v>
      </c>
      <c r="N2378">
        <v>0.29496928089380697</v>
      </c>
    </row>
    <row r="2379" spans="2:14" x14ac:dyDescent="0.25">
      <c r="B2379" t="s">
        <v>14</v>
      </c>
      <c r="C2379" s="1">
        <v>46109.999988425923</v>
      </c>
      <c r="D2379">
        <v>25.152079397565299</v>
      </c>
      <c r="E2379">
        <v>86035.010895190397</v>
      </c>
      <c r="F2379" s="1">
        <v>46107.606296296297</v>
      </c>
      <c r="G2379">
        <v>52.874703175737103</v>
      </c>
      <c r="H2379" t="s">
        <v>27</v>
      </c>
      <c r="I2379">
        <v>42243</v>
      </c>
      <c r="J2379" t="s">
        <v>16</v>
      </c>
      <c r="K2379">
        <v>284149.25079040503</v>
      </c>
      <c r="L2379" t="s">
        <v>17</v>
      </c>
      <c r="M2379">
        <v>2219.71072303046</v>
      </c>
      <c r="N2379">
        <v>0.302781058390513</v>
      </c>
    </row>
    <row r="2380" spans="2:14" x14ac:dyDescent="0.25">
      <c r="B2380" t="s">
        <v>14</v>
      </c>
      <c r="C2380" s="1">
        <v>46108.999988425923</v>
      </c>
      <c r="D2380">
        <v>25.152079397565299</v>
      </c>
      <c r="E2380">
        <v>86035.010895190397</v>
      </c>
      <c r="F2380" s="1">
        <v>46107.606296296297</v>
      </c>
      <c r="G2380">
        <v>52.874703175737103</v>
      </c>
      <c r="H2380" t="s">
        <v>27</v>
      </c>
      <c r="I2380">
        <v>42243</v>
      </c>
      <c r="J2380" t="s">
        <v>16</v>
      </c>
      <c r="K2380">
        <v>284149.25079040503</v>
      </c>
      <c r="L2380" t="s">
        <v>17</v>
      </c>
      <c r="M2380">
        <v>0</v>
      </c>
      <c r="N2380">
        <v>0.302781058390513</v>
      </c>
    </row>
    <row r="2381" spans="2:14" x14ac:dyDescent="0.25">
      <c r="B2381" t="s">
        <v>14</v>
      </c>
      <c r="C2381" s="1">
        <v>46107.999988425923</v>
      </c>
      <c r="D2381">
        <v>25.152079397565299</v>
      </c>
      <c r="E2381">
        <v>86035.010895190397</v>
      </c>
      <c r="F2381" s="1">
        <v>46107.606296296297</v>
      </c>
      <c r="G2381">
        <v>52.874703175737103</v>
      </c>
      <c r="H2381" t="s">
        <v>27</v>
      </c>
      <c r="I2381">
        <v>42243</v>
      </c>
      <c r="J2381" t="s">
        <v>16</v>
      </c>
      <c r="K2381">
        <v>284149.25079040503</v>
      </c>
      <c r="L2381" t="s">
        <v>17</v>
      </c>
      <c r="M2381">
        <v>0</v>
      </c>
      <c r="N2381">
        <v>0.302781058390513</v>
      </c>
    </row>
    <row r="2382" spans="2:14" x14ac:dyDescent="0.25">
      <c r="B2382" t="s">
        <v>14</v>
      </c>
      <c r="C2382" s="1">
        <v>46106.999988425923</v>
      </c>
      <c r="D2382">
        <v>25.152079397565299</v>
      </c>
      <c r="E2382">
        <v>84755.5346861742</v>
      </c>
      <c r="F2382" s="1">
        <v>46104.099108796298</v>
      </c>
      <c r="G2382">
        <v>52.874703175737103</v>
      </c>
      <c r="H2382" t="s">
        <v>27</v>
      </c>
      <c r="I2382">
        <v>42243</v>
      </c>
      <c r="J2382" t="s">
        <v>16</v>
      </c>
      <c r="K2382">
        <v>284149.25079040503</v>
      </c>
      <c r="L2382" t="s">
        <v>17</v>
      </c>
      <c r="M2382">
        <v>-1279.4762090161901</v>
      </c>
      <c r="N2382">
        <v>0.29827822684879002</v>
      </c>
    </row>
    <row r="2383" spans="2:14" x14ac:dyDescent="0.25">
      <c r="B2383" t="s">
        <v>14</v>
      </c>
      <c r="C2383" s="1">
        <v>46105.999988425923</v>
      </c>
      <c r="D2383">
        <v>25.152079397565299</v>
      </c>
      <c r="E2383">
        <v>84755.5346861742</v>
      </c>
      <c r="F2383" s="1">
        <v>46104.099108796298</v>
      </c>
      <c r="G2383">
        <v>52.874703175737103</v>
      </c>
      <c r="H2383" t="s">
        <v>27</v>
      </c>
      <c r="I2383">
        <v>42243</v>
      </c>
      <c r="J2383" t="s">
        <v>16</v>
      </c>
      <c r="K2383">
        <v>284149.25079040503</v>
      </c>
      <c r="L2383" t="s">
        <v>17</v>
      </c>
      <c r="M2383">
        <v>0</v>
      </c>
      <c r="N2383">
        <v>0.29827822684879002</v>
      </c>
    </row>
    <row r="2384" spans="2:14" x14ac:dyDescent="0.25">
      <c r="B2384" t="s">
        <v>14</v>
      </c>
      <c r="C2384" s="1">
        <v>46104.999988425923</v>
      </c>
      <c r="D2384">
        <v>25.152079397565299</v>
      </c>
      <c r="E2384">
        <v>84755.5346861742</v>
      </c>
      <c r="F2384" s="1">
        <v>46104.099108796298</v>
      </c>
      <c r="G2384">
        <v>52.874703175737103</v>
      </c>
      <c r="H2384" t="s">
        <v>27</v>
      </c>
      <c r="I2384">
        <v>42243</v>
      </c>
      <c r="J2384" t="s">
        <v>16</v>
      </c>
      <c r="K2384">
        <v>284149.25079040503</v>
      </c>
      <c r="L2384" t="s">
        <v>17</v>
      </c>
      <c r="M2384">
        <v>0</v>
      </c>
      <c r="N2384">
        <v>0.29827822684879002</v>
      </c>
    </row>
    <row r="2385" spans="2:14" x14ac:dyDescent="0.25">
      <c r="B2385" t="s">
        <v>14</v>
      </c>
      <c r="C2385" s="1">
        <v>46103.999988425923</v>
      </c>
      <c r="D2385">
        <v>25.152079397565299</v>
      </c>
      <c r="E2385">
        <v>83646.871574477496</v>
      </c>
      <c r="F2385" s="1">
        <v>46101.605474537035</v>
      </c>
      <c r="G2385">
        <v>52.874703175737103</v>
      </c>
      <c r="H2385" t="s">
        <v>27</v>
      </c>
      <c r="I2385">
        <v>42243</v>
      </c>
      <c r="J2385" t="s">
        <v>16</v>
      </c>
      <c r="K2385">
        <v>284149.25079040503</v>
      </c>
      <c r="L2385" t="s">
        <v>17</v>
      </c>
      <c r="M2385">
        <v>-1108.6631116966801</v>
      </c>
      <c r="N2385">
        <v>0.29437653395812502</v>
      </c>
    </row>
    <row r="2386" spans="2:14" x14ac:dyDescent="0.25">
      <c r="B2386" t="s">
        <v>14</v>
      </c>
      <c r="C2386" s="1">
        <v>46102.999988425923</v>
      </c>
      <c r="D2386">
        <v>25.152079397565299</v>
      </c>
      <c r="E2386">
        <v>83646.871574477496</v>
      </c>
      <c r="F2386" s="1">
        <v>46101.605474537035</v>
      </c>
      <c r="G2386">
        <v>52.874703175737103</v>
      </c>
      <c r="H2386" t="s">
        <v>27</v>
      </c>
      <c r="I2386">
        <v>42243</v>
      </c>
      <c r="J2386" t="s">
        <v>16</v>
      </c>
      <c r="K2386">
        <v>284149.25079040503</v>
      </c>
      <c r="L2386" t="s">
        <v>17</v>
      </c>
      <c r="M2386">
        <v>0</v>
      </c>
      <c r="N2386">
        <v>0.29437653395812502</v>
      </c>
    </row>
    <row r="2387" spans="2:14" x14ac:dyDescent="0.25">
      <c r="B2387" t="s">
        <v>14</v>
      </c>
      <c r="C2387" s="1">
        <v>46101.999988425923</v>
      </c>
      <c r="D2387">
        <v>25.152079397565299</v>
      </c>
      <c r="E2387">
        <v>83646.871574477496</v>
      </c>
      <c r="F2387" s="1">
        <v>46101.605474537035</v>
      </c>
      <c r="G2387">
        <v>52.874703175737103</v>
      </c>
      <c r="H2387" t="s">
        <v>27</v>
      </c>
      <c r="I2387">
        <v>42243</v>
      </c>
      <c r="J2387" t="s">
        <v>16</v>
      </c>
      <c r="K2387">
        <v>284149.25079040503</v>
      </c>
      <c r="L2387" t="s">
        <v>17</v>
      </c>
      <c r="M2387">
        <v>0</v>
      </c>
      <c r="N2387">
        <v>0.29437653395812502</v>
      </c>
    </row>
    <row r="2388" spans="2:14" x14ac:dyDescent="0.25">
      <c r="B2388" t="s">
        <v>14</v>
      </c>
      <c r="C2388" s="1">
        <v>46100.999988425923</v>
      </c>
      <c r="D2388">
        <v>25.152079397565299</v>
      </c>
      <c r="E2388">
        <v>86315.398444990904</v>
      </c>
      <c r="F2388" s="1">
        <v>46098.099803240744</v>
      </c>
      <c r="G2388">
        <v>52.874703175737103</v>
      </c>
      <c r="H2388" t="s">
        <v>27</v>
      </c>
      <c r="I2388">
        <v>42243</v>
      </c>
      <c r="J2388" t="s">
        <v>16</v>
      </c>
      <c r="K2388">
        <v>284149.25079040503</v>
      </c>
      <c r="L2388" t="s">
        <v>17</v>
      </c>
      <c r="M2388">
        <v>2668.5268705133299</v>
      </c>
      <c r="N2388">
        <v>0.30376781992171697</v>
      </c>
    </row>
    <row r="2389" spans="2:14" x14ac:dyDescent="0.25">
      <c r="B2389" t="s">
        <v>14</v>
      </c>
      <c r="C2389" s="1">
        <v>46099.999988425923</v>
      </c>
      <c r="D2389">
        <v>25.152079397565299</v>
      </c>
      <c r="E2389">
        <v>86315.398444990904</v>
      </c>
      <c r="F2389" s="1">
        <v>46098.099803240744</v>
      </c>
      <c r="G2389">
        <v>52.874703175737103</v>
      </c>
      <c r="H2389" t="s">
        <v>27</v>
      </c>
      <c r="I2389">
        <v>42243</v>
      </c>
      <c r="J2389" t="s">
        <v>16</v>
      </c>
      <c r="K2389">
        <v>284149.25079040503</v>
      </c>
      <c r="L2389" t="s">
        <v>17</v>
      </c>
      <c r="M2389">
        <v>0</v>
      </c>
      <c r="N2389">
        <v>0.30376781992171697</v>
      </c>
    </row>
    <row r="2390" spans="2:14" x14ac:dyDescent="0.25">
      <c r="B2390" t="s">
        <v>14</v>
      </c>
      <c r="C2390" s="1">
        <v>46098.999988425923</v>
      </c>
      <c r="D2390">
        <v>25.152079397565299</v>
      </c>
      <c r="E2390">
        <v>86315.398444990904</v>
      </c>
      <c r="F2390" s="1">
        <v>46098.099803240744</v>
      </c>
      <c r="G2390">
        <v>52.874703175737103</v>
      </c>
      <c r="H2390" t="s">
        <v>27</v>
      </c>
      <c r="I2390">
        <v>42243</v>
      </c>
      <c r="J2390" t="s">
        <v>16</v>
      </c>
      <c r="K2390">
        <v>284149.25079040503</v>
      </c>
      <c r="L2390" t="s">
        <v>17</v>
      </c>
      <c r="M2390">
        <v>0</v>
      </c>
      <c r="N2390">
        <v>0.30376781992171697</v>
      </c>
    </row>
    <row r="2391" spans="2:14" x14ac:dyDescent="0.25">
      <c r="B2391" t="s">
        <v>14</v>
      </c>
      <c r="C2391" s="1">
        <v>46097.999988425923</v>
      </c>
      <c r="D2391">
        <v>25.152079397565299</v>
      </c>
      <c r="E2391">
        <v>82304.697418106996</v>
      </c>
      <c r="F2391" s="1">
        <v>46095.606296296297</v>
      </c>
      <c r="G2391">
        <v>52.874703175737103</v>
      </c>
      <c r="H2391" t="s">
        <v>27</v>
      </c>
      <c r="I2391">
        <v>42243</v>
      </c>
      <c r="J2391" t="s">
        <v>16</v>
      </c>
      <c r="K2391">
        <v>284149.25079040503</v>
      </c>
      <c r="L2391" t="s">
        <v>17</v>
      </c>
      <c r="M2391">
        <v>-4010.7010268838399</v>
      </c>
      <c r="N2391">
        <v>0.28965305095531202</v>
      </c>
    </row>
    <row r="2392" spans="2:14" x14ac:dyDescent="0.25">
      <c r="B2392" t="s">
        <v>14</v>
      </c>
      <c r="C2392" s="1">
        <v>46096.999988425923</v>
      </c>
      <c r="D2392">
        <v>25.152079397565299</v>
      </c>
      <c r="E2392">
        <v>82304.697418106996</v>
      </c>
      <c r="F2392" s="1">
        <v>46095.606296296297</v>
      </c>
      <c r="G2392">
        <v>52.874703175737103</v>
      </c>
      <c r="H2392" t="s">
        <v>27</v>
      </c>
      <c r="I2392">
        <v>42243</v>
      </c>
      <c r="J2392" t="s">
        <v>16</v>
      </c>
      <c r="K2392">
        <v>284149.25079040503</v>
      </c>
      <c r="L2392" t="s">
        <v>17</v>
      </c>
      <c r="M2392">
        <v>0</v>
      </c>
      <c r="N2392">
        <v>0.28965305095531202</v>
      </c>
    </row>
    <row r="2393" spans="2:14" x14ac:dyDescent="0.25">
      <c r="B2393" t="s">
        <v>14</v>
      </c>
      <c r="C2393" s="1">
        <v>46095.999988425923</v>
      </c>
      <c r="D2393">
        <v>25.152079397565299</v>
      </c>
      <c r="E2393">
        <v>82304.697418106996</v>
      </c>
      <c r="F2393" s="1">
        <v>46095.606296296297</v>
      </c>
      <c r="G2393">
        <v>52.874703175737103</v>
      </c>
      <c r="H2393" t="s">
        <v>27</v>
      </c>
      <c r="I2393">
        <v>42243</v>
      </c>
      <c r="J2393" t="s">
        <v>16</v>
      </c>
      <c r="K2393">
        <v>284149.25079040503</v>
      </c>
      <c r="L2393" t="s">
        <v>17</v>
      </c>
      <c r="M2393">
        <v>0</v>
      </c>
      <c r="N2393">
        <v>0.28965305095531202</v>
      </c>
    </row>
    <row r="2394" spans="2:14" x14ac:dyDescent="0.25">
      <c r="B2394" t="s">
        <v>14</v>
      </c>
      <c r="C2394" s="1">
        <v>46094.999988425923</v>
      </c>
      <c r="D2394">
        <v>25.152079397565299</v>
      </c>
      <c r="E2394">
        <v>81372.897066698395</v>
      </c>
      <c r="F2394" s="1">
        <v>46092.099097222221</v>
      </c>
      <c r="G2394">
        <v>52.874703175737103</v>
      </c>
      <c r="H2394" t="s">
        <v>27</v>
      </c>
      <c r="I2394">
        <v>42243</v>
      </c>
      <c r="J2394" t="s">
        <v>16</v>
      </c>
      <c r="K2394">
        <v>284149.25079040503</v>
      </c>
      <c r="L2394" t="s">
        <v>17</v>
      </c>
      <c r="M2394">
        <v>-931.80035140865903</v>
      </c>
      <c r="N2394">
        <v>0.28637378715709</v>
      </c>
    </row>
    <row r="2395" spans="2:14" x14ac:dyDescent="0.25">
      <c r="B2395" t="s">
        <v>14</v>
      </c>
      <c r="C2395" s="1">
        <v>46093.999988425923</v>
      </c>
      <c r="D2395">
        <v>25.152079397565299</v>
      </c>
      <c r="E2395">
        <v>81372.897066698395</v>
      </c>
      <c r="F2395" s="1">
        <v>46092.099097222221</v>
      </c>
      <c r="G2395">
        <v>52.874703175737103</v>
      </c>
      <c r="H2395" t="s">
        <v>27</v>
      </c>
      <c r="I2395">
        <v>42243</v>
      </c>
      <c r="J2395" t="s">
        <v>16</v>
      </c>
      <c r="K2395">
        <v>284149.25079040503</v>
      </c>
      <c r="L2395" t="s">
        <v>17</v>
      </c>
      <c r="M2395">
        <v>0</v>
      </c>
      <c r="N2395">
        <v>0.28637378715709</v>
      </c>
    </row>
    <row r="2396" spans="2:14" x14ac:dyDescent="0.25">
      <c r="B2396" t="s">
        <v>14</v>
      </c>
      <c r="C2396" s="1">
        <v>46092.999988425923</v>
      </c>
      <c r="D2396">
        <v>25.152079397565299</v>
      </c>
      <c r="E2396">
        <v>81372.897066698395</v>
      </c>
      <c r="F2396" s="1">
        <v>46092.099097222221</v>
      </c>
      <c r="G2396">
        <v>52.874703175737103</v>
      </c>
      <c r="H2396" t="s">
        <v>27</v>
      </c>
      <c r="I2396">
        <v>42243</v>
      </c>
      <c r="J2396" t="s">
        <v>16</v>
      </c>
      <c r="K2396">
        <v>284149.25079040503</v>
      </c>
      <c r="L2396" t="s">
        <v>17</v>
      </c>
      <c r="M2396">
        <v>0</v>
      </c>
      <c r="N2396">
        <v>0.28637378715709</v>
      </c>
    </row>
    <row r="2397" spans="2:14" x14ac:dyDescent="0.25">
      <c r="B2397" t="s">
        <v>14</v>
      </c>
      <c r="C2397" s="1">
        <v>46091.999988425923</v>
      </c>
      <c r="D2397">
        <v>25.152079397565299</v>
      </c>
      <c r="E2397">
        <v>69626.916278163204</v>
      </c>
      <c r="F2397" s="1">
        <v>46089.605474537035</v>
      </c>
      <c r="G2397">
        <v>52.874703175737103</v>
      </c>
      <c r="H2397" t="s">
        <v>27</v>
      </c>
      <c r="I2397">
        <v>42243</v>
      </c>
      <c r="J2397" t="s">
        <v>16</v>
      </c>
      <c r="K2397">
        <v>284149.25079040503</v>
      </c>
      <c r="L2397" t="s">
        <v>17</v>
      </c>
      <c r="M2397">
        <v>-11745.9807885352</v>
      </c>
      <c r="N2397">
        <v>0.24503642393736699</v>
      </c>
    </row>
    <row r="2398" spans="2:14" x14ac:dyDescent="0.25">
      <c r="B2398" t="s">
        <v>14</v>
      </c>
      <c r="C2398" s="1">
        <v>46090.999988425923</v>
      </c>
      <c r="D2398">
        <v>25.152079397565299</v>
      </c>
      <c r="E2398">
        <v>69626.916278163204</v>
      </c>
      <c r="F2398" s="1">
        <v>46089.605474537035</v>
      </c>
      <c r="G2398">
        <v>52.874703175737103</v>
      </c>
      <c r="H2398" t="s">
        <v>27</v>
      </c>
      <c r="I2398">
        <v>42243</v>
      </c>
      <c r="J2398" t="s">
        <v>16</v>
      </c>
      <c r="K2398">
        <v>284149.25079040503</v>
      </c>
      <c r="L2398" t="s">
        <v>17</v>
      </c>
      <c r="M2398">
        <v>0</v>
      </c>
      <c r="N2398">
        <v>0.24503642393736699</v>
      </c>
    </row>
    <row r="2399" spans="2:14" x14ac:dyDescent="0.25">
      <c r="B2399" t="s">
        <v>14</v>
      </c>
      <c r="C2399" s="1">
        <v>46089.999988425923</v>
      </c>
      <c r="D2399">
        <v>25.152079397565299</v>
      </c>
      <c r="E2399">
        <v>69626.916278163204</v>
      </c>
      <c r="F2399" s="1">
        <v>46089.605474537035</v>
      </c>
      <c r="G2399">
        <v>52.874703175737103</v>
      </c>
      <c r="H2399" t="s">
        <v>27</v>
      </c>
      <c r="I2399">
        <v>42243</v>
      </c>
      <c r="J2399" t="s">
        <v>16</v>
      </c>
      <c r="K2399">
        <v>284149.25079040503</v>
      </c>
      <c r="L2399" t="s">
        <v>17</v>
      </c>
      <c r="M2399">
        <v>0</v>
      </c>
      <c r="N2399">
        <v>0.24503642393736699</v>
      </c>
    </row>
    <row r="2400" spans="2:14" x14ac:dyDescent="0.25">
      <c r="B2400" t="s">
        <v>14</v>
      </c>
      <c r="C2400" s="1">
        <v>46088.999988425923</v>
      </c>
      <c r="D2400">
        <v>25.152079397565299</v>
      </c>
      <c r="E2400">
        <v>74323.359498797203</v>
      </c>
      <c r="F2400" s="1">
        <v>46086.099803240744</v>
      </c>
      <c r="G2400">
        <v>52.874703175737103</v>
      </c>
      <c r="H2400" t="s">
        <v>27</v>
      </c>
      <c r="I2400">
        <v>42243</v>
      </c>
      <c r="J2400" t="s">
        <v>16</v>
      </c>
      <c r="K2400">
        <v>284149.25079040503</v>
      </c>
      <c r="L2400" t="s">
        <v>17</v>
      </c>
      <c r="M2400">
        <v>4696.4432206340098</v>
      </c>
      <c r="N2400">
        <v>0.261564509820297</v>
      </c>
    </row>
    <row r="2401" spans="2:14" x14ac:dyDescent="0.25">
      <c r="B2401" t="s">
        <v>14</v>
      </c>
      <c r="C2401" s="1">
        <v>46087.999988425923</v>
      </c>
      <c r="D2401">
        <v>25.152079397565299</v>
      </c>
      <c r="E2401">
        <v>74323.359498797203</v>
      </c>
      <c r="F2401" s="1">
        <v>46086.099803240744</v>
      </c>
      <c r="G2401">
        <v>52.874703175737103</v>
      </c>
      <c r="H2401" t="s">
        <v>27</v>
      </c>
      <c r="I2401">
        <v>42243</v>
      </c>
      <c r="J2401" t="s">
        <v>16</v>
      </c>
      <c r="K2401">
        <v>284149.25079040503</v>
      </c>
      <c r="L2401" t="s">
        <v>17</v>
      </c>
      <c r="M2401">
        <v>0</v>
      </c>
      <c r="N2401">
        <v>0.261564509820297</v>
      </c>
    </row>
    <row r="2402" spans="2:14" x14ac:dyDescent="0.25">
      <c r="B2402" t="s">
        <v>14</v>
      </c>
      <c r="C2402" s="1">
        <v>46086.999988425923</v>
      </c>
      <c r="D2402">
        <v>25.152079397565299</v>
      </c>
      <c r="E2402">
        <v>74323.359498797203</v>
      </c>
      <c r="F2402" s="1">
        <v>46086.099803240744</v>
      </c>
      <c r="G2402">
        <v>52.874703175737103</v>
      </c>
      <c r="H2402" t="s">
        <v>27</v>
      </c>
      <c r="I2402">
        <v>42243</v>
      </c>
      <c r="J2402" t="s">
        <v>16</v>
      </c>
      <c r="K2402">
        <v>284149.25079040503</v>
      </c>
      <c r="L2402" t="s">
        <v>17</v>
      </c>
      <c r="M2402">
        <v>0</v>
      </c>
      <c r="N2402">
        <v>0.261564509820297</v>
      </c>
    </row>
    <row r="2403" spans="2:14" x14ac:dyDescent="0.25">
      <c r="B2403" t="s">
        <v>14</v>
      </c>
      <c r="C2403" s="1">
        <v>46085.999988425923</v>
      </c>
      <c r="D2403">
        <v>25.152079397565299</v>
      </c>
      <c r="E2403">
        <v>50696.131842019699</v>
      </c>
      <c r="F2403" s="1">
        <v>46083.60628472222</v>
      </c>
      <c r="G2403">
        <v>52.874703175737103</v>
      </c>
      <c r="H2403" t="s">
        <v>27</v>
      </c>
      <c r="I2403">
        <v>42243</v>
      </c>
      <c r="J2403" t="s">
        <v>16</v>
      </c>
      <c r="K2403">
        <v>284149.25079040503</v>
      </c>
      <c r="L2403" t="s">
        <v>17</v>
      </c>
      <c r="M2403">
        <v>-23627.227656777399</v>
      </c>
      <c r="N2403">
        <v>0.178413744540942</v>
      </c>
    </row>
    <row r="2404" spans="2:14" x14ac:dyDescent="0.25">
      <c r="B2404" t="s">
        <v>14</v>
      </c>
      <c r="C2404" s="1">
        <v>46084.999988425923</v>
      </c>
      <c r="D2404">
        <v>25.152079397565299</v>
      </c>
      <c r="E2404">
        <v>50696.131842019699</v>
      </c>
      <c r="F2404" s="1">
        <v>46083.60628472222</v>
      </c>
      <c r="G2404">
        <v>52.874703175737103</v>
      </c>
      <c r="H2404" t="s">
        <v>27</v>
      </c>
      <c r="I2404">
        <v>42243</v>
      </c>
      <c r="J2404" t="s">
        <v>16</v>
      </c>
      <c r="K2404">
        <v>284149.25079040503</v>
      </c>
      <c r="L2404" t="s">
        <v>17</v>
      </c>
      <c r="M2404">
        <v>0</v>
      </c>
      <c r="N2404">
        <v>0.178413744540942</v>
      </c>
    </row>
    <row r="2405" spans="2:14" x14ac:dyDescent="0.25">
      <c r="B2405" t="s">
        <v>14</v>
      </c>
      <c r="C2405" s="1">
        <v>46083.999988425923</v>
      </c>
      <c r="D2405">
        <v>25.152079397565299</v>
      </c>
      <c r="E2405">
        <v>50696.131842019699</v>
      </c>
      <c r="F2405" s="1">
        <v>46083.60628472222</v>
      </c>
      <c r="G2405">
        <v>52.874703175737103</v>
      </c>
      <c r="H2405" t="s">
        <v>27</v>
      </c>
      <c r="I2405">
        <v>42243</v>
      </c>
      <c r="J2405" t="s">
        <v>16</v>
      </c>
      <c r="K2405">
        <v>284149.25079040503</v>
      </c>
      <c r="L2405" t="s">
        <v>17</v>
      </c>
      <c r="M2405">
        <v>0</v>
      </c>
      <c r="N2405">
        <v>0.178413744540942</v>
      </c>
    </row>
    <row r="2406" spans="2:14" x14ac:dyDescent="0.25">
      <c r="B2406" t="s">
        <v>14</v>
      </c>
      <c r="C2406" s="1">
        <v>46082.999988425923</v>
      </c>
      <c r="D2406">
        <v>25.152079397565299</v>
      </c>
      <c r="E2406">
        <v>46830.487266770302</v>
      </c>
      <c r="F2406" s="1">
        <v>46080.099097222221</v>
      </c>
      <c r="G2406">
        <v>52.874703175737103</v>
      </c>
      <c r="H2406" t="s">
        <v>27</v>
      </c>
      <c r="I2406">
        <v>42243</v>
      </c>
      <c r="J2406" t="s">
        <v>16</v>
      </c>
      <c r="K2406">
        <v>284149.25079040503</v>
      </c>
      <c r="L2406" t="s">
        <v>17</v>
      </c>
      <c r="M2406">
        <v>-3865.6445752494301</v>
      </c>
      <c r="N2406">
        <v>0.16480946944784799</v>
      </c>
    </row>
    <row r="2407" spans="2:14" x14ac:dyDescent="0.25">
      <c r="B2407" t="s">
        <v>14</v>
      </c>
      <c r="C2407" s="1">
        <v>46081.999988425923</v>
      </c>
      <c r="D2407">
        <v>25.152079397565299</v>
      </c>
      <c r="E2407">
        <v>46830.487266770302</v>
      </c>
      <c r="F2407" s="1">
        <v>46080.099097222221</v>
      </c>
      <c r="G2407">
        <v>52.874703175737103</v>
      </c>
      <c r="H2407" t="s">
        <v>27</v>
      </c>
      <c r="I2407">
        <v>42243</v>
      </c>
      <c r="J2407" t="s">
        <v>16</v>
      </c>
      <c r="K2407">
        <v>284149.25079040503</v>
      </c>
      <c r="L2407" t="s">
        <v>17</v>
      </c>
      <c r="M2407">
        <v>0</v>
      </c>
      <c r="N2407">
        <v>0.16480946944784799</v>
      </c>
    </row>
    <row r="2408" spans="2:14" x14ac:dyDescent="0.25">
      <c r="B2408" t="s">
        <v>14</v>
      </c>
      <c r="C2408" s="1">
        <v>46080.999988425923</v>
      </c>
      <c r="D2408">
        <v>25.152079397565299</v>
      </c>
      <c r="E2408">
        <v>46830.487266770302</v>
      </c>
      <c r="F2408" s="1">
        <v>46080.099097222221</v>
      </c>
      <c r="G2408">
        <v>52.874703175737103</v>
      </c>
      <c r="H2408" t="s">
        <v>27</v>
      </c>
      <c r="I2408">
        <v>42243</v>
      </c>
      <c r="J2408" t="s">
        <v>16</v>
      </c>
      <c r="K2408">
        <v>284149.25079040503</v>
      </c>
      <c r="L2408" t="s">
        <v>17</v>
      </c>
      <c r="M2408">
        <v>0</v>
      </c>
      <c r="N2408">
        <v>0.16480946944784799</v>
      </c>
    </row>
    <row r="2409" spans="2:14" x14ac:dyDescent="0.25">
      <c r="B2409" t="s">
        <v>14</v>
      </c>
      <c r="C2409" s="1">
        <v>46079.999988425923</v>
      </c>
      <c r="D2409">
        <v>25.152079397565299</v>
      </c>
      <c r="E2409">
        <v>28889.872445723799</v>
      </c>
      <c r="F2409" s="1">
        <v>46077.605474537035</v>
      </c>
      <c r="G2409">
        <v>52.874703175737103</v>
      </c>
      <c r="H2409" t="s">
        <v>27</v>
      </c>
      <c r="I2409">
        <v>42243</v>
      </c>
      <c r="J2409" t="s">
        <v>16</v>
      </c>
      <c r="K2409">
        <v>284149.25079040503</v>
      </c>
      <c r="L2409" t="s">
        <v>17</v>
      </c>
      <c r="M2409">
        <v>-17940.614821046402</v>
      </c>
      <c r="N2409">
        <v>0.101671471472693</v>
      </c>
    </row>
    <row r="2410" spans="2:14" x14ac:dyDescent="0.25">
      <c r="B2410" t="s">
        <v>14</v>
      </c>
      <c r="C2410" s="1">
        <v>46078.999988425923</v>
      </c>
      <c r="D2410">
        <v>25.152079397565299</v>
      </c>
      <c r="E2410">
        <v>28889.872445723799</v>
      </c>
      <c r="F2410" s="1">
        <v>46077.605474537035</v>
      </c>
      <c r="G2410">
        <v>52.874703175737103</v>
      </c>
      <c r="H2410" t="s">
        <v>27</v>
      </c>
      <c r="I2410">
        <v>42243</v>
      </c>
      <c r="J2410" t="s">
        <v>16</v>
      </c>
      <c r="K2410">
        <v>284149.25079040503</v>
      </c>
      <c r="L2410" t="s">
        <v>17</v>
      </c>
      <c r="M2410">
        <v>0</v>
      </c>
      <c r="N2410">
        <v>0.101671471472693</v>
      </c>
    </row>
    <row r="2411" spans="2:14" x14ac:dyDescent="0.25">
      <c r="B2411" t="s">
        <v>14</v>
      </c>
      <c r="C2411" s="1">
        <v>46077.999988425923</v>
      </c>
      <c r="D2411">
        <v>25.152079397565299</v>
      </c>
      <c r="E2411">
        <v>28889.872445723799</v>
      </c>
      <c r="F2411" s="1">
        <v>46077.605474537035</v>
      </c>
      <c r="G2411">
        <v>52.874703175737103</v>
      </c>
      <c r="H2411" t="s">
        <v>27</v>
      </c>
      <c r="I2411">
        <v>42243</v>
      </c>
      <c r="J2411" t="s">
        <v>16</v>
      </c>
      <c r="K2411">
        <v>284149.25079040503</v>
      </c>
      <c r="L2411" t="s">
        <v>17</v>
      </c>
      <c r="M2411">
        <v>0</v>
      </c>
      <c r="N2411">
        <v>0.101671471472693</v>
      </c>
    </row>
    <row r="2412" spans="2:14" x14ac:dyDescent="0.25">
      <c r="B2412" t="s">
        <v>14</v>
      </c>
      <c r="C2412" s="1">
        <v>46076.999988425923</v>
      </c>
      <c r="D2412">
        <v>25.152079397565299</v>
      </c>
      <c r="E2412">
        <v>50930.608482920899</v>
      </c>
      <c r="F2412" s="1">
        <v>46074.099803240744</v>
      </c>
      <c r="G2412">
        <v>52.874703175737103</v>
      </c>
      <c r="H2412" t="s">
        <v>27</v>
      </c>
      <c r="I2412">
        <v>42243</v>
      </c>
      <c r="J2412" t="s">
        <v>16</v>
      </c>
      <c r="K2412">
        <v>284149.25079040503</v>
      </c>
      <c r="L2412" t="s">
        <v>17</v>
      </c>
      <c r="M2412">
        <v>22040.736037196999</v>
      </c>
      <c r="N2412">
        <v>0.17923893285394699</v>
      </c>
    </row>
    <row r="2413" spans="2:14" x14ac:dyDescent="0.25">
      <c r="B2413" t="s">
        <v>14</v>
      </c>
      <c r="C2413" s="1">
        <v>46075.999988425923</v>
      </c>
      <c r="D2413">
        <v>25.152079397565299</v>
      </c>
      <c r="E2413">
        <v>50930.608482920899</v>
      </c>
      <c r="F2413" s="1">
        <v>46074.099803240744</v>
      </c>
      <c r="G2413">
        <v>52.874703175737103</v>
      </c>
      <c r="H2413" t="s">
        <v>27</v>
      </c>
      <c r="I2413">
        <v>42243</v>
      </c>
      <c r="J2413" t="s">
        <v>16</v>
      </c>
      <c r="K2413">
        <v>284149.25079040503</v>
      </c>
      <c r="L2413" t="s">
        <v>17</v>
      </c>
      <c r="M2413">
        <v>0</v>
      </c>
      <c r="N2413">
        <v>0.17923893285394699</v>
      </c>
    </row>
    <row r="2414" spans="2:14" x14ac:dyDescent="0.25">
      <c r="B2414" t="s">
        <v>14</v>
      </c>
      <c r="C2414" s="1">
        <v>46074.999988425923</v>
      </c>
      <c r="D2414">
        <v>25.152079397565299</v>
      </c>
      <c r="E2414">
        <v>50930.608482920899</v>
      </c>
      <c r="F2414" s="1">
        <v>46074.099803240744</v>
      </c>
      <c r="G2414">
        <v>52.874703175737103</v>
      </c>
      <c r="H2414" t="s">
        <v>27</v>
      </c>
      <c r="I2414">
        <v>42243</v>
      </c>
      <c r="J2414" t="s">
        <v>16</v>
      </c>
      <c r="K2414">
        <v>284149.25079040503</v>
      </c>
      <c r="L2414" t="s">
        <v>17</v>
      </c>
      <c r="M2414">
        <v>0</v>
      </c>
      <c r="N2414">
        <v>0.17923893285394699</v>
      </c>
    </row>
    <row r="2415" spans="2:14" x14ac:dyDescent="0.25">
      <c r="B2415" t="s">
        <v>14</v>
      </c>
      <c r="C2415" s="1">
        <v>46073.999988425923</v>
      </c>
      <c r="D2415">
        <v>25.152079397565299</v>
      </c>
      <c r="E2415">
        <v>34076.696986687202</v>
      </c>
      <c r="F2415" s="1">
        <v>46071.606296296297</v>
      </c>
      <c r="G2415">
        <v>52.874703175737103</v>
      </c>
      <c r="H2415" t="s">
        <v>27</v>
      </c>
      <c r="I2415">
        <v>42243</v>
      </c>
      <c r="J2415" t="s">
        <v>16</v>
      </c>
      <c r="K2415">
        <v>284149.25079040503</v>
      </c>
      <c r="L2415" t="s">
        <v>17</v>
      </c>
      <c r="M2415">
        <v>-16853.911496233599</v>
      </c>
      <c r="N2415">
        <v>0.119925345190591</v>
      </c>
    </row>
    <row r="2416" spans="2:14" x14ac:dyDescent="0.25">
      <c r="B2416" t="s">
        <v>14</v>
      </c>
      <c r="C2416" s="1">
        <v>46072.999988425923</v>
      </c>
      <c r="D2416">
        <v>25.152079397565299</v>
      </c>
      <c r="E2416">
        <v>34076.696986687202</v>
      </c>
      <c r="F2416" s="1">
        <v>46071.606296296297</v>
      </c>
      <c r="G2416">
        <v>52.874703175737103</v>
      </c>
      <c r="H2416" t="s">
        <v>27</v>
      </c>
      <c r="I2416">
        <v>42243</v>
      </c>
      <c r="J2416" t="s">
        <v>16</v>
      </c>
      <c r="K2416">
        <v>284149.25079040503</v>
      </c>
      <c r="L2416" t="s">
        <v>17</v>
      </c>
      <c r="M2416">
        <v>0</v>
      </c>
      <c r="N2416">
        <v>0.119925345190591</v>
      </c>
    </row>
    <row r="2417" spans="2:14" x14ac:dyDescent="0.25">
      <c r="B2417" t="s">
        <v>14</v>
      </c>
      <c r="C2417" s="1">
        <v>46071.999988425923</v>
      </c>
      <c r="D2417">
        <v>25.152079397565299</v>
      </c>
      <c r="E2417">
        <v>34076.696986687202</v>
      </c>
      <c r="F2417" s="1">
        <v>46071.606296296297</v>
      </c>
      <c r="G2417">
        <v>52.874703175737103</v>
      </c>
      <c r="H2417" t="s">
        <v>27</v>
      </c>
      <c r="I2417">
        <v>42243</v>
      </c>
      <c r="J2417" t="s">
        <v>16</v>
      </c>
      <c r="K2417">
        <v>284149.25079040503</v>
      </c>
      <c r="L2417" t="s">
        <v>17</v>
      </c>
      <c r="M2417">
        <v>0</v>
      </c>
      <c r="N2417">
        <v>0.119925345190591</v>
      </c>
    </row>
    <row r="2418" spans="2:14" x14ac:dyDescent="0.25">
      <c r="B2418" t="s">
        <v>14</v>
      </c>
      <c r="C2418" s="1">
        <v>46070.999988425923</v>
      </c>
      <c r="D2418">
        <v>25.152079397565299</v>
      </c>
      <c r="E2418">
        <v>43186.284410262997</v>
      </c>
      <c r="F2418" s="1">
        <v>46068.099097222221</v>
      </c>
      <c r="G2418">
        <v>52.874703175737103</v>
      </c>
      <c r="H2418" t="s">
        <v>27</v>
      </c>
      <c r="I2418">
        <v>42243</v>
      </c>
      <c r="J2418" t="s">
        <v>16</v>
      </c>
      <c r="K2418">
        <v>284149.25079040503</v>
      </c>
      <c r="L2418" t="s">
        <v>17</v>
      </c>
      <c r="M2418">
        <v>9109.5874235757492</v>
      </c>
      <c r="N2418">
        <v>0.151984509162468</v>
      </c>
    </row>
    <row r="2419" spans="2:14" x14ac:dyDescent="0.25">
      <c r="B2419" t="s">
        <v>14</v>
      </c>
      <c r="C2419" s="1">
        <v>46069.999988425923</v>
      </c>
      <c r="D2419">
        <v>25.152079397565299</v>
      </c>
      <c r="E2419">
        <v>43186.284410262997</v>
      </c>
      <c r="F2419" s="1">
        <v>46068.099097222221</v>
      </c>
      <c r="G2419">
        <v>52.874703175737103</v>
      </c>
      <c r="H2419" t="s">
        <v>27</v>
      </c>
      <c r="I2419">
        <v>42243</v>
      </c>
      <c r="J2419" t="s">
        <v>16</v>
      </c>
      <c r="K2419">
        <v>284149.25079040503</v>
      </c>
      <c r="L2419" t="s">
        <v>17</v>
      </c>
      <c r="M2419">
        <v>0</v>
      </c>
      <c r="N2419">
        <v>0.151984509162468</v>
      </c>
    </row>
    <row r="2420" spans="2:14" x14ac:dyDescent="0.25">
      <c r="B2420" t="s">
        <v>14</v>
      </c>
      <c r="C2420" s="1">
        <v>46068.999988425923</v>
      </c>
      <c r="D2420">
        <v>25.152079397565299</v>
      </c>
      <c r="E2420">
        <v>43186.284410262997</v>
      </c>
      <c r="F2420" s="1">
        <v>46068.099097222221</v>
      </c>
      <c r="G2420">
        <v>52.874703175737103</v>
      </c>
      <c r="H2420" t="s">
        <v>27</v>
      </c>
      <c r="I2420">
        <v>42243</v>
      </c>
      <c r="J2420" t="s">
        <v>16</v>
      </c>
      <c r="K2420">
        <v>284149.25079040503</v>
      </c>
      <c r="L2420" t="s">
        <v>17</v>
      </c>
      <c r="M2420">
        <v>0</v>
      </c>
      <c r="N2420">
        <v>0.151984509162468</v>
      </c>
    </row>
    <row r="2421" spans="2:14" x14ac:dyDescent="0.25">
      <c r="B2421" t="s">
        <v>14</v>
      </c>
      <c r="C2421" s="1">
        <v>46067.999988425923</v>
      </c>
      <c r="D2421">
        <v>25.152079397565299</v>
      </c>
      <c r="E2421">
        <v>32304.228095295301</v>
      </c>
      <c r="F2421" s="1">
        <v>46065.605474537035</v>
      </c>
      <c r="G2421">
        <v>52.874703175737103</v>
      </c>
      <c r="H2421" t="s">
        <v>27</v>
      </c>
      <c r="I2421">
        <v>42243</v>
      </c>
      <c r="J2421" t="s">
        <v>16</v>
      </c>
      <c r="K2421">
        <v>284149.25079040503</v>
      </c>
      <c r="L2421" t="s">
        <v>17</v>
      </c>
      <c r="M2421">
        <v>-10882.0563149677</v>
      </c>
      <c r="N2421">
        <v>0.113687535706802</v>
      </c>
    </row>
    <row r="2422" spans="2:14" x14ac:dyDescent="0.25">
      <c r="B2422" t="s">
        <v>14</v>
      </c>
      <c r="C2422" s="1">
        <v>46066.999988425923</v>
      </c>
      <c r="D2422">
        <v>25.152079397565299</v>
      </c>
      <c r="E2422">
        <v>32304.228095295301</v>
      </c>
      <c r="F2422" s="1">
        <v>46065.605474537035</v>
      </c>
      <c r="G2422">
        <v>52.874703175737103</v>
      </c>
      <c r="H2422" t="s">
        <v>27</v>
      </c>
      <c r="I2422">
        <v>42243</v>
      </c>
      <c r="J2422" t="s">
        <v>16</v>
      </c>
      <c r="K2422">
        <v>284149.25079040503</v>
      </c>
      <c r="L2422" t="s">
        <v>17</v>
      </c>
      <c r="M2422">
        <v>0</v>
      </c>
      <c r="N2422">
        <v>0.113687535706802</v>
      </c>
    </row>
    <row r="2423" spans="2:14" x14ac:dyDescent="0.25">
      <c r="B2423" t="s">
        <v>14</v>
      </c>
      <c r="C2423" s="1">
        <v>46065.999988425923</v>
      </c>
      <c r="D2423">
        <v>25.152079397565299</v>
      </c>
      <c r="E2423">
        <v>32304.228095295301</v>
      </c>
      <c r="F2423" s="1">
        <v>46065.605474537035</v>
      </c>
      <c r="G2423">
        <v>52.874703175737103</v>
      </c>
      <c r="H2423" t="s">
        <v>27</v>
      </c>
      <c r="I2423">
        <v>42243</v>
      </c>
      <c r="J2423" t="s">
        <v>16</v>
      </c>
      <c r="K2423">
        <v>284149.25079040503</v>
      </c>
      <c r="L2423" t="s">
        <v>17</v>
      </c>
      <c r="M2423">
        <v>0</v>
      </c>
      <c r="N2423">
        <v>0.113687535706802</v>
      </c>
    </row>
    <row r="2424" spans="2:14" x14ac:dyDescent="0.25">
      <c r="B2424" t="s">
        <v>14</v>
      </c>
      <c r="C2424" s="1">
        <v>46064.999988425923</v>
      </c>
      <c r="D2424">
        <v>25.152079397565299</v>
      </c>
      <c r="E2424">
        <v>40925.946461176703</v>
      </c>
      <c r="F2424" s="1">
        <v>46062.099814814814</v>
      </c>
      <c r="G2424">
        <v>52.874703175737103</v>
      </c>
      <c r="H2424" t="s">
        <v>27</v>
      </c>
      <c r="I2424">
        <v>42243</v>
      </c>
      <c r="J2424" t="s">
        <v>16</v>
      </c>
      <c r="K2424">
        <v>284149.25079040503</v>
      </c>
      <c r="L2424" t="s">
        <v>17</v>
      </c>
      <c r="M2424">
        <v>8621.7183658814101</v>
      </c>
      <c r="N2424">
        <v>0.144029753192503</v>
      </c>
    </row>
    <row r="2425" spans="2:14" x14ac:dyDescent="0.25">
      <c r="B2425" t="s">
        <v>14</v>
      </c>
      <c r="C2425" s="1">
        <v>46063.999988425923</v>
      </c>
      <c r="D2425">
        <v>25.152079397565299</v>
      </c>
      <c r="E2425">
        <v>40925.946461176703</v>
      </c>
      <c r="F2425" s="1">
        <v>46062.099814814814</v>
      </c>
      <c r="G2425">
        <v>52.874703175737103</v>
      </c>
      <c r="H2425" t="s">
        <v>27</v>
      </c>
      <c r="I2425">
        <v>42243</v>
      </c>
      <c r="J2425" t="s">
        <v>16</v>
      </c>
      <c r="K2425">
        <v>284149.25079040503</v>
      </c>
      <c r="L2425" t="s">
        <v>17</v>
      </c>
      <c r="M2425">
        <v>0</v>
      </c>
      <c r="N2425">
        <v>0.144029753192503</v>
      </c>
    </row>
    <row r="2426" spans="2:14" x14ac:dyDescent="0.25">
      <c r="B2426" t="s">
        <v>14</v>
      </c>
      <c r="C2426" s="1">
        <v>46062.999988425923</v>
      </c>
      <c r="D2426">
        <v>25.152079397565299</v>
      </c>
      <c r="E2426">
        <v>40925.946461176703</v>
      </c>
      <c r="F2426" s="1">
        <v>46062.099814814814</v>
      </c>
      <c r="G2426">
        <v>52.874703175737103</v>
      </c>
      <c r="H2426" t="s">
        <v>27</v>
      </c>
      <c r="I2426">
        <v>42243</v>
      </c>
      <c r="J2426" t="s">
        <v>16</v>
      </c>
      <c r="K2426">
        <v>284149.25079040503</v>
      </c>
      <c r="L2426" t="s">
        <v>17</v>
      </c>
      <c r="M2426">
        <v>0</v>
      </c>
      <c r="N2426">
        <v>0.144029753192503</v>
      </c>
    </row>
    <row r="2427" spans="2:14" x14ac:dyDescent="0.25">
      <c r="B2427" t="s">
        <v>14</v>
      </c>
      <c r="C2427" s="1">
        <v>46061.999988425923</v>
      </c>
      <c r="D2427">
        <v>25.152079397565299</v>
      </c>
      <c r="E2427">
        <v>30397.092154625701</v>
      </c>
      <c r="F2427" s="1">
        <v>46059.606296296297</v>
      </c>
      <c r="G2427">
        <v>52.874703175737103</v>
      </c>
      <c r="H2427" t="s">
        <v>27</v>
      </c>
      <c r="I2427">
        <v>42243</v>
      </c>
      <c r="J2427" t="s">
        <v>16</v>
      </c>
      <c r="K2427">
        <v>284149.25079040503</v>
      </c>
      <c r="L2427" t="s">
        <v>17</v>
      </c>
      <c r="M2427">
        <v>-10528.854306551</v>
      </c>
      <c r="N2427">
        <v>0.10697579553728</v>
      </c>
    </row>
    <row r="2428" spans="2:14" x14ac:dyDescent="0.25">
      <c r="B2428" t="s">
        <v>14</v>
      </c>
      <c r="C2428" s="1">
        <v>46060.999988425923</v>
      </c>
      <c r="D2428">
        <v>25.152079397565299</v>
      </c>
      <c r="E2428">
        <v>30397.092154625701</v>
      </c>
      <c r="F2428" s="1">
        <v>46059.606296296297</v>
      </c>
      <c r="G2428">
        <v>52.874703175737103</v>
      </c>
      <c r="H2428" t="s">
        <v>27</v>
      </c>
      <c r="I2428">
        <v>42243</v>
      </c>
      <c r="J2428" t="s">
        <v>16</v>
      </c>
      <c r="K2428">
        <v>284149.25079040503</v>
      </c>
      <c r="L2428" t="s">
        <v>17</v>
      </c>
      <c r="M2428">
        <v>0</v>
      </c>
      <c r="N2428">
        <v>0.10697579553728</v>
      </c>
    </row>
    <row r="2429" spans="2:14" x14ac:dyDescent="0.25">
      <c r="B2429" t="s">
        <v>14</v>
      </c>
      <c r="C2429" s="1">
        <v>46059.999988425923</v>
      </c>
      <c r="D2429">
        <v>25.152079397565299</v>
      </c>
      <c r="E2429">
        <v>30397.092154625701</v>
      </c>
      <c r="F2429" s="1">
        <v>46059.606296296297</v>
      </c>
      <c r="G2429">
        <v>52.874703175737103</v>
      </c>
      <c r="H2429" t="s">
        <v>27</v>
      </c>
      <c r="I2429">
        <v>42243</v>
      </c>
      <c r="J2429" t="s">
        <v>16</v>
      </c>
      <c r="K2429">
        <v>284149.25079040503</v>
      </c>
      <c r="L2429" t="s">
        <v>17</v>
      </c>
      <c r="M2429">
        <v>0</v>
      </c>
      <c r="N2429">
        <v>0.10697579553728</v>
      </c>
    </row>
    <row r="2430" spans="2:14" x14ac:dyDescent="0.25">
      <c r="B2430" t="s">
        <v>14</v>
      </c>
      <c r="C2430" s="1">
        <v>46058.999988425923</v>
      </c>
      <c r="D2430">
        <v>25.152079397565299</v>
      </c>
      <c r="E2430">
        <v>275854.64067839301</v>
      </c>
      <c r="F2430" s="1">
        <v>46056.099097222221</v>
      </c>
      <c r="G2430">
        <v>52.874703175737103</v>
      </c>
      <c r="H2430" t="s">
        <v>27</v>
      </c>
      <c r="I2430">
        <v>42243</v>
      </c>
      <c r="J2430" t="s">
        <v>16</v>
      </c>
      <c r="K2430">
        <v>284149.25079040503</v>
      </c>
      <c r="L2430" t="s">
        <v>17</v>
      </c>
      <c r="M2430">
        <v>245457.548523768</v>
      </c>
      <c r="N2430">
        <v>0.97080896715743903</v>
      </c>
    </row>
    <row r="2431" spans="2:14" x14ac:dyDescent="0.25">
      <c r="B2431" t="s">
        <v>14</v>
      </c>
      <c r="C2431" s="1">
        <v>46057.999988425923</v>
      </c>
      <c r="D2431">
        <v>25.152079397565299</v>
      </c>
      <c r="E2431">
        <v>275854.64067839301</v>
      </c>
      <c r="F2431" s="1">
        <v>46056.099097222221</v>
      </c>
      <c r="G2431">
        <v>52.874703175737103</v>
      </c>
      <c r="H2431" t="s">
        <v>27</v>
      </c>
      <c r="I2431">
        <v>42243</v>
      </c>
      <c r="J2431" t="s">
        <v>16</v>
      </c>
      <c r="K2431">
        <v>284149.25079040503</v>
      </c>
      <c r="L2431" t="s">
        <v>17</v>
      </c>
      <c r="M2431">
        <v>0</v>
      </c>
      <c r="N2431">
        <v>0.97080896715743903</v>
      </c>
    </row>
    <row r="2432" spans="2:14" x14ac:dyDescent="0.25">
      <c r="B2432" t="s">
        <v>14</v>
      </c>
      <c r="C2432" s="1">
        <v>46056.999988425923</v>
      </c>
      <c r="D2432">
        <v>25.152079397565299</v>
      </c>
      <c r="E2432">
        <v>275854.64067839301</v>
      </c>
      <c r="F2432" s="1">
        <v>46056.099097222221</v>
      </c>
      <c r="G2432">
        <v>52.874703175737103</v>
      </c>
      <c r="H2432" t="s">
        <v>27</v>
      </c>
      <c r="I2432">
        <v>42243</v>
      </c>
      <c r="J2432" t="s">
        <v>16</v>
      </c>
      <c r="K2432">
        <v>284149.25079040503</v>
      </c>
      <c r="L2432" t="s">
        <v>17</v>
      </c>
      <c r="M2432">
        <v>0</v>
      </c>
      <c r="N2432">
        <v>0.97080896715743903</v>
      </c>
    </row>
    <row r="2433" spans="2:14" x14ac:dyDescent="0.25">
      <c r="B2433" t="s">
        <v>14</v>
      </c>
      <c r="C2433" s="1">
        <v>46055.999988425923</v>
      </c>
      <c r="D2433">
        <v>25.152079397565299</v>
      </c>
      <c r="E2433">
        <v>273713.22934164602</v>
      </c>
      <c r="F2433" s="1">
        <v>46053.605474537035</v>
      </c>
      <c r="G2433">
        <v>52.874703175737103</v>
      </c>
      <c r="H2433" t="s">
        <v>27</v>
      </c>
      <c r="I2433">
        <v>42243</v>
      </c>
      <c r="J2433" t="s">
        <v>16</v>
      </c>
      <c r="K2433">
        <v>284149.25079040503</v>
      </c>
      <c r="L2433" t="s">
        <v>17</v>
      </c>
      <c r="M2433">
        <v>-2141.41133674705</v>
      </c>
      <c r="N2433">
        <v>0.96327274691124698</v>
      </c>
    </row>
    <row r="2434" spans="2:14" x14ac:dyDescent="0.25">
      <c r="B2434" t="s">
        <v>14</v>
      </c>
      <c r="C2434" s="1">
        <v>46054.999988425923</v>
      </c>
      <c r="D2434">
        <v>25.152079397565299</v>
      </c>
      <c r="E2434">
        <v>273713.22934164602</v>
      </c>
      <c r="F2434" s="1">
        <v>46053.605474537035</v>
      </c>
      <c r="G2434">
        <v>52.874703175737103</v>
      </c>
      <c r="H2434" t="s">
        <v>27</v>
      </c>
      <c r="I2434">
        <v>42243</v>
      </c>
      <c r="J2434" t="s">
        <v>16</v>
      </c>
      <c r="K2434">
        <v>284149.25079040503</v>
      </c>
      <c r="L2434" t="s">
        <v>17</v>
      </c>
      <c r="M2434">
        <v>0</v>
      </c>
      <c r="N2434">
        <v>0.96327274691124698</v>
      </c>
    </row>
    <row r="2435" spans="2:14" x14ac:dyDescent="0.25">
      <c r="B2435" t="s">
        <v>14</v>
      </c>
      <c r="C2435" s="1">
        <v>46053.999988425923</v>
      </c>
      <c r="D2435">
        <v>25.152079397565299</v>
      </c>
      <c r="E2435">
        <v>273713.22934164602</v>
      </c>
      <c r="F2435" s="1">
        <v>46053.605474537035</v>
      </c>
      <c r="G2435">
        <v>52.874703175737103</v>
      </c>
      <c r="H2435" t="s">
        <v>27</v>
      </c>
      <c r="I2435">
        <v>42243</v>
      </c>
      <c r="J2435" t="s">
        <v>16</v>
      </c>
      <c r="K2435">
        <v>284149.25079040503</v>
      </c>
      <c r="L2435" t="s">
        <v>17</v>
      </c>
      <c r="M2435">
        <v>0</v>
      </c>
      <c r="N2435">
        <v>0.96327274691124698</v>
      </c>
    </row>
    <row r="2436" spans="2:14" x14ac:dyDescent="0.25">
      <c r="B2436" t="s">
        <v>14</v>
      </c>
      <c r="C2436" s="1">
        <v>46052.999988425923</v>
      </c>
      <c r="D2436">
        <v>25.152079397565299</v>
      </c>
      <c r="E2436">
        <v>284149.25079040503</v>
      </c>
      <c r="F2436" s="1">
        <v>46050.099814814814</v>
      </c>
      <c r="G2436">
        <v>52.874703175737103</v>
      </c>
      <c r="H2436" t="s">
        <v>27</v>
      </c>
      <c r="I2436">
        <v>42243</v>
      </c>
      <c r="J2436" t="s">
        <v>16</v>
      </c>
      <c r="K2436">
        <v>284149.25079040503</v>
      </c>
      <c r="L2436" t="s">
        <v>17</v>
      </c>
      <c r="M2436">
        <v>10436.0214487587</v>
      </c>
      <c r="N2436">
        <v>1</v>
      </c>
    </row>
    <row r="2437" spans="2:14" x14ac:dyDescent="0.25">
      <c r="B2437" t="s">
        <v>14</v>
      </c>
      <c r="C2437" s="1">
        <v>46051.999988425923</v>
      </c>
      <c r="D2437">
        <v>25.152079397565299</v>
      </c>
      <c r="E2437">
        <v>284149.25079040503</v>
      </c>
      <c r="F2437" s="1">
        <v>46050.099814814814</v>
      </c>
      <c r="G2437">
        <v>52.874703175737103</v>
      </c>
      <c r="H2437" t="s">
        <v>27</v>
      </c>
      <c r="I2437">
        <v>42243</v>
      </c>
      <c r="J2437" t="s">
        <v>16</v>
      </c>
      <c r="K2437">
        <v>284149.25079040503</v>
      </c>
      <c r="L2437" t="s">
        <v>17</v>
      </c>
      <c r="M2437">
        <v>0</v>
      </c>
      <c r="N2437">
        <v>1</v>
      </c>
    </row>
    <row r="2438" spans="2:14" x14ac:dyDescent="0.25">
      <c r="B2438" t="s">
        <v>14</v>
      </c>
      <c r="C2438" s="1">
        <v>46050.999988425923</v>
      </c>
      <c r="D2438">
        <v>25.152079397565299</v>
      </c>
      <c r="E2438">
        <v>284149.25079040503</v>
      </c>
      <c r="F2438" s="1">
        <v>46050.099814814814</v>
      </c>
      <c r="G2438">
        <v>52.874703175737103</v>
      </c>
      <c r="H2438" t="s">
        <v>27</v>
      </c>
      <c r="I2438">
        <v>42243</v>
      </c>
      <c r="J2438" t="s">
        <v>16</v>
      </c>
      <c r="K2438">
        <v>284149.25079040503</v>
      </c>
      <c r="L2438" t="s">
        <v>17</v>
      </c>
      <c r="M2438">
        <v>0</v>
      </c>
      <c r="N2438">
        <v>1</v>
      </c>
    </row>
    <row r="2439" spans="2:14" x14ac:dyDescent="0.25">
      <c r="B2439" t="s">
        <v>14</v>
      </c>
      <c r="C2439" s="1">
        <v>46049.999988425923</v>
      </c>
      <c r="D2439">
        <v>25.152079397565299</v>
      </c>
      <c r="E2439">
        <v>255898.28054948201</v>
      </c>
      <c r="F2439" s="1">
        <v>46047.606307870374</v>
      </c>
      <c r="G2439">
        <v>52.874703175737103</v>
      </c>
      <c r="H2439" t="s">
        <v>27</v>
      </c>
      <c r="I2439">
        <v>42243</v>
      </c>
      <c r="J2439" t="s">
        <v>16</v>
      </c>
      <c r="K2439">
        <v>284149.25079040503</v>
      </c>
      <c r="L2439" t="s">
        <v>17</v>
      </c>
      <c r="M2439">
        <v>-28250.970240922801</v>
      </c>
      <c r="N2439">
        <v>0.90057700253532802</v>
      </c>
    </row>
    <row r="2440" spans="2:14" x14ac:dyDescent="0.25">
      <c r="B2440" t="s">
        <v>14</v>
      </c>
      <c r="C2440" s="1">
        <v>46048.999988425923</v>
      </c>
      <c r="D2440">
        <v>25.152079397565299</v>
      </c>
      <c r="E2440">
        <v>255898.28054948201</v>
      </c>
      <c r="F2440" s="1">
        <v>46047.606307870374</v>
      </c>
      <c r="G2440">
        <v>52.874703175737103</v>
      </c>
      <c r="H2440" t="s">
        <v>27</v>
      </c>
      <c r="I2440">
        <v>42243</v>
      </c>
      <c r="J2440" t="s">
        <v>16</v>
      </c>
      <c r="K2440">
        <v>284149.25079040503</v>
      </c>
      <c r="L2440" t="s">
        <v>17</v>
      </c>
      <c r="M2440">
        <v>0</v>
      </c>
      <c r="N2440">
        <v>0.90057700253532802</v>
      </c>
    </row>
    <row r="2441" spans="2:14" x14ac:dyDescent="0.25">
      <c r="B2441" t="s">
        <v>14</v>
      </c>
      <c r="C2441" s="1">
        <v>46047.999988425923</v>
      </c>
      <c r="D2441">
        <v>25.152079397565299</v>
      </c>
      <c r="E2441">
        <v>255898.28054948201</v>
      </c>
      <c r="F2441" s="1">
        <v>46047.606307870374</v>
      </c>
      <c r="G2441">
        <v>52.874703175737103</v>
      </c>
      <c r="H2441" t="s">
        <v>27</v>
      </c>
      <c r="I2441">
        <v>42243</v>
      </c>
      <c r="J2441" t="s">
        <v>16</v>
      </c>
      <c r="K2441">
        <v>284149.25079040503</v>
      </c>
      <c r="L2441" t="s">
        <v>17</v>
      </c>
      <c r="M2441">
        <v>0</v>
      </c>
      <c r="N2441">
        <v>0.90057700253532802</v>
      </c>
    </row>
    <row r="2442" spans="2:14" x14ac:dyDescent="0.25">
      <c r="B2442" t="s">
        <v>14</v>
      </c>
      <c r="C2442" s="1">
        <v>46046.999988425923</v>
      </c>
      <c r="D2442">
        <v>25.152079397565299</v>
      </c>
      <c r="E2442">
        <v>174281.287787899</v>
      </c>
      <c r="F2442" s="1">
        <v>46041.605486111112</v>
      </c>
      <c r="G2442">
        <v>52.874703175737103</v>
      </c>
      <c r="H2442" t="s">
        <v>27</v>
      </c>
      <c r="I2442">
        <v>42243</v>
      </c>
      <c r="J2442" t="s">
        <v>16</v>
      </c>
      <c r="K2442">
        <v>284149.25079040503</v>
      </c>
      <c r="L2442" t="s">
        <v>17</v>
      </c>
      <c r="M2442">
        <v>-81616.992761582704</v>
      </c>
      <c r="N2442">
        <v>0.61334417494717697</v>
      </c>
    </row>
    <row r="2443" spans="2:14" x14ac:dyDescent="0.25">
      <c r="B2443" t="s">
        <v>14</v>
      </c>
      <c r="C2443" s="1">
        <v>46045.999988425923</v>
      </c>
      <c r="D2443">
        <v>25.152079397565299</v>
      </c>
      <c r="E2443">
        <v>174281.287787899</v>
      </c>
      <c r="F2443" s="1">
        <v>46041.605486111112</v>
      </c>
      <c r="G2443">
        <v>52.874703175737103</v>
      </c>
      <c r="H2443" t="s">
        <v>27</v>
      </c>
      <c r="I2443">
        <v>42243</v>
      </c>
      <c r="J2443" t="s">
        <v>16</v>
      </c>
      <c r="K2443">
        <v>284149.25079040503</v>
      </c>
      <c r="L2443" t="s">
        <v>17</v>
      </c>
      <c r="M2443">
        <v>0</v>
      </c>
      <c r="N2443">
        <v>0.61334417494717697</v>
      </c>
    </row>
    <row r="2444" spans="2:14" x14ac:dyDescent="0.25">
      <c r="B2444" t="s">
        <v>14</v>
      </c>
      <c r="C2444" s="1">
        <v>46044.999988425923</v>
      </c>
      <c r="D2444">
        <v>25.152079397565299</v>
      </c>
      <c r="E2444">
        <v>174281.287787899</v>
      </c>
      <c r="F2444" s="1">
        <v>46041.605486111112</v>
      </c>
      <c r="G2444">
        <v>52.874703175737103</v>
      </c>
      <c r="H2444" t="s">
        <v>27</v>
      </c>
      <c r="I2444">
        <v>42243</v>
      </c>
      <c r="J2444" t="s">
        <v>16</v>
      </c>
      <c r="K2444">
        <v>284149.25079040503</v>
      </c>
      <c r="L2444" t="s">
        <v>17</v>
      </c>
      <c r="M2444">
        <v>0</v>
      </c>
      <c r="N2444">
        <v>0.61334417494717697</v>
      </c>
    </row>
    <row r="2445" spans="2:14" x14ac:dyDescent="0.25">
      <c r="B2445" t="s">
        <v>14</v>
      </c>
      <c r="C2445" s="1">
        <v>46043.999988425923</v>
      </c>
      <c r="D2445">
        <v>25.152079397565299</v>
      </c>
      <c r="E2445">
        <v>174281.287787899</v>
      </c>
      <c r="F2445" s="1">
        <v>46041.605486111112</v>
      </c>
      <c r="G2445">
        <v>52.874703175737103</v>
      </c>
      <c r="H2445" t="s">
        <v>27</v>
      </c>
      <c r="I2445">
        <v>42243</v>
      </c>
      <c r="J2445" t="s">
        <v>16</v>
      </c>
      <c r="K2445">
        <v>284149.25079040503</v>
      </c>
      <c r="L2445" t="s">
        <v>17</v>
      </c>
      <c r="M2445">
        <v>0</v>
      </c>
      <c r="N2445">
        <v>0.61334417494717697</v>
      </c>
    </row>
    <row r="2446" spans="2:14" x14ac:dyDescent="0.25">
      <c r="B2446" t="s">
        <v>14</v>
      </c>
      <c r="C2446" s="1">
        <v>46042.999988425923</v>
      </c>
      <c r="D2446">
        <v>25.152079397565299</v>
      </c>
      <c r="E2446">
        <v>174281.287787899</v>
      </c>
      <c r="F2446" s="1">
        <v>46041.605486111112</v>
      </c>
      <c r="G2446">
        <v>52.874703175737103</v>
      </c>
      <c r="H2446" t="s">
        <v>27</v>
      </c>
      <c r="I2446">
        <v>42243</v>
      </c>
      <c r="J2446" t="s">
        <v>16</v>
      </c>
      <c r="K2446">
        <v>284149.25079040503</v>
      </c>
      <c r="L2446" t="s">
        <v>17</v>
      </c>
      <c r="M2446">
        <v>0</v>
      </c>
      <c r="N2446">
        <v>0.61334417494717697</v>
      </c>
    </row>
    <row r="2447" spans="2:14" x14ac:dyDescent="0.25">
      <c r="B2447" t="s">
        <v>14</v>
      </c>
      <c r="C2447" s="1">
        <v>46041.999988425923</v>
      </c>
      <c r="D2447">
        <v>25.152079397565299</v>
      </c>
      <c r="E2447">
        <v>174281.287787899</v>
      </c>
      <c r="F2447" s="1">
        <v>46041.605486111112</v>
      </c>
      <c r="G2447">
        <v>52.874703175737103</v>
      </c>
      <c r="H2447" t="s">
        <v>27</v>
      </c>
      <c r="I2447">
        <v>42243</v>
      </c>
      <c r="J2447" t="s">
        <v>16</v>
      </c>
      <c r="K2447">
        <v>284149.25079040503</v>
      </c>
      <c r="L2447" t="s">
        <v>17</v>
      </c>
      <c r="M2447">
        <v>0</v>
      </c>
      <c r="N2447">
        <v>0.61334417494717697</v>
      </c>
    </row>
    <row r="2448" spans="2:14" x14ac:dyDescent="0.25">
      <c r="B2448" t="s">
        <v>14</v>
      </c>
      <c r="C2448" s="1">
        <v>46040.999988425923</v>
      </c>
      <c r="D2448">
        <v>25.152079397565299</v>
      </c>
      <c r="E2448">
        <v>155367.96360327199</v>
      </c>
      <c r="F2448" s="1">
        <v>46038.099826388891</v>
      </c>
      <c r="G2448">
        <v>52.874703175737103</v>
      </c>
      <c r="H2448" t="s">
        <v>27</v>
      </c>
      <c r="I2448">
        <v>42243</v>
      </c>
      <c r="J2448" t="s">
        <v>16</v>
      </c>
      <c r="K2448">
        <v>284149.25079040503</v>
      </c>
      <c r="L2448" t="s">
        <v>17</v>
      </c>
      <c r="M2448">
        <v>-18913.324184627301</v>
      </c>
      <c r="N2448">
        <v>0.54678294301706598</v>
      </c>
    </row>
    <row r="2449" spans="2:14" x14ac:dyDescent="0.25">
      <c r="B2449" t="s">
        <v>14</v>
      </c>
      <c r="C2449" s="1">
        <v>46039.999988425923</v>
      </c>
      <c r="D2449">
        <v>25.152079397565299</v>
      </c>
      <c r="E2449">
        <v>155367.96360327199</v>
      </c>
      <c r="F2449" s="1">
        <v>46038.099826388891</v>
      </c>
      <c r="G2449">
        <v>52.874703175737103</v>
      </c>
      <c r="H2449" t="s">
        <v>27</v>
      </c>
      <c r="I2449">
        <v>42243</v>
      </c>
      <c r="J2449" t="s">
        <v>16</v>
      </c>
      <c r="K2449">
        <v>284149.25079040503</v>
      </c>
      <c r="L2449" t="s">
        <v>17</v>
      </c>
      <c r="M2449">
        <v>0</v>
      </c>
      <c r="N2449">
        <v>0.54678294301706598</v>
      </c>
    </row>
    <row r="2450" spans="2:14" x14ac:dyDescent="0.25">
      <c r="B2450" t="s">
        <v>14</v>
      </c>
      <c r="C2450" s="1">
        <v>46038.999988425923</v>
      </c>
      <c r="D2450">
        <v>25.152079397565299</v>
      </c>
      <c r="E2450">
        <v>155367.96360327199</v>
      </c>
      <c r="F2450" s="1">
        <v>46038.099826388891</v>
      </c>
      <c r="G2450">
        <v>52.874703175737103</v>
      </c>
      <c r="H2450" t="s">
        <v>27</v>
      </c>
      <c r="I2450">
        <v>42243</v>
      </c>
      <c r="J2450" t="s">
        <v>16</v>
      </c>
      <c r="K2450">
        <v>284149.25079040503</v>
      </c>
      <c r="L2450" t="s">
        <v>17</v>
      </c>
      <c r="M2450">
        <v>0</v>
      </c>
      <c r="N2450">
        <v>0.54678294301706598</v>
      </c>
    </row>
    <row r="2451" spans="2:14" x14ac:dyDescent="0.25">
      <c r="B2451" t="s">
        <v>14</v>
      </c>
      <c r="C2451" s="1">
        <v>46037.999988425923</v>
      </c>
      <c r="D2451">
        <v>25.152079397565299</v>
      </c>
      <c r="E2451">
        <v>121153.47534681</v>
      </c>
      <c r="F2451" s="1">
        <v>46035.606319444443</v>
      </c>
      <c r="G2451">
        <v>52.874703175737103</v>
      </c>
      <c r="H2451" t="s">
        <v>27</v>
      </c>
      <c r="I2451">
        <v>42243</v>
      </c>
      <c r="J2451" t="s">
        <v>16</v>
      </c>
      <c r="K2451">
        <v>284149.25079040503</v>
      </c>
      <c r="L2451" t="s">
        <v>17</v>
      </c>
      <c r="M2451">
        <v>-34214.488256461504</v>
      </c>
      <c r="N2451">
        <v>0.42637267214255697</v>
      </c>
    </row>
    <row r="2452" spans="2:14" x14ac:dyDescent="0.25">
      <c r="B2452" t="s">
        <v>14</v>
      </c>
      <c r="C2452" s="1">
        <v>46036.999988425923</v>
      </c>
      <c r="D2452">
        <v>25.152079397565299</v>
      </c>
      <c r="E2452">
        <v>121153.47534681</v>
      </c>
      <c r="F2452" s="1">
        <v>46035.606319444443</v>
      </c>
      <c r="G2452">
        <v>52.874703175737103</v>
      </c>
      <c r="H2452" t="s">
        <v>27</v>
      </c>
      <c r="I2452">
        <v>42243</v>
      </c>
      <c r="J2452" t="s">
        <v>16</v>
      </c>
      <c r="K2452">
        <v>284149.25079040503</v>
      </c>
      <c r="L2452" t="s">
        <v>17</v>
      </c>
      <c r="M2452">
        <v>0</v>
      </c>
      <c r="N2452">
        <v>0.42637267214255697</v>
      </c>
    </row>
    <row r="2453" spans="2:14" x14ac:dyDescent="0.25">
      <c r="B2453" t="s">
        <v>14</v>
      </c>
      <c r="C2453" s="1">
        <v>46035.999988425923</v>
      </c>
      <c r="D2453">
        <v>25.152079397565299</v>
      </c>
      <c r="E2453">
        <v>121153.47534681</v>
      </c>
      <c r="F2453" s="1">
        <v>46035.606319444443</v>
      </c>
      <c r="G2453">
        <v>52.874703175737103</v>
      </c>
      <c r="H2453" t="s">
        <v>27</v>
      </c>
      <c r="I2453">
        <v>42243</v>
      </c>
      <c r="J2453" t="s">
        <v>16</v>
      </c>
      <c r="K2453">
        <v>284149.25079040503</v>
      </c>
      <c r="L2453" t="s">
        <v>17</v>
      </c>
      <c r="M2453">
        <v>0</v>
      </c>
      <c r="N2453">
        <v>0.42637267214255697</v>
      </c>
    </row>
    <row r="2454" spans="2:14" x14ac:dyDescent="0.25">
      <c r="B2454" t="s">
        <v>14</v>
      </c>
      <c r="C2454" s="1">
        <v>46034.999988425923</v>
      </c>
      <c r="D2454">
        <v>25.152079397565299</v>
      </c>
      <c r="E2454">
        <v>83409.367983709293</v>
      </c>
      <c r="F2454" s="1">
        <v>46032.099108796298</v>
      </c>
      <c r="G2454">
        <v>52.874703175737103</v>
      </c>
      <c r="H2454" t="s">
        <v>27</v>
      </c>
      <c r="I2454">
        <v>42243</v>
      </c>
      <c r="J2454" t="s">
        <v>16</v>
      </c>
      <c r="K2454">
        <v>284149.25079040503</v>
      </c>
      <c r="L2454" t="s">
        <v>17</v>
      </c>
      <c r="M2454">
        <v>-37744.107363101502</v>
      </c>
      <c r="N2454">
        <v>0.293540692969251</v>
      </c>
    </row>
    <row r="2455" spans="2:14" x14ac:dyDescent="0.25">
      <c r="B2455" t="s">
        <v>14</v>
      </c>
      <c r="C2455" s="1">
        <v>46033.999988425923</v>
      </c>
      <c r="D2455">
        <v>25.152079397565299</v>
      </c>
      <c r="E2455">
        <v>83409.367983709293</v>
      </c>
      <c r="F2455" s="1">
        <v>46032.099108796298</v>
      </c>
      <c r="G2455">
        <v>52.874703175737103</v>
      </c>
      <c r="H2455" t="s">
        <v>27</v>
      </c>
      <c r="I2455">
        <v>42243</v>
      </c>
      <c r="J2455" t="s">
        <v>16</v>
      </c>
      <c r="K2455">
        <v>284149.25079040503</v>
      </c>
      <c r="L2455" t="s">
        <v>17</v>
      </c>
      <c r="M2455">
        <v>0</v>
      </c>
      <c r="N2455">
        <v>0.293540692969251</v>
      </c>
    </row>
    <row r="2456" spans="2:14" x14ac:dyDescent="0.25">
      <c r="B2456" t="s">
        <v>14</v>
      </c>
      <c r="C2456" s="1">
        <v>46032.999988425923</v>
      </c>
      <c r="D2456">
        <v>25.152079397565299</v>
      </c>
      <c r="E2456">
        <v>83409.367983709293</v>
      </c>
      <c r="F2456" s="1">
        <v>46032.099108796298</v>
      </c>
      <c r="G2456">
        <v>52.874703175737103</v>
      </c>
      <c r="H2456" t="s">
        <v>27</v>
      </c>
      <c r="I2456">
        <v>42243</v>
      </c>
      <c r="J2456" t="s">
        <v>16</v>
      </c>
      <c r="K2456">
        <v>284149.25079040503</v>
      </c>
      <c r="L2456" t="s">
        <v>17</v>
      </c>
      <c r="M2456">
        <v>0</v>
      </c>
      <c r="N2456">
        <v>0.293540692969251</v>
      </c>
    </row>
    <row r="2457" spans="2:14" x14ac:dyDescent="0.25">
      <c r="B2457" t="s">
        <v>14</v>
      </c>
      <c r="C2457" s="1">
        <v>46031.999988425923</v>
      </c>
      <c r="D2457">
        <v>25.152079397565299</v>
      </c>
      <c r="E2457">
        <v>49647.538072105002</v>
      </c>
      <c r="F2457" s="1">
        <v>46029.605486111112</v>
      </c>
      <c r="G2457">
        <v>52.874703175737103</v>
      </c>
      <c r="H2457" t="s">
        <v>27</v>
      </c>
      <c r="I2457">
        <v>42243</v>
      </c>
      <c r="J2457" t="s">
        <v>16</v>
      </c>
      <c r="K2457">
        <v>284149.25079040503</v>
      </c>
      <c r="L2457" t="s">
        <v>17</v>
      </c>
      <c r="M2457">
        <v>-33761.829911604298</v>
      </c>
      <c r="N2457">
        <v>0.17472345231952</v>
      </c>
    </row>
    <row r="2458" spans="2:14" x14ac:dyDescent="0.25">
      <c r="B2458" t="s">
        <v>14</v>
      </c>
      <c r="C2458" s="1">
        <v>46030.999988425923</v>
      </c>
      <c r="D2458">
        <v>25.152079397565299</v>
      </c>
      <c r="E2458">
        <v>49647.538072105002</v>
      </c>
      <c r="F2458" s="1">
        <v>46029.605486111112</v>
      </c>
      <c r="G2458">
        <v>52.874703175737103</v>
      </c>
      <c r="H2458" t="s">
        <v>27</v>
      </c>
      <c r="I2458">
        <v>42243</v>
      </c>
      <c r="J2458" t="s">
        <v>16</v>
      </c>
      <c r="K2458">
        <v>284149.25079040503</v>
      </c>
      <c r="L2458" t="s">
        <v>17</v>
      </c>
      <c r="M2458">
        <v>0</v>
      </c>
      <c r="N2458">
        <v>0.17472345231952</v>
      </c>
    </row>
    <row r="2459" spans="2:14" x14ac:dyDescent="0.25">
      <c r="B2459" t="s">
        <v>14</v>
      </c>
      <c r="C2459" s="1">
        <v>46029.999988425923</v>
      </c>
      <c r="D2459">
        <v>25.152079397565299</v>
      </c>
      <c r="E2459">
        <v>49647.538072105002</v>
      </c>
      <c r="F2459" s="1">
        <v>46029.605486111112</v>
      </c>
      <c r="G2459">
        <v>52.874703175737103</v>
      </c>
      <c r="H2459" t="s">
        <v>27</v>
      </c>
      <c r="I2459">
        <v>42243</v>
      </c>
      <c r="J2459" t="s">
        <v>16</v>
      </c>
      <c r="K2459">
        <v>284149.25079040503</v>
      </c>
      <c r="L2459" t="s">
        <v>17</v>
      </c>
      <c r="M2459">
        <v>0</v>
      </c>
      <c r="N2459">
        <v>0.17472345231952</v>
      </c>
    </row>
    <row r="2460" spans="2:14" x14ac:dyDescent="0.25">
      <c r="B2460" t="s">
        <v>14</v>
      </c>
      <c r="C2460" s="1">
        <v>46028.999988425923</v>
      </c>
      <c r="D2460">
        <v>25.152079397565299</v>
      </c>
      <c r="E2460">
        <v>33162.086127007999</v>
      </c>
      <c r="F2460" s="1">
        <v>46026.09983796296</v>
      </c>
      <c r="G2460">
        <v>52.874703175737103</v>
      </c>
      <c r="H2460" t="s">
        <v>27</v>
      </c>
      <c r="I2460">
        <v>42243</v>
      </c>
      <c r="J2460" t="s">
        <v>16</v>
      </c>
      <c r="K2460">
        <v>284149.25079040503</v>
      </c>
      <c r="L2460" t="s">
        <v>17</v>
      </c>
      <c r="M2460">
        <v>-16485.451945096898</v>
      </c>
      <c r="N2460">
        <v>0.11670657597992</v>
      </c>
    </row>
    <row r="2461" spans="2:14" x14ac:dyDescent="0.25">
      <c r="B2461" t="s">
        <v>14</v>
      </c>
      <c r="C2461" s="1">
        <v>46027.999988425923</v>
      </c>
      <c r="D2461">
        <v>25.152079397565299</v>
      </c>
      <c r="E2461">
        <v>33162.086127007999</v>
      </c>
      <c r="F2461" s="1">
        <v>46026.09983796296</v>
      </c>
      <c r="G2461">
        <v>52.874703175737103</v>
      </c>
      <c r="H2461" t="s">
        <v>27</v>
      </c>
      <c r="I2461">
        <v>42243</v>
      </c>
      <c r="J2461" t="s">
        <v>16</v>
      </c>
      <c r="K2461">
        <v>284149.25079040503</v>
      </c>
      <c r="L2461" t="s">
        <v>17</v>
      </c>
      <c r="M2461">
        <v>0</v>
      </c>
      <c r="N2461">
        <v>0.11670657597992</v>
      </c>
    </row>
    <row r="2462" spans="2:14" x14ac:dyDescent="0.25">
      <c r="B2462" t="s">
        <v>14</v>
      </c>
      <c r="C2462" s="1">
        <v>46026.999988425923</v>
      </c>
      <c r="D2462">
        <v>25.152079397565299</v>
      </c>
      <c r="E2462">
        <v>33162.086127007999</v>
      </c>
      <c r="F2462" s="1">
        <v>46026.09983796296</v>
      </c>
      <c r="G2462">
        <v>52.874703175737103</v>
      </c>
      <c r="H2462" t="s">
        <v>27</v>
      </c>
      <c r="I2462">
        <v>42243</v>
      </c>
      <c r="J2462" t="s">
        <v>16</v>
      </c>
      <c r="K2462">
        <v>284149.25079040503</v>
      </c>
      <c r="L2462" t="s">
        <v>17</v>
      </c>
      <c r="M2462">
        <v>0</v>
      </c>
      <c r="N2462">
        <v>0.11670657597992</v>
      </c>
    </row>
    <row r="2463" spans="2:14" x14ac:dyDescent="0.25">
      <c r="B2463" t="s">
        <v>14</v>
      </c>
      <c r="C2463" s="1">
        <v>46025.999988425923</v>
      </c>
      <c r="D2463">
        <v>25.152079397565299</v>
      </c>
      <c r="E2463">
        <v>31658.206764242801</v>
      </c>
      <c r="F2463" s="1">
        <v>46023.60633101852</v>
      </c>
      <c r="G2463">
        <v>52.874703175737103</v>
      </c>
      <c r="H2463" t="s">
        <v>27</v>
      </c>
      <c r="I2463">
        <v>42243</v>
      </c>
      <c r="J2463" t="s">
        <v>16</v>
      </c>
      <c r="K2463">
        <v>284149.25079040503</v>
      </c>
      <c r="L2463" t="s">
        <v>17</v>
      </c>
      <c r="M2463">
        <v>-1503.8793627652001</v>
      </c>
      <c r="N2463">
        <v>0.11141400751957101</v>
      </c>
    </row>
    <row r="2464" spans="2:14" x14ac:dyDescent="0.25">
      <c r="B2464" t="s">
        <v>14</v>
      </c>
      <c r="C2464" s="1">
        <v>46024.999988425923</v>
      </c>
      <c r="D2464">
        <v>25.152079397565299</v>
      </c>
      <c r="E2464">
        <v>31658.206764242801</v>
      </c>
      <c r="F2464" s="1">
        <v>46023.60633101852</v>
      </c>
      <c r="G2464">
        <v>52.874703175737103</v>
      </c>
      <c r="H2464" t="s">
        <v>27</v>
      </c>
      <c r="I2464">
        <v>42243</v>
      </c>
      <c r="J2464" t="s">
        <v>16</v>
      </c>
      <c r="K2464">
        <v>284149.25079040503</v>
      </c>
      <c r="L2464" t="s">
        <v>17</v>
      </c>
      <c r="M2464">
        <v>0</v>
      </c>
      <c r="N2464">
        <v>0.11141400751957101</v>
      </c>
    </row>
    <row r="2465" spans="2:14" x14ac:dyDescent="0.25">
      <c r="B2465" t="s">
        <v>14</v>
      </c>
      <c r="C2465" s="1">
        <v>46023.999988425923</v>
      </c>
      <c r="D2465">
        <v>25.152079397565299</v>
      </c>
      <c r="E2465">
        <v>31658.206764242801</v>
      </c>
      <c r="F2465" s="1">
        <v>46023.60633101852</v>
      </c>
      <c r="G2465">
        <v>52.874703175737103</v>
      </c>
      <c r="H2465" t="s">
        <v>27</v>
      </c>
      <c r="I2465">
        <v>42243</v>
      </c>
      <c r="J2465" t="s">
        <v>16</v>
      </c>
      <c r="K2465">
        <v>284149.25079040503</v>
      </c>
      <c r="L2465" t="s">
        <v>17</v>
      </c>
      <c r="M2465">
        <v>0</v>
      </c>
      <c r="N2465">
        <v>0.11141400751957101</v>
      </c>
    </row>
    <row r="2466" spans="2:14" x14ac:dyDescent="0.25">
      <c r="B2466" t="s">
        <v>14</v>
      </c>
      <c r="C2466" s="1">
        <v>46246.999988425923</v>
      </c>
      <c r="D2466">
        <v>25.151848600500401</v>
      </c>
      <c r="E2466">
        <v>896593.69406259502</v>
      </c>
      <c r="F2466" s="1">
        <v>46246.605821759258</v>
      </c>
      <c r="G2466">
        <v>52.873303969916599</v>
      </c>
      <c r="H2466" t="s">
        <v>28</v>
      </c>
      <c r="J2466" t="s">
        <v>16</v>
      </c>
      <c r="K2466">
        <v>896593.69406259502</v>
      </c>
      <c r="L2466" t="s">
        <v>17</v>
      </c>
      <c r="M2466">
        <v>0</v>
      </c>
      <c r="N2466">
        <v>1</v>
      </c>
    </row>
    <row r="2467" spans="2:14" x14ac:dyDescent="0.25">
      <c r="B2467" t="s">
        <v>14</v>
      </c>
      <c r="C2467" s="1">
        <v>46245.999988425923</v>
      </c>
      <c r="D2467">
        <v>25.151848600500401</v>
      </c>
      <c r="E2467">
        <v>271134.457688733</v>
      </c>
      <c r="F2467" s="1">
        <v>46243.09915509259</v>
      </c>
      <c r="G2467">
        <v>52.873303969916599</v>
      </c>
      <c r="H2467" t="s">
        <v>28</v>
      </c>
      <c r="J2467" t="s">
        <v>16</v>
      </c>
      <c r="K2467">
        <v>896593.69406259502</v>
      </c>
      <c r="L2467" t="s">
        <v>17</v>
      </c>
      <c r="M2467">
        <v>-625459.23637386097</v>
      </c>
      <c r="N2467">
        <v>0.30240504643768301</v>
      </c>
    </row>
    <row r="2468" spans="2:14" x14ac:dyDescent="0.25">
      <c r="B2468" t="s">
        <v>14</v>
      </c>
      <c r="C2468" s="1">
        <v>46244.999988425923</v>
      </c>
      <c r="D2468">
        <v>25.151848600500401</v>
      </c>
      <c r="E2468">
        <v>271134.457688733</v>
      </c>
      <c r="F2468" s="1">
        <v>46243.09915509259</v>
      </c>
      <c r="G2468">
        <v>52.873303969916599</v>
      </c>
      <c r="H2468" t="s">
        <v>28</v>
      </c>
      <c r="J2468" t="s">
        <v>16</v>
      </c>
      <c r="K2468">
        <v>896593.69406259502</v>
      </c>
      <c r="L2468" t="s">
        <v>17</v>
      </c>
      <c r="M2468">
        <v>0</v>
      </c>
      <c r="N2468">
        <v>0.30240504643768301</v>
      </c>
    </row>
    <row r="2469" spans="2:14" x14ac:dyDescent="0.25">
      <c r="B2469" t="s">
        <v>14</v>
      </c>
      <c r="C2469" s="1">
        <v>46243.999988425923</v>
      </c>
      <c r="D2469">
        <v>25.151848600500401</v>
      </c>
      <c r="E2469">
        <v>271134.457688733</v>
      </c>
      <c r="F2469" s="1">
        <v>46243.09915509259</v>
      </c>
      <c r="G2469">
        <v>52.873303969916599</v>
      </c>
      <c r="H2469" t="s">
        <v>28</v>
      </c>
      <c r="J2469" t="s">
        <v>16</v>
      </c>
      <c r="K2469">
        <v>896593.69406259502</v>
      </c>
      <c r="L2469" t="s">
        <v>17</v>
      </c>
      <c r="M2469">
        <v>0</v>
      </c>
      <c r="N2469">
        <v>0.30240504643768301</v>
      </c>
    </row>
    <row r="2470" spans="2:14" x14ac:dyDescent="0.25">
      <c r="B2470" t="s">
        <v>14</v>
      </c>
      <c r="C2470" s="1">
        <v>46242.999988425923</v>
      </c>
      <c r="D2470">
        <v>25.151848600500401</v>
      </c>
      <c r="E2470">
        <v>251629.91451300401</v>
      </c>
      <c r="F2470" s="1">
        <v>46240.605520833335</v>
      </c>
      <c r="G2470">
        <v>52.873303969916599</v>
      </c>
      <c r="H2470" t="s">
        <v>28</v>
      </c>
      <c r="J2470" t="s">
        <v>16</v>
      </c>
      <c r="K2470">
        <v>896593.69406259502</v>
      </c>
      <c r="L2470" t="s">
        <v>17</v>
      </c>
      <c r="M2470">
        <v>-19504.543175728799</v>
      </c>
      <c r="N2470">
        <v>0.28065099741314598</v>
      </c>
    </row>
    <row r="2471" spans="2:14" x14ac:dyDescent="0.25">
      <c r="B2471" t="s">
        <v>14</v>
      </c>
      <c r="C2471" s="1">
        <v>46241.999988425923</v>
      </c>
      <c r="D2471">
        <v>25.151848600500401</v>
      </c>
      <c r="E2471">
        <v>251629.91451300401</v>
      </c>
      <c r="F2471" s="1">
        <v>46240.605520833335</v>
      </c>
      <c r="G2471">
        <v>52.873303969916599</v>
      </c>
      <c r="H2471" t="s">
        <v>28</v>
      </c>
      <c r="J2471" t="s">
        <v>16</v>
      </c>
      <c r="K2471">
        <v>896593.69406259502</v>
      </c>
      <c r="L2471" t="s">
        <v>17</v>
      </c>
      <c r="M2471">
        <v>0</v>
      </c>
      <c r="N2471">
        <v>0.28065099741314598</v>
      </c>
    </row>
    <row r="2472" spans="2:14" x14ac:dyDescent="0.25">
      <c r="B2472" t="s">
        <v>14</v>
      </c>
      <c r="C2472" s="1">
        <v>46240.999988425923</v>
      </c>
      <c r="D2472">
        <v>25.151848600500401</v>
      </c>
      <c r="E2472">
        <v>251629.91451300401</v>
      </c>
      <c r="F2472" s="1">
        <v>46240.605520833335</v>
      </c>
      <c r="G2472">
        <v>52.873303969916599</v>
      </c>
      <c r="H2472" t="s">
        <v>28</v>
      </c>
      <c r="J2472" t="s">
        <v>16</v>
      </c>
      <c r="K2472">
        <v>896593.69406259502</v>
      </c>
      <c r="L2472" t="s">
        <v>17</v>
      </c>
      <c r="M2472">
        <v>0</v>
      </c>
      <c r="N2472">
        <v>0.28065099741314598</v>
      </c>
    </row>
    <row r="2473" spans="2:14" x14ac:dyDescent="0.25">
      <c r="B2473" t="s">
        <v>14</v>
      </c>
      <c r="C2473" s="1">
        <v>46239.999988425923</v>
      </c>
      <c r="D2473">
        <v>25.151848600500401</v>
      </c>
      <c r="E2473">
        <v>273476.562129169</v>
      </c>
      <c r="F2473" s="1">
        <v>46237.099328703705</v>
      </c>
      <c r="G2473">
        <v>52.873303969916599</v>
      </c>
      <c r="H2473" t="s">
        <v>28</v>
      </c>
      <c r="J2473" t="s">
        <v>16</v>
      </c>
      <c r="K2473">
        <v>896593.69406259502</v>
      </c>
      <c r="L2473" t="s">
        <v>17</v>
      </c>
      <c r="M2473">
        <v>21846.647616165101</v>
      </c>
      <c r="N2473">
        <v>0.30501727141310597</v>
      </c>
    </row>
    <row r="2474" spans="2:14" x14ac:dyDescent="0.25">
      <c r="B2474" t="s">
        <v>14</v>
      </c>
      <c r="C2474" s="1">
        <v>46238.999988425923</v>
      </c>
      <c r="D2474">
        <v>25.151848600500401</v>
      </c>
      <c r="E2474">
        <v>273476.562129169</v>
      </c>
      <c r="F2474" s="1">
        <v>46237.099328703705</v>
      </c>
      <c r="G2474">
        <v>52.873303969916599</v>
      </c>
      <c r="H2474" t="s">
        <v>28</v>
      </c>
      <c r="J2474" t="s">
        <v>16</v>
      </c>
      <c r="K2474">
        <v>896593.69406259502</v>
      </c>
      <c r="L2474" t="s">
        <v>17</v>
      </c>
      <c r="M2474">
        <v>0</v>
      </c>
      <c r="N2474">
        <v>0.30501727141310597</v>
      </c>
    </row>
    <row r="2475" spans="2:14" x14ac:dyDescent="0.25">
      <c r="B2475" t="s">
        <v>14</v>
      </c>
      <c r="C2475" s="1">
        <v>46237.999988425923</v>
      </c>
      <c r="D2475">
        <v>25.151848600500401</v>
      </c>
      <c r="E2475">
        <v>273476.562129169</v>
      </c>
      <c r="F2475" s="1">
        <v>46237.099328703705</v>
      </c>
      <c r="G2475">
        <v>52.873303969916599</v>
      </c>
      <c r="H2475" t="s">
        <v>28</v>
      </c>
      <c r="J2475" t="s">
        <v>16</v>
      </c>
      <c r="K2475">
        <v>896593.69406259502</v>
      </c>
      <c r="L2475" t="s">
        <v>17</v>
      </c>
      <c r="M2475">
        <v>0</v>
      </c>
      <c r="N2475">
        <v>0.30501727141310597</v>
      </c>
    </row>
    <row r="2476" spans="2:14" x14ac:dyDescent="0.25">
      <c r="B2476" t="s">
        <v>14</v>
      </c>
      <c r="C2476" s="1">
        <v>46236.999988425923</v>
      </c>
      <c r="D2476">
        <v>25.151848600500401</v>
      </c>
      <c r="E2476">
        <v>255632.12895912799</v>
      </c>
      <c r="F2476" s="1">
        <v>46234.605810185189</v>
      </c>
      <c r="G2476">
        <v>52.873303969916599</v>
      </c>
      <c r="H2476" t="s">
        <v>28</v>
      </c>
      <c r="J2476" t="s">
        <v>16</v>
      </c>
      <c r="K2476">
        <v>896593.69406259502</v>
      </c>
      <c r="L2476" t="s">
        <v>17</v>
      </c>
      <c r="M2476">
        <v>-17844.433170041499</v>
      </c>
      <c r="N2476">
        <v>0.28511479687172703</v>
      </c>
    </row>
    <row r="2477" spans="2:14" x14ac:dyDescent="0.25">
      <c r="B2477" t="s">
        <v>14</v>
      </c>
      <c r="C2477" s="1">
        <v>46235.999988425923</v>
      </c>
      <c r="D2477">
        <v>25.151848600500401</v>
      </c>
      <c r="E2477">
        <v>255632.12895912799</v>
      </c>
      <c r="F2477" s="1">
        <v>46234.605810185189</v>
      </c>
      <c r="G2477">
        <v>52.873303969916599</v>
      </c>
      <c r="H2477" t="s">
        <v>28</v>
      </c>
      <c r="J2477" t="s">
        <v>16</v>
      </c>
      <c r="K2477">
        <v>896593.69406259502</v>
      </c>
      <c r="L2477" t="s">
        <v>17</v>
      </c>
      <c r="M2477">
        <v>0</v>
      </c>
      <c r="N2477">
        <v>0.28511479687172703</v>
      </c>
    </row>
    <row r="2478" spans="2:14" x14ac:dyDescent="0.25">
      <c r="B2478" t="s">
        <v>14</v>
      </c>
      <c r="C2478" s="1">
        <v>46234.999988425923</v>
      </c>
      <c r="D2478">
        <v>25.151848600500401</v>
      </c>
      <c r="E2478">
        <v>255632.12895912799</v>
      </c>
      <c r="F2478" s="1">
        <v>46234.605810185189</v>
      </c>
      <c r="G2478">
        <v>52.873303969916599</v>
      </c>
      <c r="H2478" t="s">
        <v>28</v>
      </c>
      <c r="J2478" t="s">
        <v>16</v>
      </c>
      <c r="K2478">
        <v>896593.69406259502</v>
      </c>
      <c r="L2478" t="s">
        <v>17</v>
      </c>
      <c r="M2478">
        <v>0</v>
      </c>
      <c r="N2478">
        <v>0.28511479687172703</v>
      </c>
    </row>
    <row r="2479" spans="2:14" x14ac:dyDescent="0.25">
      <c r="B2479" t="s">
        <v>14</v>
      </c>
      <c r="C2479" s="1">
        <v>46233.999988425923</v>
      </c>
      <c r="D2479">
        <v>25.151848600500401</v>
      </c>
      <c r="E2479">
        <v>271387.92109123099</v>
      </c>
      <c r="F2479" s="1">
        <v>46231.09915509259</v>
      </c>
      <c r="G2479">
        <v>52.873303969916599</v>
      </c>
      <c r="H2479" t="s">
        <v>28</v>
      </c>
      <c r="J2479" t="s">
        <v>16</v>
      </c>
      <c r="K2479">
        <v>896593.69406259502</v>
      </c>
      <c r="L2479" t="s">
        <v>17</v>
      </c>
      <c r="M2479">
        <v>15755.792132103001</v>
      </c>
      <c r="N2479">
        <v>0.30268774238365798</v>
      </c>
    </row>
    <row r="2480" spans="2:14" x14ac:dyDescent="0.25">
      <c r="B2480" t="s">
        <v>14</v>
      </c>
      <c r="C2480" s="1">
        <v>46232.999988425923</v>
      </c>
      <c r="D2480">
        <v>25.151848600500401</v>
      </c>
      <c r="E2480">
        <v>271387.92109123099</v>
      </c>
      <c r="F2480" s="1">
        <v>46231.09915509259</v>
      </c>
      <c r="G2480">
        <v>52.873303969916599</v>
      </c>
      <c r="H2480" t="s">
        <v>28</v>
      </c>
      <c r="J2480" t="s">
        <v>16</v>
      </c>
      <c r="K2480">
        <v>896593.69406259502</v>
      </c>
      <c r="L2480" t="s">
        <v>17</v>
      </c>
      <c r="M2480">
        <v>0</v>
      </c>
      <c r="N2480">
        <v>0.30268774238365798</v>
      </c>
    </row>
    <row r="2481" spans="2:14" x14ac:dyDescent="0.25">
      <c r="B2481" t="s">
        <v>14</v>
      </c>
      <c r="C2481" s="1">
        <v>46231.999988425923</v>
      </c>
      <c r="D2481">
        <v>25.151848600500401</v>
      </c>
      <c r="E2481">
        <v>271387.92109123099</v>
      </c>
      <c r="F2481" s="1">
        <v>46231.09915509259</v>
      </c>
      <c r="G2481">
        <v>52.873303969916599</v>
      </c>
      <c r="H2481" t="s">
        <v>28</v>
      </c>
      <c r="J2481" t="s">
        <v>16</v>
      </c>
      <c r="K2481">
        <v>896593.69406259502</v>
      </c>
      <c r="L2481" t="s">
        <v>17</v>
      </c>
      <c r="M2481">
        <v>0</v>
      </c>
      <c r="N2481">
        <v>0.30268774238365798</v>
      </c>
    </row>
    <row r="2482" spans="2:14" x14ac:dyDescent="0.25">
      <c r="B2482" t="s">
        <v>14</v>
      </c>
      <c r="C2482" s="1">
        <v>46230.999988425923</v>
      </c>
      <c r="D2482">
        <v>25.151848600500401</v>
      </c>
      <c r="E2482">
        <v>512338.538694911</v>
      </c>
      <c r="F2482" s="1">
        <v>46228.605520833335</v>
      </c>
      <c r="G2482">
        <v>52.873303969916599</v>
      </c>
      <c r="H2482" t="s">
        <v>28</v>
      </c>
      <c r="J2482" t="s">
        <v>16</v>
      </c>
      <c r="K2482">
        <v>896593.69406259502</v>
      </c>
      <c r="L2482" t="s">
        <v>17</v>
      </c>
      <c r="M2482">
        <v>240950.61760367901</v>
      </c>
      <c r="N2482">
        <v>0.57142777390439903</v>
      </c>
    </row>
    <row r="2483" spans="2:14" x14ac:dyDescent="0.25">
      <c r="B2483" t="s">
        <v>14</v>
      </c>
      <c r="C2483" s="1">
        <v>46229.999988425923</v>
      </c>
      <c r="D2483">
        <v>25.151848600500401</v>
      </c>
      <c r="E2483">
        <v>512338.538694911</v>
      </c>
      <c r="F2483" s="1">
        <v>46228.605520833335</v>
      </c>
      <c r="G2483">
        <v>52.873303969916599</v>
      </c>
      <c r="H2483" t="s">
        <v>28</v>
      </c>
      <c r="J2483" t="s">
        <v>16</v>
      </c>
      <c r="K2483">
        <v>896593.69406259502</v>
      </c>
      <c r="L2483" t="s">
        <v>17</v>
      </c>
      <c r="M2483">
        <v>0</v>
      </c>
      <c r="N2483">
        <v>0.57142777390439903</v>
      </c>
    </row>
    <row r="2484" spans="2:14" x14ac:dyDescent="0.25">
      <c r="B2484" t="s">
        <v>14</v>
      </c>
      <c r="C2484" s="1">
        <v>46228.999988425923</v>
      </c>
      <c r="D2484">
        <v>25.151848600500401</v>
      </c>
      <c r="E2484">
        <v>512338.538694911</v>
      </c>
      <c r="F2484" s="1">
        <v>46228.605520833335</v>
      </c>
      <c r="G2484">
        <v>52.873303969916599</v>
      </c>
      <c r="H2484" t="s">
        <v>28</v>
      </c>
      <c r="J2484" t="s">
        <v>16</v>
      </c>
      <c r="K2484">
        <v>896593.69406259502</v>
      </c>
      <c r="L2484" t="s">
        <v>17</v>
      </c>
      <c r="M2484">
        <v>0</v>
      </c>
      <c r="N2484">
        <v>0.57142777390439903</v>
      </c>
    </row>
    <row r="2485" spans="2:14" x14ac:dyDescent="0.25">
      <c r="B2485" t="s">
        <v>14</v>
      </c>
      <c r="C2485" s="1">
        <v>46227.999988425923</v>
      </c>
      <c r="D2485">
        <v>25.151848600500401</v>
      </c>
      <c r="E2485">
        <v>896593.69406259502</v>
      </c>
      <c r="F2485" s="1">
        <v>46225.099317129629</v>
      </c>
      <c r="G2485">
        <v>52.873303969916599</v>
      </c>
      <c r="H2485" t="s">
        <v>28</v>
      </c>
      <c r="J2485" t="s">
        <v>16</v>
      </c>
      <c r="K2485">
        <v>896593.69406259502</v>
      </c>
      <c r="L2485" t="s">
        <v>17</v>
      </c>
      <c r="M2485">
        <v>384255.15536768403</v>
      </c>
      <c r="N2485">
        <v>1</v>
      </c>
    </row>
    <row r="2486" spans="2:14" x14ac:dyDescent="0.25">
      <c r="B2486" t="s">
        <v>14</v>
      </c>
      <c r="C2486" s="1">
        <v>46226.999988425923</v>
      </c>
      <c r="D2486">
        <v>25.151848600500401</v>
      </c>
      <c r="E2486">
        <v>896593.69406259502</v>
      </c>
      <c r="F2486" s="1">
        <v>46225.099317129629</v>
      </c>
      <c r="G2486">
        <v>52.873303969916599</v>
      </c>
      <c r="H2486" t="s">
        <v>28</v>
      </c>
      <c r="J2486" t="s">
        <v>16</v>
      </c>
      <c r="K2486">
        <v>896593.69406259502</v>
      </c>
      <c r="L2486" t="s">
        <v>17</v>
      </c>
      <c r="M2486">
        <v>0</v>
      </c>
      <c r="N2486">
        <v>1</v>
      </c>
    </row>
    <row r="2487" spans="2:14" x14ac:dyDescent="0.25">
      <c r="B2487" t="s">
        <v>14</v>
      </c>
      <c r="C2487" s="1">
        <v>46225.999988425923</v>
      </c>
      <c r="D2487">
        <v>25.151848600500401</v>
      </c>
      <c r="E2487">
        <v>896593.69406259502</v>
      </c>
      <c r="F2487" s="1">
        <v>46225.099317129629</v>
      </c>
      <c r="G2487">
        <v>52.873303969916599</v>
      </c>
      <c r="H2487" t="s">
        <v>28</v>
      </c>
      <c r="J2487" t="s">
        <v>16</v>
      </c>
      <c r="K2487">
        <v>896593.69406259502</v>
      </c>
      <c r="L2487" t="s">
        <v>17</v>
      </c>
      <c r="M2487">
        <v>0</v>
      </c>
      <c r="N2487">
        <v>1</v>
      </c>
    </row>
    <row r="2488" spans="2:14" x14ac:dyDescent="0.25">
      <c r="B2488" t="s">
        <v>14</v>
      </c>
      <c r="C2488" s="1">
        <v>46224.999988425923</v>
      </c>
      <c r="D2488">
        <v>25.151848600500401</v>
      </c>
      <c r="E2488">
        <v>896593.69406259502</v>
      </c>
      <c r="F2488" s="1">
        <v>46222.605810185189</v>
      </c>
      <c r="G2488">
        <v>52.873303969916599</v>
      </c>
      <c r="H2488" t="s">
        <v>28</v>
      </c>
      <c r="J2488" t="s">
        <v>16</v>
      </c>
      <c r="K2488">
        <v>896593.69406259502</v>
      </c>
      <c r="L2488" t="s">
        <v>17</v>
      </c>
      <c r="M2488">
        <v>0</v>
      </c>
      <c r="N2488">
        <v>1</v>
      </c>
    </row>
    <row r="2489" spans="2:14" x14ac:dyDescent="0.25">
      <c r="B2489" t="s">
        <v>14</v>
      </c>
      <c r="C2489" s="1">
        <v>46223.999988425923</v>
      </c>
      <c r="D2489">
        <v>25.151848600500401</v>
      </c>
      <c r="E2489">
        <v>896593.69406259502</v>
      </c>
      <c r="F2489" s="1">
        <v>46222.605810185189</v>
      </c>
      <c r="G2489">
        <v>52.873303969916599</v>
      </c>
      <c r="H2489" t="s">
        <v>28</v>
      </c>
      <c r="J2489" t="s">
        <v>16</v>
      </c>
      <c r="K2489">
        <v>896593.69406259502</v>
      </c>
      <c r="L2489" t="s">
        <v>17</v>
      </c>
      <c r="M2489">
        <v>0</v>
      </c>
      <c r="N2489">
        <v>1</v>
      </c>
    </row>
    <row r="2490" spans="2:14" x14ac:dyDescent="0.25">
      <c r="B2490" t="s">
        <v>14</v>
      </c>
      <c r="C2490" s="1">
        <v>46222.999988425923</v>
      </c>
      <c r="D2490">
        <v>25.151848600500401</v>
      </c>
      <c r="E2490">
        <v>896593.69406259502</v>
      </c>
      <c r="F2490" s="1">
        <v>46222.605810185189</v>
      </c>
      <c r="G2490">
        <v>52.873303969916599</v>
      </c>
      <c r="H2490" t="s">
        <v>28</v>
      </c>
      <c r="J2490" t="s">
        <v>16</v>
      </c>
      <c r="K2490">
        <v>896593.69406259502</v>
      </c>
      <c r="L2490" t="s">
        <v>17</v>
      </c>
      <c r="M2490">
        <v>0</v>
      </c>
      <c r="N2490">
        <v>1</v>
      </c>
    </row>
    <row r="2491" spans="2:14" x14ac:dyDescent="0.25">
      <c r="B2491" t="s">
        <v>14</v>
      </c>
      <c r="C2491" s="1">
        <v>46221.999988425923</v>
      </c>
      <c r="D2491">
        <v>25.151848600500401</v>
      </c>
      <c r="E2491">
        <v>696507.64882909996</v>
      </c>
      <c r="F2491" s="1">
        <v>46219.099143518521</v>
      </c>
      <c r="G2491">
        <v>52.873303969916599</v>
      </c>
      <c r="H2491" t="s">
        <v>28</v>
      </c>
      <c r="J2491" t="s">
        <v>16</v>
      </c>
      <c r="K2491">
        <v>896593.69406259502</v>
      </c>
      <c r="L2491" t="s">
        <v>17</v>
      </c>
      <c r="M2491">
        <v>-200086.04523349399</v>
      </c>
      <c r="N2491">
        <v>0.77683755020975398</v>
      </c>
    </row>
    <row r="2492" spans="2:14" x14ac:dyDescent="0.25">
      <c r="B2492" t="s">
        <v>14</v>
      </c>
      <c r="C2492" s="1">
        <v>46220.999988425923</v>
      </c>
      <c r="D2492">
        <v>25.151848600500401</v>
      </c>
      <c r="E2492">
        <v>696507.64882909996</v>
      </c>
      <c r="F2492" s="1">
        <v>46219.099143518521</v>
      </c>
      <c r="G2492">
        <v>52.873303969916599</v>
      </c>
      <c r="H2492" t="s">
        <v>28</v>
      </c>
      <c r="J2492" t="s">
        <v>16</v>
      </c>
      <c r="K2492">
        <v>896593.69406259502</v>
      </c>
      <c r="L2492" t="s">
        <v>17</v>
      </c>
      <c r="M2492">
        <v>0</v>
      </c>
      <c r="N2492">
        <v>0.77683755020975398</v>
      </c>
    </row>
    <row r="2493" spans="2:14" x14ac:dyDescent="0.25">
      <c r="B2493" t="s">
        <v>14</v>
      </c>
      <c r="C2493" s="1">
        <v>46219.999988425923</v>
      </c>
      <c r="D2493">
        <v>25.151848600500401</v>
      </c>
      <c r="E2493">
        <v>696507.64882909996</v>
      </c>
      <c r="F2493" s="1">
        <v>46219.099143518521</v>
      </c>
      <c r="G2493">
        <v>52.873303969916599</v>
      </c>
      <c r="H2493" t="s">
        <v>28</v>
      </c>
      <c r="J2493" t="s">
        <v>16</v>
      </c>
      <c r="K2493">
        <v>896593.69406259502</v>
      </c>
      <c r="L2493" t="s">
        <v>17</v>
      </c>
      <c r="M2493">
        <v>0</v>
      </c>
      <c r="N2493">
        <v>0.77683755020975398</v>
      </c>
    </row>
    <row r="2494" spans="2:14" x14ac:dyDescent="0.25">
      <c r="B2494" t="s">
        <v>14</v>
      </c>
      <c r="C2494" s="1">
        <v>46218.999988425923</v>
      </c>
      <c r="D2494">
        <v>25.151848600500401</v>
      </c>
      <c r="E2494">
        <v>254063.28608937701</v>
      </c>
      <c r="F2494" s="1">
        <v>46216.605509259258</v>
      </c>
      <c r="G2494">
        <v>52.873303969916599</v>
      </c>
      <c r="H2494" t="s">
        <v>28</v>
      </c>
      <c r="J2494" t="s">
        <v>16</v>
      </c>
      <c r="K2494">
        <v>896593.69406259502</v>
      </c>
      <c r="L2494" t="s">
        <v>17</v>
      </c>
      <c r="M2494">
        <v>-442444.362739723</v>
      </c>
      <c r="N2494">
        <v>0.28336501558267702</v>
      </c>
    </row>
    <row r="2495" spans="2:14" x14ac:dyDescent="0.25">
      <c r="B2495" t="s">
        <v>14</v>
      </c>
      <c r="C2495" s="1">
        <v>46217.999988425923</v>
      </c>
      <c r="D2495">
        <v>25.151848600500401</v>
      </c>
      <c r="E2495">
        <v>254063.28608937701</v>
      </c>
      <c r="F2495" s="1">
        <v>46216.605509259258</v>
      </c>
      <c r="G2495">
        <v>52.873303969916599</v>
      </c>
      <c r="H2495" t="s">
        <v>28</v>
      </c>
      <c r="J2495" t="s">
        <v>16</v>
      </c>
      <c r="K2495">
        <v>896593.69406259502</v>
      </c>
      <c r="L2495" t="s">
        <v>17</v>
      </c>
      <c r="M2495">
        <v>0</v>
      </c>
      <c r="N2495">
        <v>0.28336501558267702</v>
      </c>
    </row>
    <row r="2496" spans="2:14" x14ac:dyDescent="0.25">
      <c r="B2496" t="s">
        <v>14</v>
      </c>
      <c r="C2496" s="1">
        <v>46216.999988425923</v>
      </c>
      <c r="D2496">
        <v>25.151848600500401</v>
      </c>
      <c r="E2496">
        <v>254063.28608937701</v>
      </c>
      <c r="F2496" s="1">
        <v>46216.605509259258</v>
      </c>
      <c r="G2496">
        <v>52.873303969916599</v>
      </c>
      <c r="H2496" t="s">
        <v>28</v>
      </c>
      <c r="J2496" t="s">
        <v>16</v>
      </c>
      <c r="K2496">
        <v>896593.69406259502</v>
      </c>
      <c r="L2496" t="s">
        <v>17</v>
      </c>
      <c r="M2496">
        <v>0</v>
      </c>
      <c r="N2496">
        <v>0.28336501558267702</v>
      </c>
    </row>
    <row r="2497" spans="2:14" x14ac:dyDescent="0.25">
      <c r="B2497" t="s">
        <v>14</v>
      </c>
      <c r="C2497" s="1">
        <v>46215.999988425923</v>
      </c>
      <c r="D2497">
        <v>25.151848600500401</v>
      </c>
      <c r="E2497">
        <v>875779.62083713699</v>
      </c>
      <c r="F2497" s="1">
        <v>46213.099305555559</v>
      </c>
      <c r="G2497">
        <v>52.873303969916599</v>
      </c>
      <c r="H2497" t="s">
        <v>28</v>
      </c>
      <c r="J2497" t="s">
        <v>16</v>
      </c>
      <c r="K2497">
        <v>896593.69406259502</v>
      </c>
      <c r="L2497" t="s">
        <v>17</v>
      </c>
      <c r="M2497">
        <v>621716.33474775904</v>
      </c>
      <c r="N2497">
        <v>0.976785389677294</v>
      </c>
    </row>
    <row r="2498" spans="2:14" x14ac:dyDescent="0.25">
      <c r="B2498" t="s">
        <v>14</v>
      </c>
      <c r="C2498" s="1">
        <v>46214.999988425923</v>
      </c>
      <c r="D2498">
        <v>25.151848600500401</v>
      </c>
      <c r="E2498">
        <v>875779.62083713699</v>
      </c>
      <c r="F2498" s="1">
        <v>46213.099305555559</v>
      </c>
      <c r="G2498">
        <v>52.873303969916599</v>
      </c>
      <c r="H2498" t="s">
        <v>28</v>
      </c>
      <c r="J2498" t="s">
        <v>16</v>
      </c>
      <c r="K2498">
        <v>896593.69406259502</v>
      </c>
      <c r="L2498" t="s">
        <v>17</v>
      </c>
      <c r="M2498">
        <v>0</v>
      </c>
      <c r="N2498">
        <v>0.976785389677294</v>
      </c>
    </row>
    <row r="2499" spans="2:14" x14ac:dyDescent="0.25">
      <c r="B2499" t="s">
        <v>14</v>
      </c>
      <c r="C2499" s="1">
        <v>46213.999988425923</v>
      </c>
      <c r="D2499">
        <v>25.151848600500401</v>
      </c>
      <c r="E2499">
        <v>875779.62083713699</v>
      </c>
      <c r="F2499" s="1">
        <v>46213.099305555559</v>
      </c>
      <c r="G2499">
        <v>52.873303969916599</v>
      </c>
      <c r="H2499" t="s">
        <v>28</v>
      </c>
      <c r="J2499" t="s">
        <v>16</v>
      </c>
      <c r="K2499">
        <v>896593.69406259502</v>
      </c>
      <c r="L2499" t="s">
        <v>17</v>
      </c>
      <c r="M2499">
        <v>0</v>
      </c>
      <c r="N2499">
        <v>0.976785389677294</v>
      </c>
    </row>
    <row r="2500" spans="2:14" x14ac:dyDescent="0.25">
      <c r="B2500" t="s">
        <v>14</v>
      </c>
      <c r="C2500" s="1">
        <v>46212.999988425923</v>
      </c>
      <c r="D2500">
        <v>25.151848600500401</v>
      </c>
      <c r="E2500">
        <v>247283.86894654101</v>
      </c>
      <c r="F2500" s="1">
        <v>46210.605798611112</v>
      </c>
      <c r="G2500">
        <v>52.873303969916599</v>
      </c>
      <c r="H2500" t="s">
        <v>28</v>
      </c>
      <c r="J2500" t="s">
        <v>16</v>
      </c>
      <c r="K2500">
        <v>896593.69406259502</v>
      </c>
      <c r="L2500" t="s">
        <v>17</v>
      </c>
      <c r="M2500">
        <v>-628495.75189059495</v>
      </c>
      <c r="N2500">
        <v>0.275803711964627</v>
      </c>
    </row>
    <row r="2501" spans="2:14" x14ac:dyDescent="0.25">
      <c r="B2501" t="s">
        <v>14</v>
      </c>
      <c r="C2501" s="1">
        <v>46211.999988425923</v>
      </c>
      <c r="D2501">
        <v>25.151848600500401</v>
      </c>
      <c r="E2501">
        <v>247283.86894654101</v>
      </c>
      <c r="F2501" s="1">
        <v>46210.605798611112</v>
      </c>
      <c r="G2501">
        <v>52.873303969916599</v>
      </c>
      <c r="H2501" t="s">
        <v>28</v>
      </c>
      <c r="J2501" t="s">
        <v>16</v>
      </c>
      <c r="K2501">
        <v>896593.69406259502</v>
      </c>
      <c r="L2501" t="s">
        <v>17</v>
      </c>
      <c r="M2501">
        <v>0</v>
      </c>
      <c r="N2501">
        <v>0.275803711964627</v>
      </c>
    </row>
    <row r="2502" spans="2:14" x14ac:dyDescent="0.25">
      <c r="B2502" t="s">
        <v>14</v>
      </c>
      <c r="C2502" s="1">
        <v>46210.999988425923</v>
      </c>
      <c r="D2502">
        <v>25.151848600500401</v>
      </c>
      <c r="E2502">
        <v>247283.86894654101</v>
      </c>
      <c r="F2502" s="1">
        <v>46210.605798611112</v>
      </c>
      <c r="G2502">
        <v>52.873303969916599</v>
      </c>
      <c r="H2502" t="s">
        <v>28</v>
      </c>
      <c r="J2502" t="s">
        <v>16</v>
      </c>
      <c r="K2502">
        <v>896593.69406259502</v>
      </c>
      <c r="L2502" t="s">
        <v>17</v>
      </c>
      <c r="M2502">
        <v>0</v>
      </c>
      <c r="N2502">
        <v>0.275803711964627</v>
      </c>
    </row>
    <row r="2503" spans="2:14" x14ac:dyDescent="0.25">
      <c r="B2503" t="s">
        <v>14</v>
      </c>
      <c r="C2503" s="1">
        <v>46209.999988425923</v>
      </c>
      <c r="D2503">
        <v>25.151848600500401</v>
      </c>
      <c r="E2503">
        <v>262962.37976026302</v>
      </c>
      <c r="F2503" s="1">
        <v>46207.099131944444</v>
      </c>
      <c r="G2503">
        <v>52.873303969916599</v>
      </c>
      <c r="H2503" t="s">
        <v>28</v>
      </c>
      <c r="J2503" t="s">
        <v>16</v>
      </c>
      <c r="K2503">
        <v>896593.69406259502</v>
      </c>
      <c r="L2503" t="s">
        <v>17</v>
      </c>
      <c r="M2503">
        <v>15678.510813721799</v>
      </c>
      <c r="N2503">
        <v>0.29329046311796197</v>
      </c>
    </row>
    <row r="2504" spans="2:14" x14ac:dyDescent="0.25">
      <c r="B2504" t="s">
        <v>14</v>
      </c>
      <c r="C2504" s="1">
        <v>46208.999988425923</v>
      </c>
      <c r="D2504">
        <v>25.151848600500401</v>
      </c>
      <c r="E2504">
        <v>262962.37976026302</v>
      </c>
      <c r="F2504" s="1">
        <v>46207.099131944444</v>
      </c>
      <c r="G2504">
        <v>52.873303969916599</v>
      </c>
      <c r="H2504" t="s">
        <v>28</v>
      </c>
      <c r="J2504" t="s">
        <v>16</v>
      </c>
      <c r="K2504">
        <v>896593.69406259502</v>
      </c>
      <c r="L2504" t="s">
        <v>17</v>
      </c>
      <c r="M2504">
        <v>0</v>
      </c>
      <c r="N2504">
        <v>0.29329046311796197</v>
      </c>
    </row>
    <row r="2505" spans="2:14" x14ac:dyDescent="0.25">
      <c r="B2505" t="s">
        <v>14</v>
      </c>
      <c r="C2505" s="1">
        <v>46207.999988425923</v>
      </c>
      <c r="D2505">
        <v>25.151848600500401</v>
      </c>
      <c r="E2505">
        <v>262962.37976026302</v>
      </c>
      <c r="F2505" s="1">
        <v>46207.099131944444</v>
      </c>
      <c r="G2505">
        <v>52.873303969916599</v>
      </c>
      <c r="H2505" t="s">
        <v>28</v>
      </c>
      <c r="J2505" t="s">
        <v>16</v>
      </c>
      <c r="K2505">
        <v>896593.69406259502</v>
      </c>
      <c r="L2505" t="s">
        <v>17</v>
      </c>
      <c r="M2505">
        <v>0</v>
      </c>
      <c r="N2505">
        <v>0.29329046311796197</v>
      </c>
    </row>
    <row r="2506" spans="2:14" x14ac:dyDescent="0.25">
      <c r="B2506" t="s">
        <v>14</v>
      </c>
      <c r="C2506" s="1">
        <v>46206.999988425923</v>
      </c>
      <c r="D2506">
        <v>25.151848600500401</v>
      </c>
      <c r="E2506">
        <v>218346.00718920201</v>
      </c>
      <c r="F2506" s="1">
        <v>46204.605509259258</v>
      </c>
      <c r="G2506">
        <v>52.873303969916599</v>
      </c>
      <c r="H2506" t="s">
        <v>28</v>
      </c>
      <c r="J2506" t="s">
        <v>16</v>
      </c>
      <c r="K2506">
        <v>896593.69406259502</v>
      </c>
      <c r="L2506" t="s">
        <v>17</v>
      </c>
      <c r="M2506">
        <v>-44616.372571060601</v>
      </c>
      <c r="N2506">
        <v>0.24352837705097499</v>
      </c>
    </row>
    <row r="2507" spans="2:14" x14ac:dyDescent="0.25">
      <c r="B2507" t="s">
        <v>14</v>
      </c>
      <c r="C2507" s="1">
        <v>46205.999988425923</v>
      </c>
      <c r="D2507">
        <v>25.151848600500401</v>
      </c>
      <c r="E2507">
        <v>218346.00718920201</v>
      </c>
      <c r="F2507" s="1">
        <v>46204.605509259258</v>
      </c>
      <c r="G2507">
        <v>52.873303969916599</v>
      </c>
      <c r="H2507" t="s">
        <v>28</v>
      </c>
      <c r="J2507" t="s">
        <v>16</v>
      </c>
      <c r="K2507">
        <v>896593.69406259502</v>
      </c>
      <c r="L2507" t="s">
        <v>17</v>
      </c>
      <c r="M2507">
        <v>0</v>
      </c>
      <c r="N2507">
        <v>0.24352837705097499</v>
      </c>
    </row>
    <row r="2508" spans="2:14" x14ac:dyDescent="0.25">
      <c r="B2508" t="s">
        <v>14</v>
      </c>
      <c r="C2508" s="1">
        <v>46204.999988425923</v>
      </c>
      <c r="D2508">
        <v>25.151848600500401</v>
      </c>
      <c r="E2508">
        <v>218346.00718920201</v>
      </c>
      <c r="F2508" s="1">
        <v>46204.605509259258</v>
      </c>
      <c r="G2508">
        <v>52.873303969916599</v>
      </c>
      <c r="H2508" t="s">
        <v>28</v>
      </c>
      <c r="J2508" t="s">
        <v>16</v>
      </c>
      <c r="K2508">
        <v>896593.69406259502</v>
      </c>
      <c r="L2508" t="s">
        <v>17</v>
      </c>
      <c r="M2508">
        <v>0</v>
      </c>
      <c r="N2508">
        <v>0.24352837705097499</v>
      </c>
    </row>
    <row r="2509" spans="2:14" x14ac:dyDescent="0.25">
      <c r="B2509" t="s">
        <v>14</v>
      </c>
      <c r="C2509" s="1">
        <v>46203.999988425923</v>
      </c>
      <c r="D2509">
        <v>25.151848600500401</v>
      </c>
      <c r="E2509">
        <v>261220.24058310501</v>
      </c>
      <c r="F2509" s="1">
        <v>46201.099305555559</v>
      </c>
      <c r="G2509">
        <v>52.873303969916599</v>
      </c>
      <c r="H2509" t="s">
        <v>28</v>
      </c>
      <c r="J2509" t="s">
        <v>16</v>
      </c>
      <c r="K2509">
        <v>896593.69406259502</v>
      </c>
      <c r="L2509" t="s">
        <v>17</v>
      </c>
      <c r="M2509">
        <v>42874.233393902403</v>
      </c>
      <c r="N2509">
        <v>0.29134739884180799</v>
      </c>
    </row>
    <row r="2510" spans="2:14" x14ac:dyDescent="0.25">
      <c r="B2510" t="s">
        <v>14</v>
      </c>
      <c r="C2510" s="1">
        <v>46202.999988425923</v>
      </c>
      <c r="D2510">
        <v>25.151848600500401</v>
      </c>
      <c r="E2510">
        <v>261220.24058310501</v>
      </c>
      <c r="F2510" s="1">
        <v>46201.099305555559</v>
      </c>
      <c r="G2510">
        <v>52.873303969916599</v>
      </c>
      <c r="H2510" t="s">
        <v>28</v>
      </c>
      <c r="J2510" t="s">
        <v>16</v>
      </c>
      <c r="K2510">
        <v>896593.69406259502</v>
      </c>
      <c r="L2510" t="s">
        <v>17</v>
      </c>
      <c r="M2510">
        <v>0</v>
      </c>
      <c r="N2510">
        <v>0.29134739884180799</v>
      </c>
    </row>
    <row r="2511" spans="2:14" x14ac:dyDescent="0.25">
      <c r="B2511" t="s">
        <v>14</v>
      </c>
      <c r="C2511" s="1">
        <v>46201.999988425923</v>
      </c>
      <c r="D2511">
        <v>25.151848600500401</v>
      </c>
      <c r="E2511">
        <v>261220.24058310501</v>
      </c>
      <c r="F2511" s="1">
        <v>46201.099305555559</v>
      </c>
      <c r="G2511">
        <v>52.873303969916599</v>
      </c>
      <c r="H2511" t="s">
        <v>28</v>
      </c>
      <c r="J2511" t="s">
        <v>16</v>
      </c>
      <c r="K2511">
        <v>896593.69406259502</v>
      </c>
      <c r="L2511" t="s">
        <v>17</v>
      </c>
      <c r="M2511">
        <v>0</v>
      </c>
      <c r="N2511">
        <v>0.29134739884180799</v>
      </c>
    </row>
    <row r="2512" spans="2:14" x14ac:dyDescent="0.25">
      <c r="B2512" t="s">
        <v>14</v>
      </c>
      <c r="C2512" s="1">
        <v>46200.999988425923</v>
      </c>
      <c r="D2512">
        <v>25.151848600500401</v>
      </c>
      <c r="E2512">
        <v>249642.07561758801</v>
      </c>
      <c r="F2512" s="1">
        <v>46198.605787037035</v>
      </c>
      <c r="G2512">
        <v>52.873303969916599</v>
      </c>
      <c r="H2512" t="s">
        <v>28</v>
      </c>
      <c r="J2512" t="s">
        <v>16</v>
      </c>
      <c r="K2512">
        <v>896593.69406259502</v>
      </c>
      <c r="L2512" t="s">
        <v>17</v>
      </c>
      <c r="M2512">
        <v>-11578.1649655166</v>
      </c>
      <c r="N2512">
        <v>0.27843389627962201</v>
      </c>
    </row>
    <row r="2513" spans="2:14" x14ac:dyDescent="0.25">
      <c r="B2513" t="s">
        <v>14</v>
      </c>
      <c r="C2513" s="1">
        <v>46199.999988425923</v>
      </c>
      <c r="D2513">
        <v>25.151848600500401</v>
      </c>
      <c r="E2513">
        <v>249642.07561758801</v>
      </c>
      <c r="F2513" s="1">
        <v>46198.605787037035</v>
      </c>
      <c r="G2513">
        <v>52.873303969916599</v>
      </c>
      <c r="H2513" t="s">
        <v>28</v>
      </c>
      <c r="J2513" t="s">
        <v>16</v>
      </c>
      <c r="K2513">
        <v>896593.69406259502</v>
      </c>
      <c r="L2513" t="s">
        <v>17</v>
      </c>
      <c r="M2513">
        <v>0</v>
      </c>
      <c r="N2513">
        <v>0.27843389627962201</v>
      </c>
    </row>
    <row r="2514" spans="2:14" x14ac:dyDescent="0.25">
      <c r="B2514" t="s">
        <v>14</v>
      </c>
      <c r="C2514" s="1">
        <v>46198.999988425923</v>
      </c>
      <c r="D2514">
        <v>25.151848600500401</v>
      </c>
      <c r="E2514">
        <v>249642.07561758801</v>
      </c>
      <c r="F2514" s="1">
        <v>46198.605787037035</v>
      </c>
      <c r="G2514">
        <v>52.873303969916599</v>
      </c>
      <c r="H2514" t="s">
        <v>28</v>
      </c>
      <c r="J2514" t="s">
        <v>16</v>
      </c>
      <c r="K2514">
        <v>896593.69406259502</v>
      </c>
      <c r="L2514" t="s">
        <v>17</v>
      </c>
      <c r="M2514">
        <v>0</v>
      </c>
      <c r="N2514">
        <v>0.27843389627962201</v>
      </c>
    </row>
    <row r="2515" spans="2:14" x14ac:dyDescent="0.25">
      <c r="B2515" t="s">
        <v>14</v>
      </c>
      <c r="C2515" s="1">
        <v>46197.999988425923</v>
      </c>
      <c r="D2515">
        <v>25.151848600500401</v>
      </c>
      <c r="E2515">
        <v>557674.24724357005</v>
      </c>
      <c r="F2515" s="1">
        <v>46194.099780092591</v>
      </c>
      <c r="G2515">
        <v>52.873303969916599</v>
      </c>
      <c r="H2515" t="s">
        <v>28</v>
      </c>
      <c r="J2515" t="s">
        <v>16</v>
      </c>
      <c r="K2515">
        <v>896593.69406259502</v>
      </c>
      <c r="L2515" t="s">
        <v>17</v>
      </c>
      <c r="M2515">
        <v>308032.17162598099</v>
      </c>
      <c r="N2515">
        <v>0.62199215869639601</v>
      </c>
    </row>
    <row r="2516" spans="2:14" x14ac:dyDescent="0.25">
      <c r="B2516" t="s">
        <v>14</v>
      </c>
      <c r="C2516" s="1">
        <v>46196.999988425923</v>
      </c>
      <c r="D2516">
        <v>25.151848600500401</v>
      </c>
      <c r="E2516">
        <v>557674.24724357005</v>
      </c>
      <c r="F2516" s="1">
        <v>46194.099780092591</v>
      </c>
      <c r="G2516">
        <v>52.873303969916599</v>
      </c>
      <c r="H2516" t="s">
        <v>28</v>
      </c>
      <c r="J2516" t="s">
        <v>16</v>
      </c>
      <c r="K2516">
        <v>896593.69406259502</v>
      </c>
      <c r="L2516" t="s">
        <v>17</v>
      </c>
      <c r="M2516">
        <v>0</v>
      </c>
      <c r="N2516">
        <v>0.62199215869639601</v>
      </c>
    </row>
    <row r="2517" spans="2:14" x14ac:dyDescent="0.25">
      <c r="B2517" t="s">
        <v>14</v>
      </c>
      <c r="C2517" s="1">
        <v>46195.999988425923</v>
      </c>
      <c r="D2517">
        <v>25.151848600500401</v>
      </c>
      <c r="E2517">
        <v>557674.24724357005</v>
      </c>
      <c r="F2517" s="1">
        <v>46194.099780092591</v>
      </c>
      <c r="G2517">
        <v>52.873303969916599</v>
      </c>
      <c r="H2517" t="s">
        <v>28</v>
      </c>
      <c r="J2517" t="s">
        <v>16</v>
      </c>
      <c r="K2517">
        <v>896593.69406259502</v>
      </c>
      <c r="L2517" t="s">
        <v>17</v>
      </c>
      <c r="M2517">
        <v>0</v>
      </c>
      <c r="N2517">
        <v>0.62199215869639601</v>
      </c>
    </row>
    <row r="2518" spans="2:14" x14ac:dyDescent="0.25">
      <c r="B2518" t="s">
        <v>14</v>
      </c>
      <c r="C2518" s="1">
        <v>46194.999988425923</v>
      </c>
      <c r="D2518">
        <v>25.151848600500401</v>
      </c>
      <c r="E2518">
        <v>557674.24724357005</v>
      </c>
      <c r="F2518" s="1">
        <v>46194.099780092591</v>
      </c>
      <c r="G2518">
        <v>52.873303969916599</v>
      </c>
      <c r="H2518" t="s">
        <v>28</v>
      </c>
      <c r="J2518" t="s">
        <v>16</v>
      </c>
      <c r="K2518">
        <v>896593.69406259502</v>
      </c>
      <c r="L2518" t="s">
        <v>17</v>
      </c>
      <c r="M2518">
        <v>0</v>
      </c>
      <c r="N2518">
        <v>0.62199215869639601</v>
      </c>
    </row>
    <row r="2519" spans="2:14" x14ac:dyDescent="0.25">
      <c r="B2519" t="s">
        <v>14</v>
      </c>
      <c r="C2519" s="1">
        <v>46193.999988425923</v>
      </c>
      <c r="D2519">
        <v>25.151848600500401</v>
      </c>
      <c r="E2519">
        <v>896593.69406259502</v>
      </c>
      <c r="F2519" s="1">
        <v>46191.606261574074</v>
      </c>
      <c r="G2519">
        <v>52.873303969916599</v>
      </c>
      <c r="H2519" t="s">
        <v>28</v>
      </c>
      <c r="J2519" t="s">
        <v>16</v>
      </c>
      <c r="K2519">
        <v>896593.69406259502</v>
      </c>
      <c r="L2519" t="s">
        <v>17</v>
      </c>
      <c r="M2519">
        <v>338919.44681902498</v>
      </c>
      <c r="N2519">
        <v>1</v>
      </c>
    </row>
    <row r="2520" spans="2:14" x14ac:dyDescent="0.25">
      <c r="B2520" t="s">
        <v>14</v>
      </c>
      <c r="C2520" s="1">
        <v>46192.999988425923</v>
      </c>
      <c r="D2520">
        <v>25.151848600500401</v>
      </c>
      <c r="E2520">
        <v>896593.69406259502</v>
      </c>
      <c r="F2520" s="1">
        <v>46191.606261574074</v>
      </c>
      <c r="G2520">
        <v>52.873303969916599</v>
      </c>
      <c r="H2520" t="s">
        <v>28</v>
      </c>
      <c r="J2520" t="s">
        <v>16</v>
      </c>
      <c r="K2520">
        <v>896593.69406259502</v>
      </c>
      <c r="L2520" t="s">
        <v>17</v>
      </c>
      <c r="M2520">
        <v>0</v>
      </c>
      <c r="N2520">
        <v>1</v>
      </c>
    </row>
    <row r="2521" spans="2:14" x14ac:dyDescent="0.25">
      <c r="B2521" t="s">
        <v>14</v>
      </c>
      <c r="C2521" s="1">
        <v>46191.999988425923</v>
      </c>
      <c r="D2521">
        <v>25.151848600500401</v>
      </c>
      <c r="E2521">
        <v>896593.69406259502</v>
      </c>
      <c r="F2521" s="1">
        <v>46191.606261574074</v>
      </c>
      <c r="G2521">
        <v>52.873303969916599</v>
      </c>
      <c r="H2521" t="s">
        <v>28</v>
      </c>
      <c r="J2521" t="s">
        <v>16</v>
      </c>
      <c r="K2521">
        <v>896593.69406259502</v>
      </c>
      <c r="L2521" t="s">
        <v>17</v>
      </c>
      <c r="M2521">
        <v>0</v>
      </c>
      <c r="N2521">
        <v>1</v>
      </c>
    </row>
    <row r="2522" spans="2:14" x14ac:dyDescent="0.25">
      <c r="B2522" t="s">
        <v>14</v>
      </c>
      <c r="C2522" s="1">
        <v>46190.999988425923</v>
      </c>
      <c r="D2522">
        <v>25.151848600500401</v>
      </c>
      <c r="E2522">
        <v>443234.68677217199</v>
      </c>
      <c r="F2522" s="1">
        <v>46189.099270833336</v>
      </c>
      <c r="G2522">
        <v>52.873303969916599</v>
      </c>
      <c r="H2522" t="s">
        <v>28</v>
      </c>
      <c r="J2522" t="s">
        <v>16</v>
      </c>
      <c r="K2522">
        <v>896593.69406259502</v>
      </c>
      <c r="L2522" t="s">
        <v>17</v>
      </c>
      <c r="M2522">
        <v>-453359.00729042199</v>
      </c>
      <c r="N2522">
        <v>0.494354008629943</v>
      </c>
    </row>
    <row r="2523" spans="2:14" x14ac:dyDescent="0.25">
      <c r="B2523" t="s">
        <v>14</v>
      </c>
      <c r="C2523" s="1">
        <v>46189.999988425923</v>
      </c>
      <c r="D2523">
        <v>25.151848600500401</v>
      </c>
      <c r="E2523">
        <v>443234.68677217199</v>
      </c>
      <c r="F2523" s="1">
        <v>46189.099270833336</v>
      </c>
      <c r="G2523">
        <v>52.873303969916599</v>
      </c>
      <c r="H2523" t="s">
        <v>28</v>
      </c>
      <c r="J2523" t="s">
        <v>16</v>
      </c>
      <c r="K2523">
        <v>896593.69406259502</v>
      </c>
      <c r="L2523" t="s">
        <v>17</v>
      </c>
      <c r="M2523">
        <v>0</v>
      </c>
      <c r="N2523">
        <v>0.494354008629943</v>
      </c>
    </row>
    <row r="2524" spans="2:14" x14ac:dyDescent="0.25">
      <c r="B2524" t="s">
        <v>14</v>
      </c>
      <c r="C2524" s="1">
        <v>46188.999988425923</v>
      </c>
      <c r="D2524">
        <v>25.151848600500401</v>
      </c>
      <c r="E2524">
        <v>896593.69406259502</v>
      </c>
      <c r="F2524" s="1">
        <v>46186.60564814815</v>
      </c>
      <c r="G2524">
        <v>52.873303969916599</v>
      </c>
      <c r="H2524" t="s">
        <v>28</v>
      </c>
      <c r="J2524" t="s">
        <v>16</v>
      </c>
      <c r="K2524">
        <v>896593.69406259502</v>
      </c>
      <c r="L2524" t="s">
        <v>17</v>
      </c>
      <c r="M2524">
        <v>453359.00729042199</v>
      </c>
      <c r="N2524">
        <v>1</v>
      </c>
    </row>
    <row r="2525" spans="2:14" x14ac:dyDescent="0.25">
      <c r="B2525" t="s">
        <v>14</v>
      </c>
      <c r="C2525" s="1">
        <v>46187.999988425923</v>
      </c>
      <c r="D2525">
        <v>25.151848600500401</v>
      </c>
      <c r="E2525">
        <v>896593.69406259502</v>
      </c>
      <c r="F2525" s="1">
        <v>46186.60564814815</v>
      </c>
      <c r="G2525">
        <v>52.873303969916599</v>
      </c>
      <c r="H2525" t="s">
        <v>28</v>
      </c>
      <c r="J2525" t="s">
        <v>16</v>
      </c>
      <c r="K2525">
        <v>896593.69406259502</v>
      </c>
      <c r="L2525" t="s">
        <v>17</v>
      </c>
      <c r="M2525">
        <v>0</v>
      </c>
      <c r="N2525">
        <v>1</v>
      </c>
    </row>
    <row r="2526" spans="2:14" x14ac:dyDescent="0.25">
      <c r="B2526" t="s">
        <v>14</v>
      </c>
      <c r="C2526" s="1">
        <v>46186.999988425923</v>
      </c>
      <c r="D2526">
        <v>25.151848600500401</v>
      </c>
      <c r="E2526">
        <v>896593.69406259502</v>
      </c>
      <c r="F2526" s="1">
        <v>46186.60564814815</v>
      </c>
      <c r="G2526">
        <v>52.873303969916599</v>
      </c>
      <c r="H2526" t="s">
        <v>28</v>
      </c>
      <c r="J2526" t="s">
        <v>16</v>
      </c>
      <c r="K2526">
        <v>896593.69406259502</v>
      </c>
      <c r="L2526" t="s">
        <v>17</v>
      </c>
      <c r="M2526">
        <v>0</v>
      </c>
      <c r="N2526">
        <v>1</v>
      </c>
    </row>
    <row r="2527" spans="2:14" x14ac:dyDescent="0.25">
      <c r="B2527" t="s">
        <v>14</v>
      </c>
      <c r="C2527" s="1">
        <v>46185.999988425923</v>
      </c>
      <c r="D2527">
        <v>25.151848600500401</v>
      </c>
      <c r="E2527">
        <v>270083.98094815802</v>
      </c>
      <c r="F2527" s="1">
        <v>46182.099780092591</v>
      </c>
      <c r="G2527">
        <v>52.873303969916599</v>
      </c>
      <c r="H2527" t="s">
        <v>28</v>
      </c>
      <c r="J2527" t="s">
        <v>16</v>
      </c>
      <c r="K2527">
        <v>896593.69406259502</v>
      </c>
      <c r="L2527" t="s">
        <v>17</v>
      </c>
      <c r="M2527">
        <v>-626509.71311443602</v>
      </c>
      <c r="N2527">
        <v>0.301233415689518</v>
      </c>
    </row>
    <row r="2528" spans="2:14" x14ac:dyDescent="0.25">
      <c r="B2528" t="s">
        <v>14</v>
      </c>
      <c r="C2528" s="1">
        <v>46184.999988425923</v>
      </c>
      <c r="D2528">
        <v>25.151848600500401</v>
      </c>
      <c r="E2528">
        <v>270083.98094815802</v>
      </c>
      <c r="F2528" s="1">
        <v>46182.099780092591</v>
      </c>
      <c r="G2528">
        <v>52.873303969916599</v>
      </c>
      <c r="H2528" t="s">
        <v>28</v>
      </c>
      <c r="J2528" t="s">
        <v>16</v>
      </c>
      <c r="K2528">
        <v>896593.69406259502</v>
      </c>
      <c r="L2528" t="s">
        <v>17</v>
      </c>
      <c r="M2528">
        <v>0</v>
      </c>
      <c r="N2528">
        <v>0.301233415689518</v>
      </c>
    </row>
    <row r="2529" spans="2:14" x14ac:dyDescent="0.25">
      <c r="B2529" t="s">
        <v>14</v>
      </c>
      <c r="C2529" s="1">
        <v>46183.999988425923</v>
      </c>
      <c r="D2529">
        <v>25.151848600500401</v>
      </c>
      <c r="E2529">
        <v>270083.98094815802</v>
      </c>
      <c r="F2529" s="1">
        <v>46182.099780092591</v>
      </c>
      <c r="G2529">
        <v>52.873303969916599</v>
      </c>
      <c r="H2529" t="s">
        <v>28</v>
      </c>
      <c r="J2529" t="s">
        <v>16</v>
      </c>
      <c r="K2529">
        <v>896593.69406259502</v>
      </c>
      <c r="L2529" t="s">
        <v>17</v>
      </c>
      <c r="M2529">
        <v>0</v>
      </c>
      <c r="N2529">
        <v>0.301233415689518</v>
      </c>
    </row>
    <row r="2530" spans="2:14" x14ac:dyDescent="0.25">
      <c r="B2530" t="s">
        <v>14</v>
      </c>
      <c r="C2530" s="1">
        <v>46182.999988425923</v>
      </c>
      <c r="D2530">
        <v>25.151848600500401</v>
      </c>
      <c r="E2530">
        <v>270083.98094815802</v>
      </c>
      <c r="F2530" s="1">
        <v>46182.099780092591</v>
      </c>
      <c r="G2530">
        <v>52.873303969916599</v>
      </c>
      <c r="H2530" t="s">
        <v>28</v>
      </c>
      <c r="J2530" t="s">
        <v>16</v>
      </c>
      <c r="K2530">
        <v>896593.69406259502</v>
      </c>
      <c r="L2530" t="s">
        <v>17</v>
      </c>
      <c r="M2530">
        <v>0</v>
      </c>
      <c r="N2530">
        <v>0.301233415689518</v>
      </c>
    </row>
    <row r="2531" spans="2:14" x14ac:dyDescent="0.25">
      <c r="B2531" t="s">
        <v>14</v>
      </c>
      <c r="C2531" s="1">
        <v>46181.999988425923</v>
      </c>
      <c r="D2531">
        <v>25.151848600500401</v>
      </c>
      <c r="E2531">
        <v>896593.69406259502</v>
      </c>
      <c r="F2531" s="1">
        <v>46179.606273148151</v>
      </c>
      <c r="G2531">
        <v>52.873303969916599</v>
      </c>
      <c r="H2531" t="s">
        <v>28</v>
      </c>
      <c r="J2531" t="s">
        <v>16</v>
      </c>
      <c r="K2531">
        <v>896593.69406259502</v>
      </c>
      <c r="L2531" t="s">
        <v>17</v>
      </c>
      <c r="M2531">
        <v>626509.71311443602</v>
      </c>
      <c r="N2531">
        <v>1</v>
      </c>
    </row>
    <row r="2532" spans="2:14" x14ac:dyDescent="0.25">
      <c r="B2532" t="s">
        <v>14</v>
      </c>
      <c r="C2532" s="1">
        <v>46180.999988425923</v>
      </c>
      <c r="D2532">
        <v>25.151848600500401</v>
      </c>
      <c r="E2532">
        <v>896593.69406259502</v>
      </c>
      <c r="F2532" s="1">
        <v>46179.606273148151</v>
      </c>
      <c r="G2532">
        <v>52.873303969916599</v>
      </c>
      <c r="H2532" t="s">
        <v>28</v>
      </c>
      <c r="J2532" t="s">
        <v>16</v>
      </c>
      <c r="K2532">
        <v>896593.69406259502</v>
      </c>
      <c r="L2532" t="s">
        <v>17</v>
      </c>
      <c r="M2532">
        <v>0</v>
      </c>
      <c r="N2532">
        <v>1</v>
      </c>
    </row>
    <row r="2533" spans="2:14" x14ac:dyDescent="0.25">
      <c r="B2533" t="s">
        <v>14</v>
      </c>
      <c r="C2533" s="1">
        <v>46179.999988425923</v>
      </c>
      <c r="D2533">
        <v>25.151848600500401</v>
      </c>
      <c r="E2533">
        <v>896593.69406259502</v>
      </c>
      <c r="F2533" s="1">
        <v>46179.606273148151</v>
      </c>
      <c r="G2533">
        <v>52.873303969916599</v>
      </c>
      <c r="H2533" t="s">
        <v>28</v>
      </c>
      <c r="J2533" t="s">
        <v>16</v>
      </c>
      <c r="K2533">
        <v>896593.69406259502</v>
      </c>
      <c r="L2533" t="s">
        <v>17</v>
      </c>
      <c r="M2533">
        <v>0</v>
      </c>
      <c r="N2533">
        <v>1</v>
      </c>
    </row>
    <row r="2534" spans="2:14" x14ac:dyDescent="0.25">
      <c r="B2534" t="s">
        <v>14</v>
      </c>
      <c r="C2534" s="1">
        <v>46178.999988425923</v>
      </c>
      <c r="D2534">
        <v>25.151848600500401</v>
      </c>
      <c r="E2534">
        <v>896593.69406259502</v>
      </c>
      <c r="F2534" s="1">
        <v>46177.099259259259</v>
      </c>
      <c r="G2534">
        <v>52.873303969916599</v>
      </c>
      <c r="H2534" t="s">
        <v>28</v>
      </c>
      <c r="J2534" t="s">
        <v>16</v>
      </c>
      <c r="K2534">
        <v>896593.69406259502</v>
      </c>
      <c r="L2534" t="s">
        <v>17</v>
      </c>
      <c r="M2534">
        <v>0</v>
      </c>
      <c r="N2534">
        <v>1</v>
      </c>
    </row>
    <row r="2535" spans="2:14" x14ac:dyDescent="0.25">
      <c r="B2535" t="s">
        <v>14</v>
      </c>
      <c r="C2535" s="1">
        <v>46177.999988425923</v>
      </c>
      <c r="D2535">
        <v>25.151848600500401</v>
      </c>
      <c r="E2535">
        <v>896593.69406259502</v>
      </c>
      <c r="F2535" s="1">
        <v>46177.099259259259</v>
      </c>
      <c r="G2535">
        <v>52.873303969916599</v>
      </c>
      <c r="H2535" t="s">
        <v>28</v>
      </c>
      <c r="J2535" t="s">
        <v>16</v>
      </c>
      <c r="K2535">
        <v>896593.69406259502</v>
      </c>
      <c r="L2535" t="s">
        <v>17</v>
      </c>
      <c r="M2535">
        <v>0</v>
      </c>
      <c r="N2535">
        <v>1</v>
      </c>
    </row>
    <row r="2536" spans="2:14" x14ac:dyDescent="0.25">
      <c r="B2536" t="s">
        <v>14</v>
      </c>
      <c r="C2536" s="1">
        <v>46176.999988425923</v>
      </c>
      <c r="D2536">
        <v>25.151848600500401</v>
      </c>
      <c r="E2536">
        <v>896593.69406259502</v>
      </c>
      <c r="F2536" s="1">
        <v>46176.099143518521</v>
      </c>
      <c r="G2536">
        <v>52.873303969916599</v>
      </c>
      <c r="H2536" t="s">
        <v>28</v>
      </c>
      <c r="J2536" t="s">
        <v>16</v>
      </c>
      <c r="K2536">
        <v>896593.69406259502</v>
      </c>
      <c r="L2536" t="s">
        <v>17</v>
      </c>
      <c r="M2536">
        <v>0</v>
      </c>
      <c r="N2536">
        <v>1</v>
      </c>
    </row>
    <row r="2537" spans="2:14" x14ac:dyDescent="0.25">
      <c r="B2537" t="s">
        <v>14</v>
      </c>
      <c r="C2537" s="1">
        <v>46175.999988425923</v>
      </c>
      <c r="D2537">
        <v>25.151848600500401</v>
      </c>
      <c r="E2537">
        <v>448673.345857026</v>
      </c>
      <c r="F2537" s="1">
        <v>46173.605520833335</v>
      </c>
      <c r="G2537">
        <v>52.873303969916599</v>
      </c>
      <c r="H2537" t="s">
        <v>28</v>
      </c>
      <c r="J2537" t="s">
        <v>16</v>
      </c>
      <c r="K2537">
        <v>896593.69406259502</v>
      </c>
      <c r="L2537" t="s">
        <v>17</v>
      </c>
      <c r="M2537">
        <v>-447920.34820556798</v>
      </c>
      <c r="N2537">
        <v>0.50041992134031499</v>
      </c>
    </row>
    <row r="2538" spans="2:14" x14ac:dyDescent="0.25">
      <c r="B2538" t="s">
        <v>14</v>
      </c>
      <c r="C2538" s="1">
        <v>46174.999988425923</v>
      </c>
      <c r="D2538">
        <v>25.151848600500401</v>
      </c>
      <c r="E2538">
        <v>448673.345857026</v>
      </c>
      <c r="F2538" s="1">
        <v>46173.605520833335</v>
      </c>
      <c r="G2538">
        <v>52.873303969916599</v>
      </c>
      <c r="H2538" t="s">
        <v>28</v>
      </c>
      <c r="J2538" t="s">
        <v>16</v>
      </c>
      <c r="K2538">
        <v>896593.69406259502</v>
      </c>
      <c r="L2538" t="s">
        <v>17</v>
      </c>
      <c r="M2538">
        <v>0</v>
      </c>
      <c r="N2538">
        <v>0.50041992134031499</v>
      </c>
    </row>
    <row r="2539" spans="2:14" x14ac:dyDescent="0.25">
      <c r="B2539" t="s">
        <v>14</v>
      </c>
      <c r="C2539" s="1">
        <v>46173.999988425923</v>
      </c>
      <c r="D2539">
        <v>25.151848600500401</v>
      </c>
      <c r="E2539">
        <v>448673.345857026</v>
      </c>
      <c r="F2539" s="1">
        <v>46173.605520833335</v>
      </c>
      <c r="G2539">
        <v>52.873303969916599</v>
      </c>
      <c r="H2539" t="s">
        <v>28</v>
      </c>
      <c r="J2539" t="s">
        <v>16</v>
      </c>
      <c r="K2539">
        <v>896593.69406259502</v>
      </c>
      <c r="L2539" t="s">
        <v>17</v>
      </c>
      <c r="M2539">
        <v>0</v>
      </c>
      <c r="N2539">
        <v>0.50041992134031499</v>
      </c>
    </row>
    <row r="2540" spans="2:14" x14ac:dyDescent="0.25">
      <c r="B2540" t="s">
        <v>14</v>
      </c>
      <c r="C2540" s="1">
        <v>46172.999988425923</v>
      </c>
      <c r="D2540">
        <v>25.151848600500401</v>
      </c>
      <c r="E2540">
        <v>280840.916071054</v>
      </c>
      <c r="F2540" s="1">
        <v>46170.099791666667</v>
      </c>
      <c r="G2540">
        <v>52.873303969916599</v>
      </c>
      <c r="H2540" t="s">
        <v>28</v>
      </c>
      <c r="J2540" t="s">
        <v>16</v>
      </c>
      <c r="K2540">
        <v>896593.69406259502</v>
      </c>
      <c r="L2540" t="s">
        <v>17</v>
      </c>
      <c r="M2540">
        <v>-167832.429785972</v>
      </c>
      <c r="N2540">
        <v>0.313230973997289</v>
      </c>
    </row>
    <row r="2541" spans="2:14" x14ac:dyDescent="0.25">
      <c r="B2541" t="s">
        <v>14</v>
      </c>
      <c r="C2541" s="1">
        <v>46171.999988425923</v>
      </c>
      <c r="D2541">
        <v>25.151848600500401</v>
      </c>
      <c r="E2541">
        <v>280840.916071054</v>
      </c>
      <c r="F2541" s="1">
        <v>46170.099791666667</v>
      </c>
      <c r="G2541">
        <v>52.873303969916599</v>
      </c>
      <c r="H2541" t="s">
        <v>28</v>
      </c>
      <c r="J2541" t="s">
        <v>16</v>
      </c>
      <c r="K2541">
        <v>896593.69406259502</v>
      </c>
      <c r="L2541" t="s">
        <v>17</v>
      </c>
      <c r="M2541">
        <v>0</v>
      </c>
      <c r="N2541">
        <v>0.313230973997289</v>
      </c>
    </row>
    <row r="2542" spans="2:14" x14ac:dyDescent="0.25">
      <c r="B2542" t="s">
        <v>14</v>
      </c>
      <c r="C2542" s="1">
        <v>46170.999988425923</v>
      </c>
      <c r="D2542">
        <v>25.151848600500401</v>
      </c>
      <c r="E2542">
        <v>280840.916071054</v>
      </c>
      <c r="F2542" s="1">
        <v>46170.099791666667</v>
      </c>
      <c r="G2542">
        <v>52.873303969916599</v>
      </c>
      <c r="H2542" t="s">
        <v>28</v>
      </c>
      <c r="J2542" t="s">
        <v>16</v>
      </c>
      <c r="K2542">
        <v>896593.69406259502</v>
      </c>
      <c r="L2542" t="s">
        <v>17</v>
      </c>
      <c r="M2542">
        <v>0</v>
      </c>
      <c r="N2542">
        <v>0.313230973997289</v>
      </c>
    </row>
    <row r="2543" spans="2:14" x14ac:dyDescent="0.25">
      <c r="B2543" t="s">
        <v>14</v>
      </c>
      <c r="C2543" s="1">
        <v>46169.999988425923</v>
      </c>
      <c r="D2543">
        <v>25.151848600500401</v>
      </c>
      <c r="E2543">
        <v>896593.69406259502</v>
      </c>
      <c r="F2543" s="1">
        <v>46167.60628472222</v>
      </c>
      <c r="G2543">
        <v>52.873303969916599</v>
      </c>
      <c r="H2543" t="s">
        <v>28</v>
      </c>
      <c r="J2543" t="s">
        <v>16</v>
      </c>
      <c r="K2543">
        <v>896593.69406259502</v>
      </c>
      <c r="L2543" t="s">
        <v>17</v>
      </c>
      <c r="M2543">
        <v>615752.77799154096</v>
      </c>
      <c r="N2543">
        <v>1</v>
      </c>
    </row>
    <row r="2544" spans="2:14" x14ac:dyDescent="0.25">
      <c r="B2544" t="s">
        <v>14</v>
      </c>
      <c r="C2544" s="1">
        <v>46168.999988425923</v>
      </c>
      <c r="D2544">
        <v>25.151848600500401</v>
      </c>
      <c r="E2544">
        <v>896593.69406259502</v>
      </c>
      <c r="F2544" s="1">
        <v>46167.60628472222</v>
      </c>
      <c r="G2544">
        <v>52.873303969916599</v>
      </c>
      <c r="H2544" t="s">
        <v>28</v>
      </c>
      <c r="J2544" t="s">
        <v>16</v>
      </c>
      <c r="K2544">
        <v>896593.69406259502</v>
      </c>
      <c r="L2544" t="s">
        <v>17</v>
      </c>
      <c r="M2544">
        <v>0</v>
      </c>
      <c r="N2544">
        <v>1</v>
      </c>
    </row>
    <row r="2545" spans="2:14" x14ac:dyDescent="0.25">
      <c r="B2545" t="s">
        <v>14</v>
      </c>
      <c r="C2545" s="1">
        <v>46167.999988425923</v>
      </c>
      <c r="D2545">
        <v>25.151848600500401</v>
      </c>
      <c r="E2545">
        <v>896593.69406259502</v>
      </c>
      <c r="F2545" s="1">
        <v>46167.60628472222</v>
      </c>
      <c r="G2545">
        <v>52.873303969916599</v>
      </c>
      <c r="H2545" t="s">
        <v>28</v>
      </c>
      <c r="J2545" t="s">
        <v>16</v>
      </c>
      <c r="K2545">
        <v>896593.69406259502</v>
      </c>
      <c r="L2545" t="s">
        <v>17</v>
      </c>
      <c r="M2545">
        <v>0</v>
      </c>
      <c r="N2545">
        <v>1</v>
      </c>
    </row>
    <row r="2546" spans="2:14" x14ac:dyDescent="0.25">
      <c r="B2546" t="s">
        <v>14</v>
      </c>
      <c r="C2546" s="1">
        <v>46166.999988425923</v>
      </c>
      <c r="D2546">
        <v>25.151848600500401</v>
      </c>
      <c r="E2546">
        <v>323516.77295987698</v>
      </c>
      <c r="F2546" s="1">
        <v>46165.099259259259</v>
      </c>
      <c r="G2546">
        <v>52.873303969916599</v>
      </c>
      <c r="H2546" t="s">
        <v>28</v>
      </c>
      <c r="J2546" t="s">
        <v>16</v>
      </c>
      <c r="K2546">
        <v>896593.69406259502</v>
      </c>
      <c r="L2546" t="s">
        <v>17</v>
      </c>
      <c r="M2546">
        <v>-573076.92110271705</v>
      </c>
      <c r="N2546">
        <v>0.36082874004386101</v>
      </c>
    </row>
    <row r="2547" spans="2:14" x14ac:dyDescent="0.25">
      <c r="B2547" t="s">
        <v>14</v>
      </c>
      <c r="C2547" s="1">
        <v>46165.999988425923</v>
      </c>
      <c r="D2547">
        <v>25.151848600500401</v>
      </c>
      <c r="E2547">
        <v>323516.77295987698</v>
      </c>
      <c r="F2547" s="1">
        <v>46165.099259259259</v>
      </c>
      <c r="G2547">
        <v>52.873303969916599</v>
      </c>
      <c r="H2547" t="s">
        <v>28</v>
      </c>
      <c r="J2547" t="s">
        <v>16</v>
      </c>
      <c r="K2547">
        <v>896593.69406259502</v>
      </c>
      <c r="L2547" t="s">
        <v>17</v>
      </c>
      <c r="M2547">
        <v>0</v>
      </c>
      <c r="N2547">
        <v>0.36082874004386101</v>
      </c>
    </row>
    <row r="2548" spans="2:14" x14ac:dyDescent="0.25">
      <c r="B2548" t="s">
        <v>14</v>
      </c>
      <c r="C2548" s="1">
        <v>46164.999988425923</v>
      </c>
      <c r="D2548">
        <v>25.151848600500401</v>
      </c>
      <c r="E2548">
        <v>281697.71860820899</v>
      </c>
      <c r="F2548" s="1">
        <v>46164.099143518521</v>
      </c>
      <c r="G2548">
        <v>52.873303969916599</v>
      </c>
      <c r="H2548" t="s">
        <v>28</v>
      </c>
      <c r="J2548" t="s">
        <v>16</v>
      </c>
      <c r="K2548">
        <v>896593.69406259502</v>
      </c>
      <c r="L2548" t="s">
        <v>17</v>
      </c>
      <c r="M2548">
        <v>-41819.054351668099</v>
      </c>
      <c r="N2548">
        <v>0.31418659363060603</v>
      </c>
    </row>
    <row r="2549" spans="2:14" x14ac:dyDescent="0.25">
      <c r="B2549" t="s">
        <v>14</v>
      </c>
      <c r="C2549" s="1">
        <v>46163.999988425923</v>
      </c>
      <c r="D2549">
        <v>25.151848600500401</v>
      </c>
      <c r="E2549">
        <v>256490.26279085301</v>
      </c>
      <c r="F2549" s="1">
        <v>46162.605624999997</v>
      </c>
      <c r="G2549">
        <v>52.873303969916599</v>
      </c>
      <c r="H2549" t="s">
        <v>28</v>
      </c>
      <c r="J2549" t="s">
        <v>16</v>
      </c>
      <c r="K2549">
        <v>896593.69406259502</v>
      </c>
      <c r="L2549" t="s">
        <v>17</v>
      </c>
      <c r="M2549">
        <v>-25207.4558173556</v>
      </c>
      <c r="N2549">
        <v>0.28607190134101801</v>
      </c>
    </row>
    <row r="2550" spans="2:14" x14ac:dyDescent="0.25">
      <c r="B2550" t="s">
        <v>14</v>
      </c>
      <c r="C2550" s="1">
        <v>46162.999988425923</v>
      </c>
      <c r="D2550">
        <v>25.151848600500401</v>
      </c>
      <c r="E2550">
        <v>256490.26279085301</v>
      </c>
      <c r="F2550" s="1">
        <v>46162.605624999997</v>
      </c>
      <c r="G2550">
        <v>52.873303969916599</v>
      </c>
      <c r="H2550" t="s">
        <v>28</v>
      </c>
      <c r="J2550" t="s">
        <v>16</v>
      </c>
      <c r="K2550">
        <v>896593.69406259502</v>
      </c>
      <c r="L2550" t="s">
        <v>17</v>
      </c>
      <c r="M2550">
        <v>0</v>
      </c>
      <c r="N2550">
        <v>0.28607190134101801</v>
      </c>
    </row>
    <row r="2551" spans="2:14" x14ac:dyDescent="0.25">
      <c r="B2551" t="s">
        <v>14</v>
      </c>
      <c r="C2551" s="1">
        <v>46161.999988425923</v>
      </c>
      <c r="D2551">
        <v>25.151848600500401</v>
      </c>
      <c r="E2551">
        <v>245777.09110942701</v>
      </c>
      <c r="F2551" s="1">
        <v>46161.605509259258</v>
      </c>
      <c r="G2551">
        <v>52.873303969916599</v>
      </c>
      <c r="H2551" t="s">
        <v>28</v>
      </c>
      <c r="J2551" t="s">
        <v>16</v>
      </c>
      <c r="K2551">
        <v>896593.69406259502</v>
      </c>
      <c r="L2551" t="s">
        <v>17</v>
      </c>
      <c r="M2551">
        <v>-10713.1716814266</v>
      </c>
      <c r="N2551">
        <v>0.27412315381761698</v>
      </c>
    </row>
    <row r="2552" spans="2:14" x14ac:dyDescent="0.25">
      <c r="B2552" t="s">
        <v>14</v>
      </c>
      <c r="C2552" s="1">
        <v>46160.999988425923</v>
      </c>
      <c r="D2552">
        <v>25.151848600500401</v>
      </c>
      <c r="E2552">
        <v>896593.69406259502</v>
      </c>
      <c r="F2552" s="1">
        <v>46158.099791666667</v>
      </c>
      <c r="G2552">
        <v>52.873303969916599</v>
      </c>
      <c r="H2552" t="s">
        <v>28</v>
      </c>
      <c r="J2552" t="s">
        <v>16</v>
      </c>
      <c r="K2552">
        <v>896593.69406259502</v>
      </c>
      <c r="L2552" t="s">
        <v>17</v>
      </c>
      <c r="M2552">
        <v>650816.60295316798</v>
      </c>
      <c r="N2552">
        <v>1</v>
      </c>
    </row>
    <row r="2553" spans="2:14" x14ac:dyDescent="0.25">
      <c r="B2553" t="s">
        <v>14</v>
      </c>
      <c r="C2553" s="1">
        <v>46159.999988425923</v>
      </c>
      <c r="D2553">
        <v>25.151848600500401</v>
      </c>
      <c r="E2553">
        <v>896593.69406259502</v>
      </c>
      <c r="F2553" s="1">
        <v>46158.099791666667</v>
      </c>
      <c r="G2553">
        <v>52.873303969916599</v>
      </c>
      <c r="H2553" t="s">
        <v>28</v>
      </c>
      <c r="J2553" t="s">
        <v>16</v>
      </c>
      <c r="K2553">
        <v>896593.69406259502</v>
      </c>
      <c r="L2553" t="s">
        <v>17</v>
      </c>
      <c r="M2553">
        <v>0</v>
      </c>
      <c r="N2553">
        <v>1</v>
      </c>
    </row>
    <row r="2554" spans="2:14" x14ac:dyDescent="0.25">
      <c r="B2554" t="s">
        <v>14</v>
      </c>
      <c r="C2554" s="1">
        <v>46158.999988425923</v>
      </c>
      <c r="D2554">
        <v>25.151848600500401</v>
      </c>
      <c r="E2554">
        <v>896593.69406259502</v>
      </c>
      <c r="F2554" s="1">
        <v>46158.099791666667</v>
      </c>
      <c r="G2554">
        <v>52.873303969916599</v>
      </c>
      <c r="H2554" t="s">
        <v>28</v>
      </c>
      <c r="J2554" t="s">
        <v>16</v>
      </c>
      <c r="K2554">
        <v>896593.69406259502</v>
      </c>
      <c r="L2554" t="s">
        <v>17</v>
      </c>
      <c r="M2554">
        <v>0</v>
      </c>
      <c r="N2554">
        <v>1</v>
      </c>
    </row>
    <row r="2555" spans="2:14" x14ac:dyDescent="0.25">
      <c r="B2555" t="s">
        <v>14</v>
      </c>
      <c r="C2555" s="1">
        <v>46157.999988425923</v>
      </c>
      <c r="D2555">
        <v>25.151848600500401</v>
      </c>
      <c r="E2555">
        <v>896593.69406259502</v>
      </c>
      <c r="F2555" s="1">
        <v>46155.60628472222</v>
      </c>
      <c r="G2555">
        <v>52.873303969916599</v>
      </c>
      <c r="H2555" t="s">
        <v>28</v>
      </c>
      <c r="J2555" t="s">
        <v>16</v>
      </c>
      <c r="K2555">
        <v>896593.69406259502</v>
      </c>
      <c r="L2555" t="s">
        <v>17</v>
      </c>
      <c r="M2555">
        <v>0</v>
      </c>
      <c r="N2555">
        <v>1</v>
      </c>
    </row>
    <row r="2556" spans="2:14" x14ac:dyDescent="0.25">
      <c r="B2556" t="s">
        <v>14</v>
      </c>
      <c r="C2556" s="1">
        <v>46156.999988425923</v>
      </c>
      <c r="D2556">
        <v>25.151848600500401</v>
      </c>
      <c r="E2556">
        <v>896593.69406259502</v>
      </c>
      <c r="F2556" s="1">
        <v>46155.60628472222</v>
      </c>
      <c r="G2556">
        <v>52.873303969916599</v>
      </c>
      <c r="H2556" t="s">
        <v>28</v>
      </c>
      <c r="J2556" t="s">
        <v>16</v>
      </c>
      <c r="K2556">
        <v>896593.69406259502</v>
      </c>
      <c r="L2556" t="s">
        <v>17</v>
      </c>
      <c r="M2556">
        <v>0</v>
      </c>
      <c r="N2556">
        <v>1</v>
      </c>
    </row>
    <row r="2557" spans="2:14" x14ac:dyDescent="0.25">
      <c r="B2557" t="s">
        <v>14</v>
      </c>
      <c r="C2557" s="1">
        <v>46155.999988425923</v>
      </c>
      <c r="D2557">
        <v>25.151848600500401</v>
      </c>
      <c r="E2557">
        <v>896593.69406259502</v>
      </c>
      <c r="F2557" s="1">
        <v>46155.60628472222</v>
      </c>
      <c r="G2557">
        <v>52.873303969916599</v>
      </c>
      <c r="H2557" t="s">
        <v>28</v>
      </c>
      <c r="J2557" t="s">
        <v>16</v>
      </c>
      <c r="K2557">
        <v>896593.69406259502</v>
      </c>
      <c r="L2557" t="s">
        <v>17</v>
      </c>
      <c r="M2557">
        <v>0</v>
      </c>
      <c r="N2557">
        <v>1</v>
      </c>
    </row>
    <row r="2558" spans="2:14" x14ac:dyDescent="0.25">
      <c r="B2558" t="s">
        <v>14</v>
      </c>
      <c r="C2558" s="1">
        <v>46154.999988425923</v>
      </c>
      <c r="D2558">
        <v>25.151848600500401</v>
      </c>
      <c r="E2558">
        <v>581300.18333348096</v>
      </c>
      <c r="F2558" s="1">
        <v>46153.099247685182</v>
      </c>
      <c r="G2558">
        <v>52.873303969916599</v>
      </c>
      <c r="H2558" t="s">
        <v>28</v>
      </c>
      <c r="J2558" t="s">
        <v>16</v>
      </c>
      <c r="K2558">
        <v>896593.69406259502</v>
      </c>
      <c r="L2558" t="s">
        <v>17</v>
      </c>
      <c r="M2558">
        <v>-315293.51072911301</v>
      </c>
      <c r="N2558">
        <v>0.64834293078677196</v>
      </c>
    </row>
    <row r="2559" spans="2:14" x14ac:dyDescent="0.25">
      <c r="B2559" t="s">
        <v>14</v>
      </c>
      <c r="C2559" s="1">
        <v>46153.999988425923</v>
      </c>
      <c r="D2559">
        <v>25.151848600500401</v>
      </c>
      <c r="E2559">
        <v>581300.18333348096</v>
      </c>
      <c r="F2559" s="1">
        <v>46153.099247685182</v>
      </c>
      <c r="G2559">
        <v>52.873303969916599</v>
      </c>
      <c r="H2559" t="s">
        <v>28</v>
      </c>
      <c r="J2559" t="s">
        <v>16</v>
      </c>
      <c r="K2559">
        <v>896593.69406259502</v>
      </c>
      <c r="L2559" t="s">
        <v>17</v>
      </c>
      <c r="M2559">
        <v>0</v>
      </c>
      <c r="N2559">
        <v>0.64834293078677196</v>
      </c>
    </row>
    <row r="2560" spans="2:14" x14ac:dyDescent="0.25">
      <c r="B2560" t="s">
        <v>14</v>
      </c>
      <c r="C2560" s="1">
        <v>46152.999988425923</v>
      </c>
      <c r="D2560">
        <v>25.151848600500401</v>
      </c>
      <c r="E2560">
        <v>327052.05719336</v>
      </c>
      <c r="F2560" s="1">
        <v>46150.605613425927</v>
      </c>
      <c r="G2560">
        <v>52.873303969916599</v>
      </c>
      <c r="H2560" t="s">
        <v>28</v>
      </c>
      <c r="J2560" t="s">
        <v>16</v>
      </c>
      <c r="K2560">
        <v>896593.69406259502</v>
      </c>
      <c r="L2560" t="s">
        <v>17</v>
      </c>
      <c r="M2560">
        <v>-254248.12614012099</v>
      </c>
      <c r="N2560">
        <v>0.36477175710598603</v>
      </c>
    </row>
    <row r="2561" spans="2:14" x14ac:dyDescent="0.25">
      <c r="B2561" t="s">
        <v>14</v>
      </c>
      <c r="C2561" s="1">
        <v>46151.999988425923</v>
      </c>
      <c r="D2561">
        <v>25.151848600500401</v>
      </c>
      <c r="E2561">
        <v>327052.05719336</v>
      </c>
      <c r="F2561" s="1">
        <v>46150.605613425927</v>
      </c>
      <c r="G2561">
        <v>52.873303969916599</v>
      </c>
      <c r="H2561" t="s">
        <v>28</v>
      </c>
      <c r="J2561" t="s">
        <v>16</v>
      </c>
      <c r="K2561">
        <v>896593.69406259502</v>
      </c>
      <c r="L2561" t="s">
        <v>17</v>
      </c>
      <c r="M2561">
        <v>0</v>
      </c>
      <c r="N2561">
        <v>0.36477175710598603</v>
      </c>
    </row>
    <row r="2562" spans="2:14" x14ac:dyDescent="0.25">
      <c r="B2562" t="s">
        <v>14</v>
      </c>
      <c r="C2562" s="1">
        <v>46150.999988425923</v>
      </c>
      <c r="D2562">
        <v>25.151848600500401</v>
      </c>
      <c r="E2562">
        <v>327052.05719336</v>
      </c>
      <c r="F2562" s="1">
        <v>46150.605613425927</v>
      </c>
      <c r="G2562">
        <v>52.873303969916599</v>
      </c>
      <c r="H2562" t="s">
        <v>28</v>
      </c>
      <c r="J2562" t="s">
        <v>16</v>
      </c>
      <c r="K2562">
        <v>896593.69406259502</v>
      </c>
      <c r="L2562" t="s">
        <v>17</v>
      </c>
      <c r="M2562">
        <v>0</v>
      </c>
      <c r="N2562">
        <v>0.36477175710598603</v>
      </c>
    </row>
    <row r="2563" spans="2:14" x14ac:dyDescent="0.25">
      <c r="B2563" t="s">
        <v>14</v>
      </c>
      <c r="C2563" s="1">
        <v>46149.999988425923</v>
      </c>
      <c r="D2563">
        <v>25.151848600500401</v>
      </c>
      <c r="E2563">
        <v>328194.58000943699</v>
      </c>
      <c r="F2563" s="1">
        <v>46149.605497685188</v>
      </c>
      <c r="G2563">
        <v>52.873303969916599</v>
      </c>
      <c r="H2563" t="s">
        <v>28</v>
      </c>
      <c r="J2563" t="s">
        <v>16</v>
      </c>
      <c r="K2563">
        <v>896593.69406259502</v>
      </c>
      <c r="L2563" t="s">
        <v>17</v>
      </c>
      <c r="M2563">
        <v>1142.52281607699</v>
      </c>
      <c r="N2563">
        <v>0.36604604982479799</v>
      </c>
    </row>
    <row r="2564" spans="2:14" x14ac:dyDescent="0.25">
      <c r="B2564" t="s">
        <v>14</v>
      </c>
      <c r="C2564" s="1">
        <v>46148.999988425923</v>
      </c>
      <c r="D2564">
        <v>25.151848600500401</v>
      </c>
      <c r="E2564">
        <v>276387.75736954098</v>
      </c>
      <c r="F2564" s="1">
        <v>46146.099803240744</v>
      </c>
      <c r="G2564">
        <v>52.873303969916599</v>
      </c>
      <c r="H2564" t="s">
        <v>28</v>
      </c>
      <c r="J2564" t="s">
        <v>16</v>
      </c>
      <c r="K2564">
        <v>896593.69406259502</v>
      </c>
      <c r="L2564" t="s">
        <v>17</v>
      </c>
      <c r="M2564">
        <v>-51806.822639895603</v>
      </c>
      <c r="N2564">
        <v>0.30826422179838098</v>
      </c>
    </row>
    <row r="2565" spans="2:14" x14ac:dyDescent="0.25">
      <c r="B2565" t="s">
        <v>14</v>
      </c>
      <c r="C2565" s="1">
        <v>46147.999988425923</v>
      </c>
      <c r="D2565">
        <v>25.151848600500401</v>
      </c>
      <c r="E2565">
        <v>276387.75736954098</v>
      </c>
      <c r="F2565" s="1">
        <v>46146.099803240744</v>
      </c>
      <c r="G2565">
        <v>52.873303969916599</v>
      </c>
      <c r="H2565" t="s">
        <v>28</v>
      </c>
      <c r="J2565" t="s">
        <v>16</v>
      </c>
      <c r="K2565">
        <v>896593.69406259502</v>
      </c>
      <c r="L2565" t="s">
        <v>17</v>
      </c>
      <c r="M2565">
        <v>0</v>
      </c>
      <c r="N2565">
        <v>0.30826422179838098</v>
      </c>
    </row>
    <row r="2566" spans="2:14" x14ac:dyDescent="0.25">
      <c r="B2566" t="s">
        <v>14</v>
      </c>
      <c r="C2566" s="1">
        <v>46146.999988425923</v>
      </c>
      <c r="D2566">
        <v>25.151848600500401</v>
      </c>
      <c r="E2566">
        <v>276387.75736954098</v>
      </c>
      <c r="F2566" s="1">
        <v>46146.099803240744</v>
      </c>
      <c r="G2566">
        <v>52.873303969916599</v>
      </c>
      <c r="H2566" t="s">
        <v>28</v>
      </c>
      <c r="J2566" t="s">
        <v>16</v>
      </c>
      <c r="K2566">
        <v>896593.69406259502</v>
      </c>
      <c r="L2566" t="s">
        <v>17</v>
      </c>
      <c r="M2566">
        <v>0</v>
      </c>
      <c r="N2566">
        <v>0.30826422179838098</v>
      </c>
    </row>
    <row r="2567" spans="2:14" x14ac:dyDescent="0.25">
      <c r="B2567" t="s">
        <v>14</v>
      </c>
      <c r="C2567" s="1">
        <v>46145.999988425923</v>
      </c>
      <c r="D2567">
        <v>25.151848600500401</v>
      </c>
      <c r="E2567">
        <v>251937.41343834001</v>
      </c>
      <c r="F2567" s="1">
        <v>46143.606296296297</v>
      </c>
      <c r="G2567">
        <v>52.873303969916599</v>
      </c>
      <c r="H2567" t="s">
        <v>28</v>
      </c>
      <c r="J2567" t="s">
        <v>16</v>
      </c>
      <c r="K2567">
        <v>896593.69406259502</v>
      </c>
      <c r="L2567" t="s">
        <v>17</v>
      </c>
      <c r="M2567">
        <v>-24450.3439312011</v>
      </c>
      <c r="N2567">
        <v>0.280993960928696</v>
      </c>
    </row>
    <row r="2568" spans="2:14" x14ac:dyDescent="0.25">
      <c r="B2568" t="s">
        <v>14</v>
      </c>
      <c r="C2568" s="1">
        <v>46144.999988425923</v>
      </c>
      <c r="D2568">
        <v>25.151848600500401</v>
      </c>
      <c r="E2568">
        <v>251937.41343834001</v>
      </c>
      <c r="F2568" s="1">
        <v>46143.606296296297</v>
      </c>
      <c r="G2568">
        <v>52.873303969916599</v>
      </c>
      <c r="H2568" t="s">
        <v>28</v>
      </c>
      <c r="J2568" t="s">
        <v>16</v>
      </c>
      <c r="K2568">
        <v>896593.69406259502</v>
      </c>
      <c r="L2568" t="s">
        <v>17</v>
      </c>
      <c r="M2568">
        <v>0</v>
      </c>
      <c r="N2568">
        <v>0.280993960928696</v>
      </c>
    </row>
    <row r="2569" spans="2:14" x14ac:dyDescent="0.25">
      <c r="B2569" t="s">
        <v>14</v>
      </c>
      <c r="C2569" s="1">
        <v>46143.999988425923</v>
      </c>
      <c r="D2569">
        <v>25.151848600500401</v>
      </c>
      <c r="E2569">
        <v>251937.41343834001</v>
      </c>
      <c r="F2569" s="1">
        <v>46143.606296296297</v>
      </c>
      <c r="G2569">
        <v>52.873303969916599</v>
      </c>
      <c r="H2569" t="s">
        <v>28</v>
      </c>
      <c r="J2569" t="s">
        <v>16</v>
      </c>
      <c r="K2569">
        <v>896593.69406259502</v>
      </c>
      <c r="L2569" t="s">
        <v>17</v>
      </c>
      <c r="M2569">
        <v>0</v>
      </c>
      <c r="N2569">
        <v>0.280993960928696</v>
      </c>
    </row>
    <row r="2570" spans="2:14" x14ac:dyDescent="0.25">
      <c r="B2570" t="s">
        <v>14</v>
      </c>
      <c r="C2570" s="1">
        <v>46142.999988425923</v>
      </c>
      <c r="D2570">
        <v>25.151848600500401</v>
      </c>
      <c r="E2570">
        <v>288531.28341447702</v>
      </c>
      <c r="F2570" s="1">
        <v>46140.099120370367</v>
      </c>
      <c r="G2570">
        <v>52.873303969916599</v>
      </c>
      <c r="H2570" t="s">
        <v>28</v>
      </c>
      <c r="J2570" t="s">
        <v>16</v>
      </c>
      <c r="K2570">
        <v>896593.69406259502</v>
      </c>
      <c r="L2570" t="s">
        <v>17</v>
      </c>
      <c r="M2570">
        <v>36593.869976136797</v>
      </c>
      <c r="N2570">
        <v>0.32180828989227001</v>
      </c>
    </row>
    <row r="2571" spans="2:14" x14ac:dyDescent="0.25">
      <c r="B2571" t="s">
        <v>14</v>
      </c>
      <c r="C2571" s="1">
        <v>46141.999988425923</v>
      </c>
      <c r="D2571">
        <v>25.151848600500401</v>
      </c>
      <c r="E2571">
        <v>288531.28341447702</v>
      </c>
      <c r="F2571" s="1">
        <v>46140.099120370367</v>
      </c>
      <c r="G2571">
        <v>52.873303969916599</v>
      </c>
      <c r="H2571" t="s">
        <v>28</v>
      </c>
      <c r="J2571" t="s">
        <v>16</v>
      </c>
      <c r="K2571">
        <v>896593.69406259502</v>
      </c>
      <c r="L2571" t="s">
        <v>17</v>
      </c>
      <c r="M2571">
        <v>0</v>
      </c>
      <c r="N2571">
        <v>0.32180828989227001</v>
      </c>
    </row>
    <row r="2572" spans="2:14" x14ac:dyDescent="0.25">
      <c r="B2572" t="s">
        <v>14</v>
      </c>
      <c r="C2572" s="1">
        <v>46140.999988425923</v>
      </c>
      <c r="D2572">
        <v>25.151848600500401</v>
      </c>
      <c r="E2572">
        <v>288531.28341447702</v>
      </c>
      <c r="F2572" s="1">
        <v>46140.099120370367</v>
      </c>
      <c r="G2572">
        <v>52.873303969916599</v>
      </c>
      <c r="H2572" t="s">
        <v>28</v>
      </c>
      <c r="J2572" t="s">
        <v>16</v>
      </c>
      <c r="K2572">
        <v>896593.69406259502</v>
      </c>
      <c r="L2572" t="s">
        <v>17</v>
      </c>
      <c r="M2572">
        <v>0</v>
      </c>
      <c r="N2572">
        <v>0.32180828989227001</v>
      </c>
    </row>
    <row r="2573" spans="2:14" x14ac:dyDescent="0.25">
      <c r="B2573" t="s">
        <v>14</v>
      </c>
      <c r="C2573" s="1">
        <v>46139.999988425923</v>
      </c>
      <c r="D2573">
        <v>25.151848600500401</v>
      </c>
      <c r="E2573">
        <v>243553.736837576</v>
      </c>
      <c r="F2573" s="1">
        <v>46137.605486111112</v>
      </c>
      <c r="G2573">
        <v>52.873303969916599</v>
      </c>
      <c r="H2573" t="s">
        <v>28</v>
      </c>
      <c r="J2573" t="s">
        <v>16</v>
      </c>
      <c r="K2573">
        <v>896593.69406259502</v>
      </c>
      <c r="L2573" t="s">
        <v>17</v>
      </c>
      <c r="M2573">
        <v>-44977.546576900801</v>
      </c>
      <c r="N2573">
        <v>0.27164337475317202</v>
      </c>
    </row>
    <row r="2574" spans="2:14" x14ac:dyDescent="0.25">
      <c r="B2574" t="s">
        <v>14</v>
      </c>
      <c r="C2574" s="1">
        <v>46138.999988425923</v>
      </c>
      <c r="D2574">
        <v>25.151848600500401</v>
      </c>
      <c r="E2574">
        <v>243553.736837576</v>
      </c>
      <c r="F2574" s="1">
        <v>46137.605486111112</v>
      </c>
      <c r="G2574">
        <v>52.873303969916599</v>
      </c>
      <c r="H2574" t="s">
        <v>28</v>
      </c>
      <c r="J2574" t="s">
        <v>16</v>
      </c>
      <c r="K2574">
        <v>896593.69406259502</v>
      </c>
      <c r="L2574" t="s">
        <v>17</v>
      </c>
      <c r="M2574">
        <v>0</v>
      </c>
      <c r="N2574">
        <v>0.27164337475317202</v>
      </c>
    </row>
    <row r="2575" spans="2:14" x14ac:dyDescent="0.25">
      <c r="B2575" t="s">
        <v>14</v>
      </c>
      <c r="C2575" s="1">
        <v>46137.999988425923</v>
      </c>
      <c r="D2575">
        <v>25.151848600500401</v>
      </c>
      <c r="E2575">
        <v>243553.736837576</v>
      </c>
      <c r="F2575" s="1">
        <v>46137.605486111112</v>
      </c>
      <c r="G2575">
        <v>52.873303969916599</v>
      </c>
      <c r="H2575" t="s">
        <v>28</v>
      </c>
      <c r="J2575" t="s">
        <v>16</v>
      </c>
      <c r="K2575">
        <v>896593.69406259502</v>
      </c>
      <c r="L2575" t="s">
        <v>17</v>
      </c>
      <c r="M2575">
        <v>0</v>
      </c>
      <c r="N2575">
        <v>0.27164337475317202</v>
      </c>
    </row>
    <row r="2576" spans="2:14" x14ac:dyDescent="0.25">
      <c r="B2576" t="s">
        <v>14</v>
      </c>
      <c r="C2576" s="1">
        <v>46136.999988425923</v>
      </c>
      <c r="D2576">
        <v>25.151848600500401</v>
      </c>
      <c r="E2576">
        <v>281081.28455699398</v>
      </c>
      <c r="F2576" s="1">
        <v>46134.099803240744</v>
      </c>
      <c r="G2576">
        <v>52.873303969916599</v>
      </c>
      <c r="H2576" t="s">
        <v>28</v>
      </c>
      <c r="J2576" t="s">
        <v>16</v>
      </c>
      <c r="K2576">
        <v>896593.69406259502</v>
      </c>
      <c r="L2576" t="s">
        <v>17</v>
      </c>
      <c r="M2576">
        <v>37527.547719417598</v>
      </c>
      <c r="N2576">
        <v>0.31349906475850198</v>
      </c>
    </row>
    <row r="2577" spans="2:14" x14ac:dyDescent="0.25">
      <c r="B2577" t="s">
        <v>14</v>
      </c>
      <c r="C2577" s="1">
        <v>46135.999988425923</v>
      </c>
      <c r="D2577">
        <v>25.151848600500401</v>
      </c>
      <c r="E2577">
        <v>281081.28455699398</v>
      </c>
      <c r="F2577" s="1">
        <v>46134.099803240744</v>
      </c>
      <c r="G2577">
        <v>52.873303969916599</v>
      </c>
      <c r="H2577" t="s">
        <v>28</v>
      </c>
      <c r="J2577" t="s">
        <v>16</v>
      </c>
      <c r="K2577">
        <v>896593.69406259502</v>
      </c>
      <c r="L2577" t="s">
        <v>17</v>
      </c>
      <c r="M2577">
        <v>0</v>
      </c>
      <c r="N2577">
        <v>0.31349906475850198</v>
      </c>
    </row>
    <row r="2578" spans="2:14" x14ac:dyDescent="0.25">
      <c r="B2578" t="s">
        <v>14</v>
      </c>
      <c r="C2578" s="1">
        <v>46134.999988425923</v>
      </c>
      <c r="D2578">
        <v>25.151848600500401</v>
      </c>
      <c r="E2578">
        <v>281081.28455699398</v>
      </c>
      <c r="F2578" s="1">
        <v>46134.099803240744</v>
      </c>
      <c r="G2578">
        <v>52.873303969916599</v>
      </c>
      <c r="H2578" t="s">
        <v>28</v>
      </c>
      <c r="J2578" t="s">
        <v>16</v>
      </c>
      <c r="K2578">
        <v>896593.69406259502</v>
      </c>
      <c r="L2578" t="s">
        <v>17</v>
      </c>
      <c r="M2578">
        <v>0</v>
      </c>
      <c r="N2578">
        <v>0.31349906475850198</v>
      </c>
    </row>
    <row r="2579" spans="2:14" x14ac:dyDescent="0.25">
      <c r="B2579" t="s">
        <v>14</v>
      </c>
      <c r="C2579" s="1">
        <v>46133.999988425923</v>
      </c>
      <c r="D2579">
        <v>25.151848600500401</v>
      </c>
      <c r="E2579">
        <v>240677.66602178401</v>
      </c>
      <c r="F2579" s="1">
        <v>46131.606296296297</v>
      </c>
      <c r="G2579">
        <v>52.873303969916599</v>
      </c>
      <c r="H2579" t="s">
        <v>28</v>
      </c>
      <c r="J2579" t="s">
        <v>16</v>
      </c>
      <c r="K2579">
        <v>896593.69406259502</v>
      </c>
      <c r="L2579" t="s">
        <v>17</v>
      </c>
      <c r="M2579">
        <v>-40403.618535209796</v>
      </c>
      <c r="N2579">
        <v>0.26843559977679399</v>
      </c>
    </row>
    <row r="2580" spans="2:14" x14ac:dyDescent="0.25">
      <c r="B2580" t="s">
        <v>14</v>
      </c>
      <c r="C2580" s="1">
        <v>46132.999988425923</v>
      </c>
      <c r="D2580">
        <v>25.151848600500401</v>
      </c>
      <c r="E2580">
        <v>240677.66602178401</v>
      </c>
      <c r="F2580" s="1">
        <v>46131.606296296297</v>
      </c>
      <c r="G2580">
        <v>52.873303969916599</v>
      </c>
      <c r="H2580" t="s">
        <v>28</v>
      </c>
      <c r="J2580" t="s">
        <v>16</v>
      </c>
      <c r="K2580">
        <v>896593.69406259502</v>
      </c>
      <c r="L2580" t="s">
        <v>17</v>
      </c>
      <c r="M2580">
        <v>0</v>
      </c>
      <c r="N2580">
        <v>0.26843559977679399</v>
      </c>
    </row>
    <row r="2581" spans="2:14" x14ac:dyDescent="0.25">
      <c r="B2581" t="s">
        <v>14</v>
      </c>
      <c r="C2581" s="1">
        <v>46131.999988425923</v>
      </c>
      <c r="D2581">
        <v>25.151848600500401</v>
      </c>
      <c r="E2581">
        <v>240677.66602178401</v>
      </c>
      <c r="F2581" s="1">
        <v>46131.606296296297</v>
      </c>
      <c r="G2581">
        <v>52.873303969916599</v>
      </c>
      <c r="H2581" t="s">
        <v>28</v>
      </c>
      <c r="J2581" t="s">
        <v>16</v>
      </c>
      <c r="K2581">
        <v>896593.69406259502</v>
      </c>
      <c r="L2581" t="s">
        <v>17</v>
      </c>
      <c r="M2581">
        <v>0</v>
      </c>
      <c r="N2581">
        <v>0.26843559977679399</v>
      </c>
    </row>
    <row r="2582" spans="2:14" x14ac:dyDescent="0.25">
      <c r="B2582" t="s">
        <v>14</v>
      </c>
      <c r="C2582" s="1">
        <v>46130.999988425923</v>
      </c>
      <c r="D2582">
        <v>25.151848600500401</v>
      </c>
      <c r="E2582">
        <v>331464.02206852997</v>
      </c>
      <c r="F2582" s="1">
        <v>46128.099108796298</v>
      </c>
      <c r="G2582">
        <v>52.873303969916599</v>
      </c>
      <c r="H2582" t="s">
        <v>28</v>
      </c>
      <c r="J2582" t="s">
        <v>16</v>
      </c>
      <c r="K2582">
        <v>896593.69406259502</v>
      </c>
      <c r="L2582" t="s">
        <v>17</v>
      </c>
      <c r="M2582">
        <v>90786.356046745597</v>
      </c>
      <c r="N2582">
        <v>0.369692564495539</v>
      </c>
    </row>
    <row r="2583" spans="2:14" x14ac:dyDescent="0.25">
      <c r="B2583" t="s">
        <v>14</v>
      </c>
      <c r="C2583" s="1">
        <v>46129.999988425923</v>
      </c>
      <c r="D2583">
        <v>25.151848600500401</v>
      </c>
      <c r="E2583">
        <v>331464.02206852997</v>
      </c>
      <c r="F2583" s="1">
        <v>46128.099108796298</v>
      </c>
      <c r="G2583">
        <v>52.873303969916599</v>
      </c>
      <c r="H2583" t="s">
        <v>28</v>
      </c>
      <c r="J2583" t="s">
        <v>16</v>
      </c>
      <c r="K2583">
        <v>896593.69406259502</v>
      </c>
      <c r="L2583" t="s">
        <v>17</v>
      </c>
      <c r="M2583">
        <v>0</v>
      </c>
      <c r="N2583">
        <v>0.369692564495539</v>
      </c>
    </row>
    <row r="2584" spans="2:14" x14ac:dyDescent="0.25">
      <c r="B2584" t="s">
        <v>14</v>
      </c>
      <c r="C2584" s="1">
        <v>46128.999988425923</v>
      </c>
      <c r="D2584">
        <v>25.151848600500401</v>
      </c>
      <c r="E2584">
        <v>331464.02206852997</v>
      </c>
      <c r="F2584" s="1">
        <v>46128.099108796298</v>
      </c>
      <c r="G2584">
        <v>52.873303969916599</v>
      </c>
      <c r="H2584" t="s">
        <v>28</v>
      </c>
      <c r="J2584" t="s">
        <v>16</v>
      </c>
      <c r="K2584">
        <v>896593.69406259502</v>
      </c>
      <c r="L2584" t="s">
        <v>17</v>
      </c>
      <c r="M2584">
        <v>0</v>
      </c>
      <c r="N2584">
        <v>0.369692564495539</v>
      </c>
    </row>
    <row r="2585" spans="2:14" x14ac:dyDescent="0.25">
      <c r="B2585" t="s">
        <v>14</v>
      </c>
      <c r="C2585" s="1">
        <v>46127.999988425923</v>
      </c>
      <c r="D2585">
        <v>25.151848600500401</v>
      </c>
      <c r="E2585">
        <v>246775.50197401299</v>
      </c>
      <c r="F2585" s="1">
        <v>46125.605486111112</v>
      </c>
      <c r="G2585">
        <v>52.873303969916599</v>
      </c>
      <c r="H2585" t="s">
        <v>28</v>
      </c>
      <c r="J2585" t="s">
        <v>16</v>
      </c>
      <c r="K2585">
        <v>896593.69406259502</v>
      </c>
      <c r="L2585" t="s">
        <v>17</v>
      </c>
      <c r="M2585">
        <v>-84688.520094516396</v>
      </c>
      <c r="N2585">
        <v>0.27523671380716203</v>
      </c>
    </row>
    <row r="2586" spans="2:14" x14ac:dyDescent="0.25">
      <c r="B2586" t="s">
        <v>14</v>
      </c>
      <c r="C2586" s="1">
        <v>46126.999988425923</v>
      </c>
      <c r="D2586">
        <v>25.151848600500401</v>
      </c>
      <c r="E2586">
        <v>246775.50197401299</v>
      </c>
      <c r="F2586" s="1">
        <v>46125.605486111112</v>
      </c>
      <c r="G2586">
        <v>52.873303969916599</v>
      </c>
      <c r="H2586" t="s">
        <v>28</v>
      </c>
      <c r="J2586" t="s">
        <v>16</v>
      </c>
      <c r="K2586">
        <v>896593.69406259502</v>
      </c>
      <c r="L2586" t="s">
        <v>17</v>
      </c>
      <c r="M2586">
        <v>0</v>
      </c>
      <c r="N2586">
        <v>0.27523671380716203</v>
      </c>
    </row>
    <row r="2587" spans="2:14" x14ac:dyDescent="0.25">
      <c r="B2587" t="s">
        <v>14</v>
      </c>
      <c r="C2587" s="1">
        <v>46125.999988425923</v>
      </c>
      <c r="D2587">
        <v>25.151848600500401</v>
      </c>
      <c r="E2587">
        <v>246775.50197401299</v>
      </c>
      <c r="F2587" s="1">
        <v>46125.605486111112</v>
      </c>
      <c r="G2587">
        <v>52.873303969916599</v>
      </c>
      <c r="H2587" t="s">
        <v>28</v>
      </c>
      <c r="J2587" t="s">
        <v>16</v>
      </c>
      <c r="K2587">
        <v>896593.69406259502</v>
      </c>
      <c r="L2587" t="s">
        <v>17</v>
      </c>
      <c r="M2587">
        <v>0</v>
      </c>
      <c r="N2587">
        <v>0.27523671380716203</v>
      </c>
    </row>
    <row r="2588" spans="2:14" x14ac:dyDescent="0.25">
      <c r="B2588" t="s">
        <v>14</v>
      </c>
      <c r="C2588" s="1">
        <v>46124.999988425923</v>
      </c>
      <c r="D2588">
        <v>25.151848600500401</v>
      </c>
      <c r="E2588">
        <v>287577.63790168002</v>
      </c>
      <c r="F2588" s="1">
        <v>46122.099803240744</v>
      </c>
      <c r="G2588">
        <v>52.873303969916599</v>
      </c>
      <c r="H2588" t="s">
        <v>28</v>
      </c>
      <c r="J2588" t="s">
        <v>16</v>
      </c>
      <c r="K2588">
        <v>896593.69406259502</v>
      </c>
      <c r="L2588" t="s">
        <v>17</v>
      </c>
      <c r="M2588">
        <v>40802.135927666597</v>
      </c>
      <c r="N2588">
        <v>0.32074465815014203</v>
      </c>
    </row>
    <row r="2589" spans="2:14" x14ac:dyDescent="0.25">
      <c r="B2589" t="s">
        <v>14</v>
      </c>
      <c r="C2589" s="1">
        <v>46123.999988425923</v>
      </c>
      <c r="D2589">
        <v>25.151848600500401</v>
      </c>
      <c r="E2589">
        <v>287577.63790168002</v>
      </c>
      <c r="F2589" s="1">
        <v>46122.099803240744</v>
      </c>
      <c r="G2589">
        <v>52.873303969916599</v>
      </c>
      <c r="H2589" t="s">
        <v>28</v>
      </c>
      <c r="J2589" t="s">
        <v>16</v>
      </c>
      <c r="K2589">
        <v>896593.69406259502</v>
      </c>
      <c r="L2589" t="s">
        <v>17</v>
      </c>
      <c r="M2589">
        <v>0</v>
      </c>
      <c r="N2589">
        <v>0.32074465815014203</v>
      </c>
    </row>
    <row r="2590" spans="2:14" x14ac:dyDescent="0.25">
      <c r="B2590" t="s">
        <v>14</v>
      </c>
      <c r="C2590" s="1">
        <v>46122.999988425923</v>
      </c>
      <c r="D2590">
        <v>25.151848600500401</v>
      </c>
      <c r="E2590">
        <v>287577.63790168002</v>
      </c>
      <c r="F2590" s="1">
        <v>46122.099803240744</v>
      </c>
      <c r="G2590">
        <v>52.873303969916599</v>
      </c>
      <c r="H2590" t="s">
        <v>28</v>
      </c>
      <c r="J2590" t="s">
        <v>16</v>
      </c>
      <c r="K2590">
        <v>896593.69406259502</v>
      </c>
      <c r="L2590" t="s">
        <v>17</v>
      </c>
      <c r="M2590">
        <v>0</v>
      </c>
      <c r="N2590">
        <v>0.32074465815014203</v>
      </c>
    </row>
    <row r="2591" spans="2:14" x14ac:dyDescent="0.25">
      <c r="B2591" t="s">
        <v>14</v>
      </c>
      <c r="C2591" s="1">
        <v>46121.999988425923</v>
      </c>
      <c r="D2591">
        <v>25.151848600500401</v>
      </c>
      <c r="E2591">
        <v>238685.15221426499</v>
      </c>
      <c r="F2591" s="1">
        <v>46119.606296296297</v>
      </c>
      <c r="G2591">
        <v>52.873303969916599</v>
      </c>
      <c r="H2591" t="s">
        <v>28</v>
      </c>
      <c r="J2591" t="s">
        <v>16</v>
      </c>
      <c r="K2591">
        <v>896593.69406259502</v>
      </c>
      <c r="L2591" t="s">
        <v>17</v>
      </c>
      <c r="M2591">
        <v>-48892.485687414701</v>
      </c>
      <c r="N2591">
        <v>0.26621328456231702</v>
      </c>
    </row>
    <row r="2592" spans="2:14" x14ac:dyDescent="0.25">
      <c r="B2592" t="s">
        <v>14</v>
      </c>
      <c r="C2592" s="1">
        <v>46120.999988425923</v>
      </c>
      <c r="D2592">
        <v>25.151848600500401</v>
      </c>
      <c r="E2592">
        <v>238685.15221426499</v>
      </c>
      <c r="F2592" s="1">
        <v>46119.606296296297</v>
      </c>
      <c r="G2592">
        <v>52.873303969916599</v>
      </c>
      <c r="H2592" t="s">
        <v>28</v>
      </c>
      <c r="J2592" t="s">
        <v>16</v>
      </c>
      <c r="K2592">
        <v>896593.69406259502</v>
      </c>
      <c r="L2592" t="s">
        <v>17</v>
      </c>
      <c r="M2592">
        <v>0</v>
      </c>
      <c r="N2592">
        <v>0.26621328456231702</v>
      </c>
    </row>
    <row r="2593" spans="2:14" x14ac:dyDescent="0.25">
      <c r="B2593" t="s">
        <v>14</v>
      </c>
      <c r="C2593" s="1">
        <v>46119.999988425923</v>
      </c>
      <c r="D2593">
        <v>25.151848600500401</v>
      </c>
      <c r="E2593">
        <v>238685.15221426499</v>
      </c>
      <c r="F2593" s="1">
        <v>46119.606296296297</v>
      </c>
      <c r="G2593">
        <v>52.873303969916599</v>
      </c>
      <c r="H2593" t="s">
        <v>28</v>
      </c>
      <c r="J2593" t="s">
        <v>16</v>
      </c>
      <c r="K2593">
        <v>896593.69406259502</v>
      </c>
      <c r="L2593" t="s">
        <v>17</v>
      </c>
      <c r="M2593">
        <v>0</v>
      </c>
      <c r="N2593">
        <v>0.26621328456231702</v>
      </c>
    </row>
    <row r="2594" spans="2:14" x14ac:dyDescent="0.25">
      <c r="B2594" t="s">
        <v>14</v>
      </c>
      <c r="C2594" s="1">
        <v>46118.999988425923</v>
      </c>
      <c r="D2594">
        <v>25.151848600500401</v>
      </c>
      <c r="E2594">
        <v>307865.816659195</v>
      </c>
      <c r="F2594" s="1">
        <v>46116.099108796298</v>
      </c>
      <c r="G2594">
        <v>52.873303969916599</v>
      </c>
      <c r="H2594" t="s">
        <v>28</v>
      </c>
      <c r="J2594" t="s">
        <v>16</v>
      </c>
      <c r="K2594">
        <v>896593.69406259502</v>
      </c>
      <c r="L2594" t="s">
        <v>17</v>
      </c>
      <c r="M2594">
        <v>69180.664444930502</v>
      </c>
      <c r="N2594">
        <v>0.34337272133178998</v>
      </c>
    </row>
    <row r="2595" spans="2:14" x14ac:dyDescent="0.25">
      <c r="B2595" t="s">
        <v>14</v>
      </c>
      <c r="C2595" s="1">
        <v>46117.999988425923</v>
      </c>
      <c r="D2595">
        <v>25.151848600500401</v>
      </c>
      <c r="E2595">
        <v>307865.816659195</v>
      </c>
      <c r="F2595" s="1">
        <v>46116.099108796298</v>
      </c>
      <c r="G2595">
        <v>52.873303969916599</v>
      </c>
      <c r="H2595" t="s">
        <v>28</v>
      </c>
      <c r="J2595" t="s">
        <v>16</v>
      </c>
      <c r="K2595">
        <v>896593.69406259502</v>
      </c>
      <c r="L2595" t="s">
        <v>17</v>
      </c>
      <c r="M2595">
        <v>0</v>
      </c>
      <c r="N2595">
        <v>0.34337272133178998</v>
      </c>
    </row>
    <row r="2596" spans="2:14" x14ac:dyDescent="0.25">
      <c r="B2596" t="s">
        <v>14</v>
      </c>
      <c r="C2596" s="1">
        <v>46116.999988425923</v>
      </c>
      <c r="D2596">
        <v>25.151848600500401</v>
      </c>
      <c r="E2596">
        <v>307865.816659195</v>
      </c>
      <c r="F2596" s="1">
        <v>46116.099108796298</v>
      </c>
      <c r="G2596">
        <v>52.873303969916599</v>
      </c>
      <c r="H2596" t="s">
        <v>28</v>
      </c>
      <c r="J2596" t="s">
        <v>16</v>
      </c>
      <c r="K2596">
        <v>896593.69406259502</v>
      </c>
      <c r="L2596" t="s">
        <v>17</v>
      </c>
      <c r="M2596">
        <v>0</v>
      </c>
      <c r="N2596">
        <v>0.34337272133178998</v>
      </c>
    </row>
    <row r="2597" spans="2:14" x14ac:dyDescent="0.25">
      <c r="B2597" t="s">
        <v>14</v>
      </c>
      <c r="C2597" s="1">
        <v>46115.999988425923</v>
      </c>
      <c r="D2597">
        <v>25.151848600500401</v>
      </c>
      <c r="E2597">
        <v>233684.84574603301</v>
      </c>
      <c r="F2597" s="1">
        <v>46113.605474537035</v>
      </c>
      <c r="G2597">
        <v>52.873303969916599</v>
      </c>
      <c r="H2597" t="s">
        <v>28</v>
      </c>
      <c r="J2597" t="s">
        <v>16</v>
      </c>
      <c r="K2597">
        <v>896593.69406259502</v>
      </c>
      <c r="L2597" t="s">
        <v>17</v>
      </c>
      <c r="M2597">
        <v>-74180.970913161902</v>
      </c>
      <c r="N2597">
        <v>0.26063628072953998</v>
      </c>
    </row>
    <row r="2598" spans="2:14" x14ac:dyDescent="0.25">
      <c r="B2598" t="s">
        <v>14</v>
      </c>
      <c r="C2598" s="1">
        <v>46114.999988425923</v>
      </c>
      <c r="D2598">
        <v>25.151848600500401</v>
      </c>
      <c r="E2598">
        <v>233684.84574603301</v>
      </c>
      <c r="F2598" s="1">
        <v>46113.605474537035</v>
      </c>
      <c r="G2598">
        <v>52.873303969916599</v>
      </c>
      <c r="H2598" t="s">
        <v>28</v>
      </c>
      <c r="J2598" t="s">
        <v>16</v>
      </c>
      <c r="K2598">
        <v>896593.69406259502</v>
      </c>
      <c r="L2598" t="s">
        <v>17</v>
      </c>
      <c r="M2598">
        <v>0</v>
      </c>
      <c r="N2598">
        <v>0.26063628072953998</v>
      </c>
    </row>
    <row r="2599" spans="2:14" x14ac:dyDescent="0.25">
      <c r="B2599" t="s">
        <v>14</v>
      </c>
      <c r="C2599" s="1">
        <v>46113.999988425923</v>
      </c>
      <c r="D2599">
        <v>25.151848600500401</v>
      </c>
      <c r="E2599">
        <v>233684.84574603301</v>
      </c>
      <c r="F2599" s="1">
        <v>46113.605474537035</v>
      </c>
      <c r="G2599">
        <v>52.873303969916599</v>
      </c>
      <c r="H2599" t="s">
        <v>28</v>
      </c>
      <c r="J2599" t="s">
        <v>16</v>
      </c>
      <c r="K2599">
        <v>896593.69406259502</v>
      </c>
      <c r="L2599" t="s">
        <v>17</v>
      </c>
      <c r="M2599">
        <v>0</v>
      </c>
      <c r="N2599">
        <v>0.26063628072953998</v>
      </c>
    </row>
    <row r="2600" spans="2:14" x14ac:dyDescent="0.25">
      <c r="B2600" t="s">
        <v>14</v>
      </c>
      <c r="C2600" s="1">
        <v>46112.999988425923</v>
      </c>
      <c r="D2600">
        <v>25.151848600500401</v>
      </c>
      <c r="E2600">
        <v>291977.584805116</v>
      </c>
      <c r="F2600" s="1">
        <v>46110.099803240744</v>
      </c>
      <c r="G2600">
        <v>52.873303969916599</v>
      </c>
      <c r="H2600" t="s">
        <v>28</v>
      </c>
      <c r="J2600" t="s">
        <v>16</v>
      </c>
      <c r="K2600">
        <v>896593.69406259502</v>
      </c>
      <c r="L2600" t="s">
        <v>17</v>
      </c>
      <c r="M2600">
        <v>58292.739059082502</v>
      </c>
      <c r="N2600">
        <v>0.32565206150639298</v>
      </c>
    </row>
    <row r="2601" spans="2:14" x14ac:dyDescent="0.25">
      <c r="B2601" t="s">
        <v>14</v>
      </c>
      <c r="C2601" s="1">
        <v>46111.999988425923</v>
      </c>
      <c r="D2601">
        <v>25.151848600500401</v>
      </c>
      <c r="E2601">
        <v>291977.584805116</v>
      </c>
      <c r="F2601" s="1">
        <v>46110.099803240744</v>
      </c>
      <c r="G2601">
        <v>52.873303969916599</v>
      </c>
      <c r="H2601" t="s">
        <v>28</v>
      </c>
      <c r="J2601" t="s">
        <v>16</v>
      </c>
      <c r="K2601">
        <v>896593.69406259502</v>
      </c>
      <c r="L2601" t="s">
        <v>17</v>
      </c>
      <c r="M2601">
        <v>0</v>
      </c>
      <c r="N2601">
        <v>0.32565206150639298</v>
      </c>
    </row>
    <row r="2602" spans="2:14" x14ac:dyDescent="0.25">
      <c r="B2602" t="s">
        <v>14</v>
      </c>
      <c r="C2602" s="1">
        <v>46110.999988425923</v>
      </c>
      <c r="D2602">
        <v>25.151848600500401</v>
      </c>
      <c r="E2602">
        <v>291977.584805116</v>
      </c>
      <c r="F2602" s="1">
        <v>46110.099803240744</v>
      </c>
      <c r="G2602">
        <v>52.873303969916599</v>
      </c>
      <c r="H2602" t="s">
        <v>28</v>
      </c>
      <c r="J2602" t="s">
        <v>16</v>
      </c>
      <c r="K2602">
        <v>896593.69406259502</v>
      </c>
      <c r="L2602" t="s">
        <v>17</v>
      </c>
      <c r="M2602">
        <v>0</v>
      </c>
      <c r="N2602">
        <v>0.32565206150639298</v>
      </c>
    </row>
    <row r="2603" spans="2:14" x14ac:dyDescent="0.25">
      <c r="B2603" t="s">
        <v>14</v>
      </c>
      <c r="C2603" s="1">
        <v>46109.999988425923</v>
      </c>
      <c r="D2603">
        <v>25.151848600500401</v>
      </c>
      <c r="E2603">
        <v>235360.56875424899</v>
      </c>
      <c r="F2603" s="1">
        <v>46107.606296296297</v>
      </c>
      <c r="G2603">
        <v>52.873303969916599</v>
      </c>
      <c r="H2603" t="s">
        <v>28</v>
      </c>
      <c r="J2603" t="s">
        <v>16</v>
      </c>
      <c r="K2603">
        <v>896593.69406259502</v>
      </c>
      <c r="L2603" t="s">
        <v>17</v>
      </c>
      <c r="M2603">
        <v>-56617.016050866798</v>
      </c>
      <c r="N2603">
        <v>0.26250526890033798</v>
      </c>
    </row>
    <row r="2604" spans="2:14" x14ac:dyDescent="0.25">
      <c r="B2604" t="s">
        <v>14</v>
      </c>
      <c r="C2604" s="1">
        <v>46108.999988425923</v>
      </c>
      <c r="D2604">
        <v>25.151848600500401</v>
      </c>
      <c r="E2604">
        <v>235360.56875424899</v>
      </c>
      <c r="F2604" s="1">
        <v>46107.606296296297</v>
      </c>
      <c r="G2604">
        <v>52.873303969916599</v>
      </c>
      <c r="H2604" t="s">
        <v>28</v>
      </c>
      <c r="J2604" t="s">
        <v>16</v>
      </c>
      <c r="K2604">
        <v>896593.69406259502</v>
      </c>
      <c r="L2604" t="s">
        <v>17</v>
      </c>
      <c r="M2604">
        <v>0</v>
      </c>
      <c r="N2604">
        <v>0.26250526890033798</v>
      </c>
    </row>
    <row r="2605" spans="2:14" x14ac:dyDescent="0.25">
      <c r="B2605" t="s">
        <v>14</v>
      </c>
      <c r="C2605" s="1">
        <v>46107.999988425923</v>
      </c>
      <c r="D2605">
        <v>25.151848600500401</v>
      </c>
      <c r="E2605">
        <v>235360.56875424899</v>
      </c>
      <c r="F2605" s="1">
        <v>46107.606296296297</v>
      </c>
      <c r="G2605">
        <v>52.873303969916599</v>
      </c>
      <c r="H2605" t="s">
        <v>28</v>
      </c>
      <c r="J2605" t="s">
        <v>16</v>
      </c>
      <c r="K2605">
        <v>896593.69406259502</v>
      </c>
      <c r="L2605" t="s">
        <v>17</v>
      </c>
      <c r="M2605">
        <v>0</v>
      </c>
      <c r="N2605">
        <v>0.26250526890033798</v>
      </c>
    </row>
    <row r="2606" spans="2:14" x14ac:dyDescent="0.25">
      <c r="B2606" t="s">
        <v>14</v>
      </c>
      <c r="C2606" s="1">
        <v>46106.999988425923</v>
      </c>
      <c r="D2606">
        <v>25.151848600500401</v>
      </c>
      <c r="E2606">
        <v>256888.15790079901</v>
      </c>
      <c r="F2606" s="1">
        <v>46104.099108796298</v>
      </c>
      <c r="G2606">
        <v>52.873303969916599</v>
      </c>
      <c r="H2606" t="s">
        <v>28</v>
      </c>
      <c r="J2606" t="s">
        <v>16</v>
      </c>
      <c r="K2606">
        <v>896593.69406259502</v>
      </c>
      <c r="L2606" t="s">
        <v>17</v>
      </c>
      <c r="M2606">
        <v>21527.589146549901</v>
      </c>
      <c r="N2606">
        <v>0.28651568665044003</v>
      </c>
    </row>
    <row r="2607" spans="2:14" x14ac:dyDescent="0.25">
      <c r="B2607" t="s">
        <v>14</v>
      </c>
      <c r="C2607" s="1">
        <v>46105.999988425923</v>
      </c>
      <c r="D2607">
        <v>25.151848600500401</v>
      </c>
      <c r="E2607">
        <v>256888.15790079901</v>
      </c>
      <c r="F2607" s="1">
        <v>46104.099108796298</v>
      </c>
      <c r="G2607">
        <v>52.873303969916599</v>
      </c>
      <c r="H2607" t="s">
        <v>28</v>
      </c>
      <c r="J2607" t="s">
        <v>16</v>
      </c>
      <c r="K2607">
        <v>896593.69406259502</v>
      </c>
      <c r="L2607" t="s">
        <v>17</v>
      </c>
      <c r="M2607">
        <v>0</v>
      </c>
      <c r="N2607">
        <v>0.28651568665044003</v>
      </c>
    </row>
    <row r="2608" spans="2:14" x14ac:dyDescent="0.25">
      <c r="B2608" t="s">
        <v>14</v>
      </c>
      <c r="C2608" s="1">
        <v>46104.999988425923</v>
      </c>
      <c r="D2608">
        <v>25.151848600500401</v>
      </c>
      <c r="E2608">
        <v>256888.15790079901</v>
      </c>
      <c r="F2608" s="1">
        <v>46104.099108796298</v>
      </c>
      <c r="G2608">
        <v>52.873303969916599</v>
      </c>
      <c r="H2608" t="s">
        <v>28</v>
      </c>
      <c r="J2608" t="s">
        <v>16</v>
      </c>
      <c r="K2608">
        <v>896593.69406259502</v>
      </c>
      <c r="L2608" t="s">
        <v>17</v>
      </c>
      <c r="M2608">
        <v>0</v>
      </c>
      <c r="N2608">
        <v>0.28651568665044003</v>
      </c>
    </row>
    <row r="2609" spans="2:14" x14ac:dyDescent="0.25">
      <c r="B2609" t="s">
        <v>14</v>
      </c>
      <c r="C2609" s="1">
        <v>46103.999988425923</v>
      </c>
      <c r="D2609">
        <v>25.151848600500401</v>
      </c>
      <c r="E2609">
        <v>228486.79650805</v>
      </c>
      <c r="F2609" s="1">
        <v>46101.605474537035</v>
      </c>
      <c r="G2609">
        <v>52.873303969916599</v>
      </c>
      <c r="H2609" t="s">
        <v>28</v>
      </c>
      <c r="J2609" t="s">
        <v>16</v>
      </c>
      <c r="K2609">
        <v>896593.69406259502</v>
      </c>
      <c r="L2609" t="s">
        <v>17</v>
      </c>
      <c r="M2609">
        <v>-28401.361392749299</v>
      </c>
      <c r="N2609">
        <v>0.25483872797804702</v>
      </c>
    </row>
    <row r="2610" spans="2:14" x14ac:dyDescent="0.25">
      <c r="B2610" t="s">
        <v>14</v>
      </c>
      <c r="C2610" s="1">
        <v>46102.999988425923</v>
      </c>
      <c r="D2610">
        <v>25.151848600500401</v>
      </c>
      <c r="E2610">
        <v>228486.79650805</v>
      </c>
      <c r="F2610" s="1">
        <v>46101.605474537035</v>
      </c>
      <c r="G2610">
        <v>52.873303969916599</v>
      </c>
      <c r="H2610" t="s">
        <v>28</v>
      </c>
      <c r="J2610" t="s">
        <v>16</v>
      </c>
      <c r="K2610">
        <v>896593.69406259502</v>
      </c>
      <c r="L2610" t="s">
        <v>17</v>
      </c>
      <c r="M2610">
        <v>0</v>
      </c>
      <c r="N2610">
        <v>0.25483872797804702</v>
      </c>
    </row>
    <row r="2611" spans="2:14" x14ac:dyDescent="0.25">
      <c r="B2611" t="s">
        <v>14</v>
      </c>
      <c r="C2611" s="1">
        <v>46101.999988425923</v>
      </c>
      <c r="D2611">
        <v>25.151848600500401</v>
      </c>
      <c r="E2611">
        <v>228486.79650805</v>
      </c>
      <c r="F2611" s="1">
        <v>46101.605474537035</v>
      </c>
      <c r="G2611">
        <v>52.873303969916599</v>
      </c>
      <c r="H2611" t="s">
        <v>28</v>
      </c>
      <c r="J2611" t="s">
        <v>16</v>
      </c>
      <c r="K2611">
        <v>896593.69406259502</v>
      </c>
      <c r="L2611" t="s">
        <v>17</v>
      </c>
      <c r="M2611">
        <v>0</v>
      </c>
      <c r="N2611">
        <v>0.25483872797804702</v>
      </c>
    </row>
    <row r="2612" spans="2:14" x14ac:dyDescent="0.25">
      <c r="B2612" t="s">
        <v>14</v>
      </c>
      <c r="C2612" s="1">
        <v>46100.999988425923</v>
      </c>
      <c r="D2612">
        <v>25.151848600500401</v>
      </c>
      <c r="E2612">
        <v>266520.15224817599</v>
      </c>
      <c r="F2612" s="1">
        <v>46098.099803240744</v>
      </c>
      <c r="G2612">
        <v>52.873303969916599</v>
      </c>
      <c r="H2612" t="s">
        <v>28</v>
      </c>
      <c r="J2612" t="s">
        <v>16</v>
      </c>
      <c r="K2612">
        <v>896593.69406259502</v>
      </c>
      <c r="L2612" t="s">
        <v>17</v>
      </c>
      <c r="M2612">
        <v>38033.355740126499</v>
      </c>
      <c r="N2612">
        <v>0.29725856205895801</v>
      </c>
    </row>
    <row r="2613" spans="2:14" x14ac:dyDescent="0.25">
      <c r="B2613" t="s">
        <v>14</v>
      </c>
      <c r="C2613" s="1">
        <v>46099.999988425923</v>
      </c>
      <c r="D2613">
        <v>25.151848600500401</v>
      </c>
      <c r="E2613">
        <v>266520.15224817599</v>
      </c>
      <c r="F2613" s="1">
        <v>46098.099803240744</v>
      </c>
      <c r="G2613">
        <v>52.873303969916599</v>
      </c>
      <c r="H2613" t="s">
        <v>28</v>
      </c>
      <c r="J2613" t="s">
        <v>16</v>
      </c>
      <c r="K2613">
        <v>896593.69406259502</v>
      </c>
      <c r="L2613" t="s">
        <v>17</v>
      </c>
      <c r="M2613">
        <v>0</v>
      </c>
      <c r="N2613">
        <v>0.29725856205895801</v>
      </c>
    </row>
    <row r="2614" spans="2:14" x14ac:dyDescent="0.25">
      <c r="B2614" t="s">
        <v>14</v>
      </c>
      <c r="C2614" s="1">
        <v>46098.999988425923</v>
      </c>
      <c r="D2614">
        <v>25.151848600500401</v>
      </c>
      <c r="E2614">
        <v>266520.15224817599</v>
      </c>
      <c r="F2614" s="1">
        <v>46098.099803240744</v>
      </c>
      <c r="G2614">
        <v>52.873303969916599</v>
      </c>
      <c r="H2614" t="s">
        <v>28</v>
      </c>
      <c r="J2614" t="s">
        <v>16</v>
      </c>
      <c r="K2614">
        <v>896593.69406259502</v>
      </c>
      <c r="L2614" t="s">
        <v>17</v>
      </c>
      <c r="M2614">
        <v>0</v>
      </c>
      <c r="N2614">
        <v>0.29725856205895801</v>
      </c>
    </row>
    <row r="2615" spans="2:14" x14ac:dyDescent="0.25">
      <c r="B2615" t="s">
        <v>14</v>
      </c>
      <c r="C2615" s="1">
        <v>46097.999988425923</v>
      </c>
      <c r="D2615">
        <v>25.151848600500401</v>
      </c>
      <c r="E2615">
        <v>237073.69700071801</v>
      </c>
      <c r="F2615" s="1">
        <v>46095.606296296297</v>
      </c>
      <c r="G2615">
        <v>52.873303969916599</v>
      </c>
      <c r="H2615" t="s">
        <v>28</v>
      </c>
      <c r="J2615" t="s">
        <v>16</v>
      </c>
      <c r="K2615">
        <v>896593.69406259502</v>
      </c>
      <c r="L2615" t="s">
        <v>17</v>
      </c>
      <c r="M2615">
        <v>-29446.4552474583</v>
      </c>
      <c r="N2615">
        <v>0.26441597634543101</v>
      </c>
    </row>
    <row r="2616" spans="2:14" x14ac:dyDescent="0.25">
      <c r="B2616" t="s">
        <v>14</v>
      </c>
      <c r="C2616" s="1">
        <v>46096.999988425923</v>
      </c>
      <c r="D2616">
        <v>25.151848600500401</v>
      </c>
      <c r="E2616">
        <v>237073.69700071801</v>
      </c>
      <c r="F2616" s="1">
        <v>46095.606296296297</v>
      </c>
      <c r="G2616">
        <v>52.873303969916599</v>
      </c>
      <c r="H2616" t="s">
        <v>28</v>
      </c>
      <c r="J2616" t="s">
        <v>16</v>
      </c>
      <c r="K2616">
        <v>896593.69406259502</v>
      </c>
      <c r="L2616" t="s">
        <v>17</v>
      </c>
      <c r="M2616">
        <v>0</v>
      </c>
      <c r="N2616">
        <v>0.26441597634543101</v>
      </c>
    </row>
    <row r="2617" spans="2:14" x14ac:dyDescent="0.25">
      <c r="B2617" t="s">
        <v>14</v>
      </c>
      <c r="C2617" s="1">
        <v>46095.999988425923</v>
      </c>
      <c r="D2617">
        <v>25.151848600500401</v>
      </c>
      <c r="E2617">
        <v>237073.69700071801</v>
      </c>
      <c r="F2617" s="1">
        <v>46095.606296296297</v>
      </c>
      <c r="G2617">
        <v>52.873303969916599</v>
      </c>
      <c r="H2617" t="s">
        <v>28</v>
      </c>
      <c r="J2617" t="s">
        <v>16</v>
      </c>
      <c r="K2617">
        <v>896593.69406259502</v>
      </c>
      <c r="L2617" t="s">
        <v>17</v>
      </c>
      <c r="M2617">
        <v>0</v>
      </c>
      <c r="N2617">
        <v>0.26441597634543101</v>
      </c>
    </row>
    <row r="2618" spans="2:14" x14ac:dyDescent="0.25">
      <c r="B2618" t="s">
        <v>14</v>
      </c>
      <c r="C2618" s="1">
        <v>46094.999988425923</v>
      </c>
      <c r="D2618">
        <v>25.151848600500401</v>
      </c>
      <c r="E2618">
        <v>313294.85739335802</v>
      </c>
      <c r="F2618" s="1">
        <v>46092.099097222221</v>
      </c>
      <c r="G2618">
        <v>52.873303969916599</v>
      </c>
      <c r="H2618" t="s">
        <v>28</v>
      </c>
      <c r="J2618" t="s">
        <v>16</v>
      </c>
      <c r="K2618">
        <v>896593.69406259502</v>
      </c>
      <c r="L2618" t="s">
        <v>17</v>
      </c>
      <c r="M2618">
        <v>76221.160392639402</v>
      </c>
      <c r="N2618">
        <v>0.34942790638396498</v>
      </c>
    </row>
    <row r="2619" spans="2:14" x14ac:dyDescent="0.25">
      <c r="B2619" t="s">
        <v>14</v>
      </c>
      <c r="C2619" s="1">
        <v>46093.999988425923</v>
      </c>
      <c r="D2619">
        <v>25.151848600500401</v>
      </c>
      <c r="E2619">
        <v>313294.85739335802</v>
      </c>
      <c r="F2619" s="1">
        <v>46092.099097222221</v>
      </c>
      <c r="G2619">
        <v>52.873303969916599</v>
      </c>
      <c r="H2619" t="s">
        <v>28</v>
      </c>
      <c r="J2619" t="s">
        <v>16</v>
      </c>
      <c r="K2619">
        <v>896593.69406259502</v>
      </c>
      <c r="L2619" t="s">
        <v>17</v>
      </c>
      <c r="M2619">
        <v>0</v>
      </c>
      <c r="N2619">
        <v>0.34942790638396498</v>
      </c>
    </row>
    <row r="2620" spans="2:14" x14ac:dyDescent="0.25">
      <c r="B2620" t="s">
        <v>14</v>
      </c>
      <c r="C2620" s="1">
        <v>46092.999988425923</v>
      </c>
      <c r="D2620">
        <v>25.151848600500401</v>
      </c>
      <c r="E2620">
        <v>313294.85739335802</v>
      </c>
      <c r="F2620" s="1">
        <v>46092.099097222221</v>
      </c>
      <c r="G2620">
        <v>52.873303969916599</v>
      </c>
      <c r="H2620" t="s">
        <v>28</v>
      </c>
      <c r="J2620" t="s">
        <v>16</v>
      </c>
      <c r="K2620">
        <v>896593.69406259502</v>
      </c>
      <c r="L2620" t="s">
        <v>17</v>
      </c>
      <c r="M2620">
        <v>0</v>
      </c>
      <c r="N2620">
        <v>0.34942790638396498</v>
      </c>
    </row>
    <row r="2621" spans="2:14" x14ac:dyDescent="0.25">
      <c r="B2621" t="s">
        <v>14</v>
      </c>
      <c r="C2621" s="1">
        <v>46091.999988425923</v>
      </c>
      <c r="D2621">
        <v>25.151848600500401</v>
      </c>
      <c r="E2621">
        <v>310232.35068396898</v>
      </c>
      <c r="F2621" s="1">
        <v>46089.605474537035</v>
      </c>
      <c r="G2621">
        <v>52.873303969916599</v>
      </c>
      <c r="H2621" t="s">
        <v>28</v>
      </c>
      <c r="J2621" t="s">
        <v>16</v>
      </c>
      <c r="K2621">
        <v>896593.69406259502</v>
      </c>
      <c r="L2621" t="s">
        <v>17</v>
      </c>
      <c r="M2621">
        <v>-3062.5067093890302</v>
      </c>
      <c r="N2621">
        <v>0.346012193414233</v>
      </c>
    </row>
    <row r="2622" spans="2:14" x14ac:dyDescent="0.25">
      <c r="B2622" t="s">
        <v>14</v>
      </c>
      <c r="C2622" s="1">
        <v>46090.999988425923</v>
      </c>
      <c r="D2622">
        <v>25.151848600500401</v>
      </c>
      <c r="E2622">
        <v>310232.35068396898</v>
      </c>
      <c r="F2622" s="1">
        <v>46089.605474537035</v>
      </c>
      <c r="G2622">
        <v>52.873303969916599</v>
      </c>
      <c r="H2622" t="s">
        <v>28</v>
      </c>
      <c r="J2622" t="s">
        <v>16</v>
      </c>
      <c r="K2622">
        <v>896593.69406259502</v>
      </c>
      <c r="L2622" t="s">
        <v>17</v>
      </c>
      <c r="M2622">
        <v>0</v>
      </c>
      <c r="N2622">
        <v>0.346012193414233</v>
      </c>
    </row>
    <row r="2623" spans="2:14" x14ac:dyDescent="0.25">
      <c r="B2623" t="s">
        <v>14</v>
      </c>
      <c r="C2623" s="1">
        <v>46089.999988425923</v>
      </c>
      <c r="D2623">
        <v>25.151848600500401</v>
      </c>
      <c r="E2623">
        <v>310232.35068396898</v>
      </c>
      <c r="F2623" s="1">
        <v>46089.605474537035</v>
      </c>
      <c r="G2623">
        <v>52.873303969916599</v>
      </c>
      <c r="H2623" t="s">
        <v>28</v>
      </c>
      <c r="J2623" t="s">
        <v>16</v>
      </c>
      <c r="K2623">
        <v>896593.69406259502</v>
      </c>
      <c r="L2623" t="s">
        <v>17</v>
      </c>
      <c r="M2623">
        <v>0</v>
      </c>
      <c r="N2623">
        <v>0.346012193414233</v>
      </c>
    </row>
    <row r="2624" spans="2:14" x14ac:dyDescent="0.25">
      <c r="B2624" t="s">
        <v>14</v>
      </c>
      <c r="C2624" s="1">
        <v>46088.999988425923</v>
      </c>
      <c r="D2624">
        <v>25.151848600500401</v>
      </c>
      <c r="E2624">
        <v>318391.09905369597</v>
      </c>
      <c r="F2624" s="1">
        <v>46086.099803240744</v>
      </c>
      <c r="G2624">
        <v>52.873303969916599</v>
      </c>
      <c r="H2624" t="s">
        <v>28</v>
      </c>
      <c r="J2624" t="s">
        <v>16</v>
      </c>
      <c r="K2624">
        <v>896593.69406259502</v>
      </c>
      <c r="L2624" t="s">
        <v>17</v>
      </c>
      <c r="M2624">
        <v>8158.7483697277403</v>
      </c>
      <c r="N2624">
        <v>0.355111909845161</v>
      </c>
    </row>
    <row r="2625" spans="2:14" x14ac:dyDescent="0.25">
      <c r="B2625" t="s">
        <v>14</v>
      </c>
      <c r="C2625" s="1">
        <v>46087.999988425923</v>
      </c>
      <c r="D2625">
        <v>25.151848600500401</v>
      </c>
      <c r="E2625">
        <v>318391.09905369597</v>
      </c>
      <c r="F2625" s="1">
        <v>46086.099803240744</v>
      </c>
      <c r="G2625">
        <v>52.873303969916599</v>
      </c>
      <c r="H2625" t="s">
        <v>28</v>
      </c>
      <c r="J2625" t="s">
        <v>16</v>
      </c>
      <c r="K2625">
        <v>896593.69406259502</v>
      </c>
      <c r="L2625" t="s">
        <v>17</v>
      </c>
      <c r="M2625">
        <v>0</v>
      </c>
      <c r="N2625">
        <v>0.355111909845161</v>
      </c>
    </row>
    <row r="2626" spans="2:14" x14ac:dyDescent="0.25">
      <c r="B2626" t="s">
        <v>14</v>
      </c>
      <c r="C2626" s="1">
        <v>46086.999988425923</v>
      </c>
      <c r="D2626">
        <v>25.151848600500401</v>
      </c>
      <c r="E2626">
        <v>318391.09905369597</v>
      </c>
      <c r="F2626" s="1">
        <v>46086.099803240744</v>
      </c>
      <c r="G2626">
        <v>52.873303969916599</v>
      </c>
      <c r="H2626" t="s">
        <v>28</v>
      </c>
      <c r="J2626" t="s">
        <v>16</v>
      </c>
      <c r="K2626">
        <v>896593.69406259502</v>
      </c>
      <c r="L2626" t="s">
        <v>17</v>
      </c>
      <c r="M2626">
        <v>0</v>
      </c>
      <c r="N2626">
        <v>0.355111909845161</v>
      </c>
    </row>
    <row r="2627" spans="2:14" x14ac:dyDescent="0.25">
      <c r="B2627" t="s">
        <v>14</v>
      </c>
      <c r="C2627" s="1">
        <v>46085.999988425923</v>
      </c>
      <c r="D2627">
        <v>25.151848600500401</v>
      </c>
      <c r="E2627">
        <v>314708.14794170402</v>
      </c>
      <c r="F2627" s="1">
        <v>46083.60628472222</v>
      </c>
      <c r="G2627">
        <v>52.873303969916599</v>
      </c>
      <c r="H2627" t="s">
        <v>28</v>
      </c>
      <c r="J2627" t="s">
        <v>16</v>
      </c>
      <c r="K2627">
        <v>896593.69406259502</v>
      </c>
      <c r="L2627" t="s">
        <v>17</v>
      </c>
      <c r="M2627">
        <v>-3682.95111199235</v>
      </c>
      <c r="N2627">
        <v>0.35100419512847097</v>
      </c>
    </row>
    <row r="2628" spans="2:14" x14ac:dyDescent="0.25">
      <c r="B2628" t="s">
        <v>14</v>
      </c>
      <c r="C2628" s="1">
        <v>46084.999988425923</v>
      </c>
      <c r="D2628">
        <v>25.151848600500401</v>
      </c>
      <c r="E2628">
        <v>314708.14794170402</v>
      </c>
      <c r="F2628" s="1">
        <v>46083.60628472222</v>
      </c>
      <c r="G2628">
        <v>52.873303969916599</v>
      </c>
      <c r="H2628" t="s">
        <v>28</v>
      </c>
      <c r="J2628" t="s">
        <v>16</v>
      </c>
      <c r="K2628">
        <v>896593.69406259502</v>
      </c>
      <c r="L2628" t="s">
        <v>17</v>
      </c>
      <c r="M2628">
        <v>0</v>
      </c>
      <c r="N2628">
        <v>0.35100419512847097</v>
      </c>
    </row>
    <row r="2629" spans="2:14" x14ac:dyDescent="0.25">
      <c r="B2629" t="s">
        <v>14</v>
      </c>
      <c r="C2629" s="1">
        <v>46083.999988425923</v>
      </c>
      <c r="D2629">
        <v>25.151848600500401</v>
      </c>
      <c r="E2629">
        <v>314708.14794170402</v>
      </c>
      <c r="F2629" s="1">
        <v>46083.60628472222</v>
      </c>
      <c r="G2629">
        <v>52.873303969916599</v>
      </c>
      <c r="H2629" t="s">
        <v>28</v>
      </c>
      <c r="J2629" t="s">
        <v>16</v>
      </c>
      <c r="K2629">
        <v>896593.69406259502</v>
      </c>
      <c r="L2629" t="s">
        <v>17</v>
      </c>
      <c r="M2629">
        <v>0</v>
      </c>
      <c r="N2629">
        <v>0.35100419512847097</v>
      </c>
    </row>
    <row r="2630" spans="2:14" x14ac:dyDescent="0.25">
      <c r="B2630" t="s">
        <v>14</v>
      </c>
      <c r="C2630" s="1">
        <v>46082.999988425923</v>
      </c>
      <c r="D2630">
        <v>25.151848600500401</v>
      </c>
      <c r="E2630">
        <v>896593.69406259502</v>
      </c>
      <c r="F2630" s="1">
        <v>46080.099097222221</v>
      </c>
      <c r="G2630">
        <v>52.873303969916599</v>
      </c>
      <c r="H2630" t="s">
        <v>28</v>
      </c>
      <c r="J2630" t="s">
        <v>16</v>
      </c>
      <c r="K2630">
        <v>896593.69406259502</v>
      </c>
      <c r="L2630" t="s">
        <v>17</v>
      </c>
      <c r="M2630">
        <v>581885.546120891</v>
      </c>
      <c r="N2630">
        <v>1</v>
      </c>
    </row>
    <row r="2631" spans="2:14" x14ac:dyDescent="0.25">
      <c r="B2631" t="s">
        <v>14</v>
      </c>
      <c r="C2631" s="1">
        <v>46081.999988425923</v>
      </c>
      <c r="D2631">
        <v>25.151848600500401</v>
      </c>
      <c r="E2631">
        <v>896593.69406259502</v>
      </c>
      <c r="F2631" s="1">
        <v>46080.099097222221</v>
      </c>
      <c r="G2631">
        <v>52.873303969916599</v>
      </c>
      <c r="H2631" t="s">
        <v>28</v>
      </c>
      <c r="J2631" t="s">
        <v>16</v>
      </c>
      <c r="K2631">
        <v>896593.69406259502</v>
      </c>
      <c r="L2631" t="s">
        <v>17</v>
      </c>
      <c r="M2631">
        <v>0</v>
      </c>
      <c r="N2631">
        <v>1</v>
      </c>
    </row>
    <row r="2632" spans="2:14" x14ac:dyDescent="0.25">
      <c r="B2632" t="s">
        <v>14</v>
      </c>
      <c r="C2632" s="1">
        <v>46080.999988425923</v>
      </c>
      <c r="D2632">
        <v>25.151848600500401</v>
      </c>
      <c r="E2632">
        <v>896593.69406259502</v>
      </c>
      <c r="F2632" s="1">
        <v>46080.099097222221</v>
      </c>
      <c r="G2632">
        <v>52.873303969916599</v>
      </c>
      <c r="H2632" t="s">
        <v>28</v>
      </c>
      <c r="J2632" t="s">
        <v>16</v>
      </c>
      <c r="K2632">
        <v>896593.69406259502</v>
      </c>
      <c r="L2632" t="s">
        <v>17</v>
      </c>
      <c r="M2632">
        <v>0</v>
      </c>
      <c r="N2632">
        <v>1</v>
      </c>
    </row>
    <row r="2633" spans="2:14" x14ac:dyDescent="0.25">
      <c r="B2633" t="s">
        <v>14</v>
      </c>
      <c r="C2633" s="1">
        <v>46079.999988425923</v>
      </c>
      <c r="D2633">
        <v>25.151848600500401</v>
      </c>
      <c r="E2633">
        <v>671610.14052351704</v>
      </c>
      <c r="F2633" s="1">
        <v>46077.605474537035</v>
      </c>
      <c r="G2633">
        <v>52.873303969916599</v>
      </c>
      <c r="H2633" t="s">
        <v>28</v>
      </c>
      <c r="J2633" t="s">
        <v>16</v>
      </c>
      <c r="K2633">
        <v>896593.69406259502</v>
      </c>
      <c r="L2633" t="s">
        <v>17</v>
      </c>
      <c r="M2633">
        <v>-224983.55353907699</v>
      </c>
      <c r="N2633">
        <v>0.749068552423511</v>
      </c>
    </row>
    <row r="2634" spans="2:14" x14ac:dyDescent="0.25">
      <c r="B2634" t="s">
        <v>14</v>
      </c>
      <c r="C2634" s="1">
        <v>46078.999988425923</v>
      </c>
      <c r="D2634">
        <v>25.151848600500401</v>
      </c>
      <c r="E2634">
        <v>671610.14052351704</v>
      </c>
      <c r="F2634" s="1">
        <v>46077.605474537035</v>
      </c>
      <c r="G2634">
        <v>52.873303969916599</v>
      </c>
      <c r="H2634" t="s">
        <v>28</v>
      </c>
      <c r="J2634" t="s">
        <v>16</v>
      </c>
      <c r="K2634">
        <v>896593.69406259502</v>
      </c>
      <c r="L2634" t="s">
        <v>17</v>
      </c>
      <c r="M2634">
        <v>0</v>
      </c>
      <c r="N2634">
        <v>0.749068552423511</v>
      </c>
    </row>
    <row r="2635" spans="2:14" x14ac:dyDescent="0.25">
      <c r="B2635" t="s">
        <v>14</v>
      </c>
      <c r="C2635" s="1">
        <v>46077.999988425923</v>
      </c>
      <c r="D2635">
        <v>25.151848600500401</v>
      </c>
      <c r="E2635">
        <v>671610.14052351704</v>
      </c>
      <c r="F2635" s="1">
        <v>46077.605474537035</v>
      </c>
      <c r="G2635">
        <v>52.873303969916599</v>
      </c>
      <c r="H2635" t="s">
        <v>28</v>
      </c>
      <c r="J2635" t="s">
        <v>16</v>
      </c>
      <c r="K2635">
        <v>896593.69406259502</v>
      </c>
      <c r="L2635" t="s">
        <v>17</v>
      </c>
      <c r="M2635">
        <v>0</v>
      </c>
      <c r="N2635">
        <v>0.749068552423511</v>
      </c>
    </row>
    <row r="2636" spans="2:14" x14ac:dyDescent="0.25">
      <c r="B2636" t="s">
        <v>14</v>
      </c>
      <c r="C2636" s="1">
        <v>46076.999988425923</v>
      </c>
      <c r="D2636">
        <v>25.151848600500401</v>
      </c>
      <c r="E2636">
        <v>896593.69406259502</v>
      </c>
      <c r="F2636" s="1">
        <v>46074.099803240744</v>
      </c>
      <c r="G2636">
        <v>52.873303969916599</v>
      </c>
      <c r="H2636" t="s">
        <v>28</v>
      </c>
      <c r="J2636" t="s">
        <v>16</v>
      </c>
      <c r="K2636">
        <v>896593.69406259502</v>
      </c>
      <c r="L2636" t="s">
        <v>17</v>
      </c>
      <c r="M2636">
        <v>224983.55353907699</v>
      </c>
      <c r="N2636">
        <v>1</v>
      </c>
    </row>
    <row r="2637" spans="2:14" x14ac:dyDescent="0.25">
      <c r="B2637" t="s">
        <v>14</v>
      </c>
      <c r="C2637" s="1">
        <v>46075.999988425923</v>
      </c>
      <c r="D2637">
        <v>25.151848600500401</v>
      </c>
      <c r="E2637">
        <v>896593.69406259502</v>
      </c>
      <c r="F2637" s="1">
        <v>46074.099803240744</v>
      </c>
      <c r="G2637">
        <v>52.873303969916599</v>
      </c>
      <c r="H2637" t="s">
        <v>28</v>
      </c>
      <c r="J2637" t="s">
        <v>16</v>
      </c>
      <c r="K2637">
        <v>896593.69406259502</v>
      </c>
      <c r="L2637" t="s">
        <v>17</v>
      </c>
      <c r="M2637">
        <v>0</v>
      </c>
      <c r="N2637">
        <v>1</v>
      </c>
    </row>
    <row r="2638" spans="2:14" x14ac:dyDescent="0.25">
      <c r="B2638" t="s">
        <v>14</v>
      </c>
      <c r="C2638" s="1">
        <v>46074.999988425923</v>
      </c>
      <c r="D2638">
        <v>25.151848600500401</v>
      </c>
      <c r="E2638">
        <v>896593.69406259502</v>
      </c>
      <c r="F2638" s="1">
        <v>46074.099803240744</v>
      </c>
      <c r="G2638">
        <v>52.873303969916599</v>
      </c>
      <c r="H2638" t="s">
        <v>28</v>
      </c>
      <c r="J2638" t="s">
        <v>16</v>
      </c>
      <c r="K2638">
        <v>896593.69406259502</v>
      </c>
      <c r="L2638" t="s">
        <v>17</v>
      </c>
      <c r="M2638">
        <v>0</v>
      </c>
      <c r="N2638">
        <v>1</v>
      </c>
    </row>
    <row r="2639" spans="2:14" x14ac:dyDescent="0.25">
      <c r="B2639" t="s">
        <v>14</v>
      </c>
      <c r="C2639" s="1">
        <v>46073.999988425923</v>
      </c>
      <c r="D2639">
        <v>25.151848600500401</v>
      </c>
      <c r="E2639">
        <v>271168.16544398898</v>
      </c>
      <c r="F2639" s="1">
        <v>46071.606296296297</v>
      </c>
      <c r="G2639">
        <v>52.873303969916599</v>
      </c>
      <c r="H2639" t="s">
        <v>28</v>
      </c>
      <c r="J2639" t="s">
        <v>16</v>
      </c>
      <c r="K2639">
        <v>896593.69406259502</v>
      </c>
      <c r="L2639" t="s">
        <v>17</v>
      </c>
      <c r="M2639">
        <v>-625425.52861860604</v>
      </c>
      <c r="N2639">
        <v>0.30244264178937802</v>
      </c>
    </row>
    <row r="2640" spans="2:14" x14ac:dyDescent="0.25">
      <c r="B2640" t="s">
        <v>14</v>
      </c>
      <c r="C2640" s="1">
        <v>46072.999988425923</v>
      </c>
      <c r="D2640">
        <v>25.151848600500401</v>
      </c>
      <c r="E2640">
        <v>271168.16544398898</v>
      </c>
      <c r="F2640" s="1">
        <v>46071.606296296297</v>
      </c>
      <c r="G2640">
        <v>52.873303969916599</v>
      </c>
      <c r="H2640" t="s">
        <v>28</v>
      </c>
      <c r="J2640" t="s">
        <v>16</v>
      </c>
      <c r="K2640">
        <v>896593.69406259502</v>
      </c>
      <c r="L2640" t="s">
        <v>17</v>
      </c>
      <c r="M2640">
        <v>0</v>
      </c>
      <c r="N2640">
        <v>0.30244264178937802</v>
      </c>
    </row>
    <row r="2641" spans="2:14" x14ac:dyDescent="0.25">
      <c r="B2641" t="s">
        <v>14</v>
      </c>
      <c r="C2641" s="1">
        <v>46071.999988425923</v>
      </c>
      <c r="D2641">
        <v>25.151848600500401</v>
      </c>
      <c r="E2641">
        <v>271168.16544398898</v>
      </c>
      <c r="F2641" s="1">
        <v>46071.606296296297</v>
      </c>
      <c r="G2641">
        <v>52.873303969916599</v>
      </c>
      <c r="H2641" t="s">
        <v>28</v>
      </c>
      <c r="J2641" t="s">
        <v>16</v>
      </c>
      <c r="K2641">
        <v>896593.69406259502</v>
      </c>
      <c r="L2641" t="s">
        <v>17</v>
      </c>
      <c r="M2641">
        <v>0</v>
      </c>
      <c r="N2641">
        <v>0.30244264178937802</v>
      </c>
    </row>
    <row r="2642" spans="2:14" x14ac:dyDescent="0.25">
      <c r="B2642" t="s">
        <v>14</v>
      </c>
      <c r="C2642" s="1">
        <v>46070.999988425923</v>
      </c>
      <c r="D2642">
        <v>25.151848600500401</v>
      </c>
      <c r="E2642">
        <v>281851.19284521299</v>
      </c>
      <c r="F2642" s="1">
        <v>46068.099097222221</v>
      </c>
      <c r="G2642">
        <v>52.873303969916599</v>
      </c>
      <c r="H2642" t="s">
        <v>28</v>
      </c>
      <c r="J2642" t="s">
        <v>16</v>
      </c>
      <c r="K2642">
        <v>896593.69406259502</v>
      </c>
      <c r="L2642" t="s">
        <v>17</v>
      </c>
      <c r="M2642">
        <v>10683.027401224001</v>
      </c>
      <c r="N2642">
        <v>0.31435776842028001</v>
      </c>
    </row>
    <row r="2643" spans="2:14" x14ac:dyDescent="0.25">
      <c r="B2643" t="s">
        <v>14</v>
      </c>
      <c r="C2643" s="1">
        <v>46069.999988425923</v>
      </c>
      <c r="D2643">
        <v>25.151848600500401</v>
      </c>
      <c r="E2643">
        <v>281851.19284521299</v>
      </c>
      <c r="F2643" s="1">
        <v>46068.099097222221</v>
      </c>
      <c r="G2643">
        <v>52.873303969916599</v>
      </c>
      <c r="H2643" t="s">
        <v>28</v>
      </c>
      <c r="J2643" t="s">
        <v>16</v>
      </c>
      <c r="K2643">
        <v>896593.69406259502</v>
      </c>
      <c r="L2643" t="s">
        <v>17</v>
      </c>
      <c r="M2643">
        <v>0</v>
      </c>
      <c r="N2643">
        <v>0.31435776842028001</v>
      </c>
    </row>
    <row r="2644" spans="2:14" x14ac:dyDescent="0.25">
      <c r="B2644" t="s">
        <v>14</v>
      </c>
      <c r="C2644" s="1">
        <v>46068.999988425923</v>
      </c>
      <c r="D2644">
        <v>25.151848600500401</v>
      </c>
      <c r="E2644">
        <v>281851.19284521299</v>
      </c>
      <c r="F2644" s="1">
        <v>46068.099097222221</v>
      </c>
      <c r="G2644">
        <v>52.873303969916599</v>
      </c>
      <c r="H2644" t="s">
        <v>28</v>
      </c>
      <c r="J2644" t="s">
        <v>16</v>
      </c>
      <c r="K2644">
        <v>896593.69406259502</v>
      </c>
      <c r="L2644" t="s">
        <v>17</v>
      </c>
      <c r="M2644">
        <v>0</v>
      </c>
      <c r="N2644">
        <v>0.31435776842028001</v>
      </c>
    </row>
    <row r="2645" spans="2:14" x14ac:dyDescent="0.25">
      <c r="B2645" t="s">
        <v>14</v>
      </c>
      <c r="C2645" s="1">
        <v>46067.999988425923</v>
      </c>
      <c r="D2645">
        <v>25.151848600500401</v>
      </c>
      <c r="E2645">
        <v>248482.73231968601</v>
      </c>
      <c r="F2645" s="1">
        <v>46065.605474537035</v>
      </c>
      <c r="G2645">
        <v>52.873303969916599</v>
      </c>
      <c r="H2645" t="s">
        <v>28</v>
      </c>
      <c r="J2645" t="s">
        <v>16</v>
      </c>
      <c r="K2645">
        <v>896593.69406259502</v>
      </c>
      <c r="L2645" t="s">
        <v>17</v>
      </c>
      <c r="M2645">
        <v>-33368.460525526498</v>
      </c>
      <c r="N2645">
        <v>0.27714084313238402</v>
      </c>
    </row>
    <row r="2646" spans="2:14" x14ac:dyDescent="0.25">
      <c r="B2646" t="s">
        <v>14</v>
      </c>
      <c r="C2646" s="1">
        <v>46066.999988425923</v>
      </c>
      <c r="D2646">
        <v>25.151848600500401</v>
      </c>
      <c r="E2646">
        <v>248482.73231968601</v>
      </c>
      <c r="F2646" s="1">
        <v>46065.605474537035</v>
      </c>
      <c r="G2646">
        <v>52.873303969916599</v>
      </c>
      <c r="H2646" t="s">
        <v>28</v>
      </c>
      <c r="J2646" t="s">
        <v>16</v>
      </c>
      <c r="K2646">
        <v>896593.69406259502</v>
      </c>
      <c r="L2646" t="s">
        <v>17</v>
      </c>
      <c r="M2646">
        <v>0</v>
      </c>
      <c r="N2646">
        <v>0.27714084313238402</v>
      </c>
    </row>
    <row r="2647" spans="2:14" x14ac:dyDescent="0.25">
      <c r="B2647" t="s">
        <v>14</v>
      </c>
      <c r="C2647" s="1">
        <v>46065.999988425923</v>
      </c>
      <c r="D2647">
        <v>25.151848600500401</v>
      </c>
      <c r="E2647">
        <v>248482.73231968601</v>
      </c>
      <c r="F2647" s="1">
        <v>46065.605474537035</v>
      </c>
      <c r="G2647">
        <v>52.873303969916599</v>
      </c>
      <c r="H2647" t="s">
        <v>28</v>
      </c>
      <c r="J2647" t="s">
        <v>16</v>
      </c>
      <c r="K2647">
        <v>896593.69406259502</v>
      </c>
      <c r="L2647" t="s">
        <v>17</v>
      </c>
      <c r="M2647">
        <v>0</v>
      </c>
      <c r="N2647">
        <v>0.27714084313238402</v>
      </c>
    </row>
    <row r="2648" spans="2:14" x14ac:dyDescent="0.25">
      <c r="B2648" t="s">
        <v>14</v>
      </c>
      <c r="C2648" s="1">
        <v>46064.999988425923</v>
      </c>
      <c r="D2648">
        <v>25.151848600500401</v>
      </c>
      <c r="E2648">
        <v>896593.69406259502</v>
      </c>
      <c r="F2648" s="1">
        <v>46062.099814814814</v>
      </c>
      <c r="G2648">
        <v>52.873303969916599</v>
      </c>
      <c r="H2648" t="s">
        <v>28</v>
      </c>
      <c r="J2648" t="s">
        <v>16</v>
      </c>
      <c r="K2648">
        <v>896593.69406259502</v>
      </c>
      <c r="L2648" t="s">
        <v>17</v>
      </c>
      <c r="M2648">
        <v>648110.961742908</v>
      </c>
      <c r="N2648">
        <v>1</v>
      </c>
    </row>
    <row r="2649" spans="2:14" x14ac:dyDescent="0.25">
      <c r="B2649" t="s">
        <v>14</v>
      </c>
      <c r="C2649" s="1">
        <v>46063.999988425923</v>
      </c>
      <c r="D2649">
        <v>25.151848600500401</v>
      </c>
      <c r="E2649">
        <v>896593.69406259502</v>
      </c>
      <c r="F2649" s="1">
        <v>46062.099814814814</v>
      </c>
      <c r="G2649">
        <v>52.873303969916599</v>
      </c>
      <c r="H2649" t="s">
        <v>28</v>
      </c>
      <c r="J2649" t="s">
        <v>16</v>
      </c>
      <c r="K2649">
        <v>896593.69406259502</v>
      </c>
      <c r="L2649" t="s">
        <v>17</v>
      </c>
      <c r="M2649">
        <v>0</v>
      </c>
      <c r="N2649">
        <v>1</v>
      </c>
    </row>
    <row r="2650" spans="2:14" x14ac:dyDescent="0.25">
      <c r="B2650" t="s">
        <v>14</v>
      </c>
      <c r="C2650" s="1">
        <v>46062.999988425923</v>
      </c>
      <c r="D2650">
        <v>25.151848600500401</v>
      </c>
      <c r="E2650">
        <v>896593.69406259502</v>
      </c>
      <c r="F2650" s="1">
        <v>46062.099814814814</v>
      </c>
      <c r="G2650">
        <v>52.873303969916599</v>
      </c>
      <c r="H2650" t="s">
        <v>28</v>
      </c>
      <c r="J2650" t="s">
        <v>16</v>
      </c>
      <c r="K2650">
        <v>896593.69406259502</v>
      </c>
      <c r="L2650" t="s">
        <v>17</v>
      </c>
      <c r="M2650">
        <v>0</v>
      </c>
      <c r="N2650">
        <v>1</v>
      </c>
    </row>
    <row r="2651" spans="2:14" x14ac:dyDescent="0.25">
      <c r="B2651" t="s">
        <v>14</v>
      </c>
      <c r="C2651" s="1">
        <v>46061.999988425923</v>
      </c>
      <c r="D2651">
        <v>25.151848600500401</v>
      </c>
      <c r="E2651">
        <v>252529.18896636699</v>
      </c>
      <c r="F2651" s="1">
        <v>46059.606296296297</v>
      </c>
      <c r="G2651">
        <v>52.873303969916599</v>
      </c>
      <c r="H2651" t="s">
        <v>28</v>
      </c>
      <c r="J2651" t="s">
        <v>16</v>
      </c>
      <c r="K2651">
        <v>896593.69406259502</v>
      </c>
      <c r="L2651" t="s">
        <v>17</v>
      </c>
      <c r="M2651">
        <v>-644064.50509622798</v>
      </c>
      <c r="N2651">
        <v>0.28165398735086</v>
      </c>
    </row>
    <row r="2652" spans="2:14" x14ac:dyDescent="0.25">
      <c r="B2652" t="s">
        <v>14</v>
      </c>
      <c r="C2652" s="1">
        <v>46060.999988425923</v>
      </c>
      <c r="D2652">
        <v>25.151848600500401</v>
      </c>
      <c r="E2652">
        <v>252529.18896636699</v>
      </c>
      <c r="F2652" s="1">
        <v>46059.606296296297</v>
      </c>
      <c r="G2652">
        <v>52.873303969916599</v>
      </c>
      <c r="H2652" t="s">
        <v>28</v>
      </c>
      <c r="J2652" t="s">
        <v>16</v>
      </c>
      <c r="K2652">
        <v>896593.69406259502</v>
      </c>
      <c r="L2652" t="s">
        <v>17</v>
      </c>
      <c r="M2652">
        <v>0</v>
      </c>
      <c r="N2652">
        <v>0.28165398735086</v>
      </c>
    </row>
    <row r="2653" spans="2:14" x14ac:dyDescent="0.25">
      <c r="B2653" t="s">
        <v>14</v>
      </c>
      <c r="C2653" s="1">
        <v>46059.999988425923</v>
      </c>
      <c r="D2653">
        <v>25.151848600500401</v>
      </c>
      <c r="E2653">
        <v>252529.18896636699</v>
      </c>
      <c r="F2653" s="1">
        <v>46059.606296296297</v>
      </c>
      <c r="G2653">
        <v>52.873303969916599</v>
      </c>
      <c r="H2653" t="s">
        <v>28</v>
      </c>
      <c r="J2653" t="s">
        <v>16</v>
      </c>
      <c r="K2653">
        <v>896593.69406259502</v>
      </c>
      <c r="L2653" t="s">
        <v>17</v>
      </c>
      <c r="M2653">
        <v>0</v>
      </c>
      <c r="N2653">
        <v>0.28165398735086</v>
      </c>
    </row>
    <row r="2654" spans="2:14" x14ac:dyDescent="0.25">
      <c r="B2654" t="s">
        <v>14</v>
      </c>
      <c r="C2654" s="1">
        <v>46058.999988425923</v>
      </c>
      <c r="D2654">
        <v>25.151848600500401</v>
      </c>
      <c r="E2654">
        <v>264687.71144514799</v>
      </c>
      <c r="F2654" s="1">
        <v>46056.099097222221</v>
      </c>
      <c r="G2654">
        <v>52.873303969916599</v>
      </c>
      <c r="H2654" t="s">
        <v>28</v>
      </c>
      <c r="J2654" t="s">
        <v>16</v>
      </c>
      <c r="K2654">
        <v>896593.69406259502</v>
      </c>
      <c r="L2654" t="s">
        <v>17</v>
      </c>
      <c r="M2654">
        <v>12158.5224787815</v>
      </c>
      <c r="N2654">
        <v>0.295214781453358</v>
      </c>
    </row>
    <row r="2655" spans="2:14" x14ac:dyDescent="0.25">
      <c r="B2655" t="s">
        <v>14</v>
      </c>
      <c r="C2655" s="1">
        <v>46057.999988425923</v>
      </c>
      <c r="D2655">
        <v>25.151848600500401</v>
      </c>
      <c r="E2655">
        <v>264687.71144514799</v>
      </c>
      <c r="F2655" s="1">
        <v>46056.099097222221</v>
      </c>
      <c r="G2655">
        <v>52.873303969916599</v>
      </c>
      <c r="H2655" t="s">
        <v>28</v>
      </c>
      <c r="J2655" t="s">
        <v>16</v>
      </c>
      <c r="K2655">
        <v>896593.69406259502</v>
      </c>
      <c r="L2655" t="s">
        <v>17</v>
      </c>
      <c r="M2655">
        <v>0</v>
      </c>
      <c r="N2655">
        <v>0.295214781453358</v>
      </c>
    </row>
    <row r="2656" spans="2:14" x14ac:dyDescent="0.25">
      <c r="B2656" t="s">
        <v>14</v>
      </c>
      <c r="C2656" s="1">
        <v>46056.999988425923</v>
      </c>
      <c r="D2656">
        <v>25.151848600500401</v>
      </c>
      <c r="E2656">
        <v>264687.71144514799</v>
      </c>
      <c r="F2656" s="1">
        <v>46056.099097222221</v>
      </c>
      <c r="G2656">
        <v>52.873303969916599</v>
      </c>
      <c r="H2656" t="s">
        <v>28</v>
      </c>
      <c r="J2656" t="s">
        <v>16</v>
      </c>
      <c r="K2656">
        <v>896593.69406259502</v>
      </c>
      <c r="L2656" t="s">
        <v>17</v>
      </c>
      <c r="M2656">
        <v>0</v>
      </c>
      <c r="N2656">
        <v>0.295214781453358</v>
      </c>
    </row>
    <row r="2657" spans="2:14" x14ac:dyDescent="0.25">
      <c r="B2657" t="s">
        <v>14</v>
      </c>
      <c r="C2657" s="1">
        <v>46055.999988425923</v>
      </c>
      <c r="D2657">
        <v>25.151848600500401</v>
      </c>
      <c r="E2657">
        <v>896593.69406259502</v>
      </c>
      <c r="F2657" s="1">
        <v>46053.605474537035</v>
      </c>
      <c r="G2657">
        <v>52.873303969916599</v>
      </c>
      <c r="H2657" t="s">
        <v>28</v>
      </c>
      <c r="J2657" t="s">
        <v>16</v>
      </c>
      <c r="K2657">
        <v>896593.69406259502</v>
      </c>
      <c r="L2657" t="s">
        <v>17</v>
      </c>
      <c r="M2657">
        <v>631905.98261744599</v>
      </c>
      <c r="N2657">
        <v>1</v>
      </c>
    </row>
    <row r="2658" spans="2:14" x14ac:dyDescent="0.25">
      <c r="B2658" t="s">
        <v>14</v>
      </c>
      <c r="C2658" s="1">
        <v>46054.999988425923</v>
      </c>
      <c r="D2658">
        <v>25.151848600500401</v>
      </c>
      <c r="E2658">
        <v>896593.69406259502</v>
      </c>
      <c r="F2658" s="1">
        <v>46053.605474537035</v>
      </c>
      <c r="G2658">
        <v>52.873303969916599</v>
      </c>
      <c r="H2658" t="s">
        <v>28</v>
      </c>
      <c r="J2658" t="s">
        <v>16</v>
      </c>
      <c r="K2658">
        <v>896593.69406259502</v>
      </c>
      <c r="L2658" t="s">
        <v>17</v>
      </c>
      <c r="M2658">
        <v>0</v>
      </c>
      <c r="N2658">
        <v>1</v>
      </c>
    </row>
    <row r="2659" spans="2:14" x14ac:dyDescent="0.25">
      <c r="B2659" t="s">
        <v>14</v>
      </c>
      <c r="C2659" s="1">
        <v>46053.999988425923</v>
      </c>
      <c r="D2659">
        <v>25.151848600500401</v>
      </c>
      <c r="E2659">
        <v>896593.69406259502</v>
      </c>
      <c r="F2659" s="1">
        <v>46053.605474537035</v>
      </c>
      <c r="G2659">
        <v>52.873303969916599</v>
      </c>
      <c r="H2659" t="s">
        <v>28</v>
      </c>
      <c r="J2659" t="s">
        <v>16</v>
      </c>
      <c r="K2659">
        <v>896593.69406259502</v>
      </c>
      <c r="L2659" t="s">
        <v>17</v>
      </c>
      <c r="M2659">
        <v>0</v>
      </c>
      <c r="N2659">
        <v>1</v>
      </c>
    </row>
    <row r="2660" spans="2:14" x14ac:dyDescent="0.25">
      <c r="B2660" t="s">
        <v>14</v>
      </c>
      <c r="C2660" s="1">
        <v>46052.999988425923</v>
      </c>
      <c r="D2660">
        <v>25.151848600500401</v>
      </c>
      <c r="E2660">
        <v>280583.11873264</v>
      </c>
      <c r="F2660" s="1">
        <v>46050.099814814814</v>
      </c>
      <c r="G2660">
        <v>52.873303969916599</v>
      </c>
      <c r="H2660" t="s">
        <v>28</v>
      </c>
      <c r="J2660" t="s">
        <v>16</v>
      </c>
      <c r="K2660">
        <v>896593.69406259502</v>
      </c>
      <c r="L2660" t="s">
        <v>17</v>
      </c>
      <c r="M2660">
        <v>-616010.57532995404</v>
      </c>
      <c r="N2660">
        <v>0.31294344427215098</v>
      </c>
    </row>
    <row r="2661" spans="2:14" x14ac:dyDescent="0.25">
      <c r="B2661" t="s">
        <v>14</v>
      </c>
      <c r="C2661" s="1">
        <v>46051.999988425923</v>
      </c>
      <c r="D2661">
        <v>25.151848600500401</v>
      </c>
      <c r="E2661">
        <v>280583.11873264</v>
      </c>
      <c r="F2661" s="1">
        <v>46050.099814814814</v>
      </c>
      <c r="G2661">
        <v>52.873303969916599</v>
      </c>
      <c r="H2661" t="s">
        <v>28</v>
      </c>
      <c r="J2661" t="s">
        <v>16</v>
      </c>
      <c r="K2661">
        <v>896593.69406259502</v>
      </c>
      <c r="L2661" t="s">
        <v>17</v>
      </c>
      <c r="M2661">
        <v>0</v>
      </c>
      <c r="N2661">
        <v>0.31294344427215098</v>
      </c>
    </row>
    <row r="2662" spans="2:14" x14ac:dyDescent="0.25">
      <c r="B2662" t="s">
        <v>14</v>
      </c>
      <c r="C2662" s="1">
        <v>46050.999988425923</v>
      </c>
      <c r="D2662">
        <v>25.151848600500401</v>
      </c>
      <c r="E2662">
        <v>280583.11873264</v>
      </c>
      <c r="F2662" s="1">
        <v>46050.099814814814</v>
      </c>
      <c r="G2662">
        <v>52.873303969916599</v>
      </c>
      <c r="H2662" t="s">
        <v>28</v>
      </c>
      <c r="J2662" t="s">
        <v>16</v>
      </c>
      <c r="K2662">
        <v>896593.69406259502</v>
      </c>
      <c r="L2662" t="s">
        <v>17</v>
      </c>
      <c r="M2662">
        <v>0</v>
      </c>
      <c r="N2662">
        <v>0.31294344427215098</v>
      </c>
    </row>
    <row r="2663" spans="2:14" x14ac:dyDescent="0.25">
      <c r="B2663" t="s">
        <v>14</v>
      </c>
      <c r="C2663" s="1">
        <v>46049.999988425923</v>
      </c>
      <c r="D2663">
        <v>25.151848600500401</v>
      </c>
      <c r="E2663">
        <v>276990.09082089702</v>
      </c>
      <c r="F2663" s="1">
        <v>46047.606307870374</v>
      </c>
      <c r="G2663">
        <v>52.873303969916599</v>
      </c>
      <c r="H2663" t="s">
        <v>28</v>
      </c>
      <c r="J2663" t="s">
        <v>16</v>
      </c>
      <c r="K2663">
        <v>896593.69406259502</v>
      </c>
      <c r="L2663" t="s">
        <v>17</v>
      </c>
      <c r="M2663">
        <v>-3593.0279117436098</v>
      </c>
      <c r="N2663">
        <v>0.30893602381454899</v>
      </c>
    </row>
    <row r="2664" spans="2:14" x14ac:dyDescent="0.25">
      <c r="B2664" t="s">
        <v>14</v>
      </c>
      <c r="C2664" s="1">
        <v>46048.999988425923</v>
      </c>
      <c r="D2664">
        <v>25.151848600500401</v>
      </c>
      <c r="E2664">
        <v>276990.09082089702</v>
      </c>
      <c r="F2664" s="1">
        <v>46047.606307870374</v>
      </c>
      <c r="G2664">
        <v>52.873303969916599</v>
      </c>
      <c r="H2664" t="s">
        <v>28</v>
      </c>
      <c r="J2664" t="s">
        <v>16</v>
      </c>
      <c r="K2664">
        <v>896593.69406259502</v>
      </c>
      <c r="L2664" t="s">
        <v>17</v>
      </c>
      <c r="M2664">
        <v>0</v>
      </c>
      <c r="N2664">
        <v>0.30893602381454899</v>
      </c>
    </row>
    <row r="2665" spans="2:14" x14ac:dyDescent="0.25">
      <c r="B2665" t="s">
        <v>14</v>
      </c>
      <c r="C2665" s="1">
        <v>46047.999988425923</v>
      </c>
      <c r="D2665">
        <v>25.151848600500401</v>
      </c>
      <c r="E2665">
        <v>276990.09082089702</v>
      </c>
      <c r="F2665" s="1">
        <v>46047.606307870374</v>
      </c>
      <c r="G2665">
        <v>52.873303969916599</v>
      </c>
      <c r="H2665" t="s">
        <v>28</v>
      </c>
      <c r="J2665" t="s">
        <v>16</v>
      </c>
      <c r="K2665">
        <v>896593.69406259502</v>
      </c>
      <c r="L2665" t="s">
        <v>17</v>
      </c>
      <c r="M2665">
        <v>0</v>
      </c>
      <c r="N2665">
        <v>0.30893602381454899</v>
      </c>
    </row>
    <row r="2666" spans="2:14" x14ac:dyDescent="0.25">
      <c r="B2666" t="s">
        <v>14</v>
      </c>
      <c r="C2666" s="1">
        <v>46046.999988425923</v>
      </c>
      <c r="D2666">
        <v>25.151848600500401</v>
      </c>
      <c r="E2666">
        <v>856182.99742017302</v>
      </c>
      <c r="F2666" s="1">
        <v>46041.605486111112</v>
      </c>
      <c r="G2666">
        <v>52.873303969916599</v>
      </c>
      <c r="H2666" t="s">
        <v>28</v>
      </c>
      <c r="J2666" t="s">
        <v>16</v>
      </c>
      <c r="K2666">
        <v>896593.69406259502</v>
      </c>
      <c r="L2666" t="s">
        <v>17</v>
      </c>
      <c r="M2666">
        <v>579192.906599276</v>
      </c>
      <c r="N2666">
        <v>0.95492864057596005</v>
      </c>
    </row>
    <row r="2667" spans="2:14" x14ac:dyDescent="0.25">
      <c r="B2667" t="s">
        <v>14</v>
      </c>
      <c r="C2667" s="1">
        <v>46045.999988425923</v>
      </c>
      <c r="D2667">
        <v>25.151848600500401</v>
      </c>
      <c r="E2667">
        <v>856182.99742017302</v>
      </c>
      <c r="F2667" s="1">
        <v>46041.605486111112</v>
      </c>
      <c r="G2667">
        <v>52.873303969916599</v>
      </c>
      <c r="H2667" t="s">
        <v>28</v>
      </c>
      <c r="J2667" t="s">
        <v>16</v>
      </c>
      <c r="K2667">
        <v>896593.69406259502</v>
      </c>
      <c r="L2667" t="s">
        <v>17</v>
      </c>
      <c r="M2667">
        <v>0</v>
      </c>
      <c r="N2667">
        <v>0.95492864057596005</v>
      </c>
    </row>
    <row r="2668" spans="2:14" x14ac:dyDescent="0.25">
      <c r="B2668" t="s">
        <v>14</v>
      </c>
      <c r="C2668" s="1">
        <v>46044.999988425923</v>
      </c>
      <c r="D2668">
        <v>25.151848600500401</v>
      </c>
      <c r="E2668">
        <v>856182.99742017302</v>
      </c>
      <c r="F2668" s="1">
        <v>46041.605486111112</v>
      </c>
      <c r="G2668">
        <v>52.873303969916599</v>
      </c>
      <c r="H2668" t="s">
        <v>28</v>
      </c>
      <c r="J2668" t="s">
        <v>16</v>
      </c>
      <c r="K2668">
        <v>896593.69406259502</v>
      </c>
      <c r="L2668" t="s">
        <v>17</v>
      </c>
      <c r="M2668">
        <v>0</v>
      </c>
      <c r="N2668">
        <v>0.95492864057596005</v>
      </c>
    </row>
    <row r="2669" spans="2:14" x14ac:dyDescent="0.25">
      <c r="B2669" t="s">
        <v>14</v>
      </c>
      <c r="C2669" s="1">
        <v>46043.999988425923</v>
      </c>
      <c r="D2669">
        <v>25.151848600500401</v>
      </c>
      <c r="E2669">
        <v>856182.99742017302</v>
      </c>
      <c r="F2669" s="1">
        <v>46041.605486111112</v>
      </c>
      <c r="G2669">
        <v>52.873303969916599</v>
      </c>
      <c r="H2669" t="s">
        <v>28</v>
      </c>
      <c r="J2669" t="s">
        <v>16</v>
      </c>
      <c r="K2669">
        <v>896593.69406259502</v>
      </c>
      <c r="L2669" t="s">
        <v>17</v>
      </c>
      <c r="M2669">
        <v>0</v>
      </c>
      <c r="N2669">
        <v>0.95492864057596005</v>
      </c>
    </row>
    <row r="2670" spans="2:14" x14ac:dyDescent="0.25">
      <c r="B2670" t="s">
        <v>14</v>
      </c>
      <c r="C2670" s="1">
        <v>46042.999988425923</v>
      </c>
      <c r="D2670">
        <v>25.151848600500401</v>
      </c>
      <c r="E2670">
        <v>856182.99742017302</v>
      </c>
      <c r="F2670" s="1">
        <v>46041.605486111112</v>
      </c>
      <c r="G2670">
        <v>52.873303969916599</v>
      </c>
      <c r="H2670" t="s">
        <v>28</v>
      </c>
      <c r="J2670" t="s">
        <v>16</v>
      </c>
      <c r="K2670">
        <v>896593.69406259502</v>
      </c>
      <c r="L2670" t="s">
        <v>17</v>
      </c>
      <c r="M2670">
        <v>0</v>
      </c>
      <c r="N2670">
        <v>0.95492864057596005</v>
      </c>
    </row>
    <row r="2671" spans="2:14" x14ac:dyDescent="0.25">
      <c r="B2671" t="s">
        <v>14</v>
      </c>
      <c r="C2671" s="1">
        <v>46041.999988425923</v>
      </c>
      <c r="D2671">
        <v>25.151848600500401</v>
      </c>
      <c r="E2671">
        <v>856182.99742017302</v>
      </c>
      <c r="F2671" s="1">
        <v>46041.605486111112</v>
      </c>
      <c r="G2671">
        <v>52.873303969916599</v>
      </c>
      <c r="H2671" t="s">
        <v>28</v>
      </c>
      <c r="J2671" t="s">
        <v>16</v>
      </c>
      <c r="K2671">
        <v>896593.69406259502</v>
      </c>
      <c r="L2671" t="s">
        <v>17</v>
      </c>
      <c r="M2671">
        <v>0</v>
      </c>
      <c r="N2671">
        <v>0.95492864057596005</v>
      </c>
    </row>
    <row r="2672" spans="2:14" x14ac:dyDescent="0.25">
      <c r="B2672" t="s">
        <v>14</v>
      </c>
      <c r="C2672" s="1">
        <v>46040.999988425923</v>
      </c>
      <c r="D2672">
        <v>25.151848600500401</v>
      </c>
      <c r="E2672">
        <v>275119.49021249101</v>
      </c>
      <c r="F2672" s="1">
        <v>46038.099826388891</v>
      </c>
      <c r="G2672">
        <v>52.873303969916599</v>
      </c>
      <c r="H2672" t="s">
        <v>28</v>
      </c>
      <c r="J2672" t="s">
        <v>16</v>
      </c>
      <c r="K2672">
        <v>896593.69406259502</v>
      </c>
      <c r="L2672" t="s">
        <v>17</v>
      </c>
      <c r="M2672">
        <v>-581063.50720768096</v>
      </c>
      <c r="N2672">
        <v>0.30684968234149101</v>
      </c>
    </row>
    <row r="2673" spans="2:14" x14ac:dyDescent="0.25">
      <c r="B2673" t="s">
        <v>14</v>
      </c>
      <c r="C2673" s="1">
        <v>46039.999988425923</v>
      </c>
      <c r="D2673">
        <v>25.151848600500401</v>
      </c>
      <c r="E2673">
        <v>275119.49021249101</v>
      </c>
      <c r="F2673" s="1">
        <v>46038.099826388891</v>
      </c>
      <c r="G2673">
        <v>52.873303969916599</v>
      </c>
      <c r="H2673" t="s">
        <v>28</v>
      </c>
      <c r="J2673" t="s">
        <v>16</v>
      </c>
      <c r="K2673">
        <v>896593.69406259502</v>
      </c>
      <c r="L2673" t="s">
        <v>17</v>
      </c>
      <c r="M2673">
        <v>0</v>
      </c>
      <c r="N2673">
        <v>0.30684968234149101</v>
      </c>
    </row>
    <row r="2674" spans="2:14" x14ac:dyDescent="0.25">
      <c r="B2674" t="s">
        <v>14</v>
      </c>
      <c r="C2674" s="1">
        <v>46038.999988425923</v>
      </c>
      <c r="D2674">
        <v>25.151848600500401</v>
      </c>
      <c r="E2674">
        <v>275119.49021249101</v>
      </c>
      <c r="F2674" s="1">
        <v>46038.099826388891</v>
      </c>
      <c r="G2674">
        <v>52.873303969916599</v>
      </c>
      <c r="H2674" t="s">
        <v>28</v>
      </c>
      <c r="J2674" t="s">
        <v>16</v>
      </c>
      <c r="K2674">
        <v>896593.69406259502</v>
      </c>
      <c r="L2674" t="s">
        <v>17</v>
      </c>
      <c r="M2674">
        <v>0</v>
      </c>
      <c r="N2674">
        <v>0.30684968234149101</v>
      </c>
    </row>
    <row r="2675" spans="2:14" x14ac:dyDescent="0.25">
      <c r="B2675" t="s">
        <v>14</v>
      </c>
      <c r="C2675" s="1">
        <v>46037.999988425923</v>
      </c>
      <c r="D2675">
        <v>25.151848600500401</v>
      </c>
      <c r="E2675">
        <v>239746.32975028999</v>
      </c>
      <c r="F2675" s="1">
        <v>46035.606319444443</v>
      </c>
      <c r="G2675">
        <v>52.873303969916599</v>
      </c>
      <c r="H2675" t="s">
        <v>28</v>
      </c>
      <c r="J2675" t="s">
        <v>16</v>
      </c>
      <c r="K2675">
        <v>896593.69406259502</v>
      </c>
      <c r="L2675" t="s">
        <v>17</v>
      </c>
      <c r="M2675">
        <v>-35373.1604622007</v>
      </c>
      <c r="N2675">
        <v>0.26739685025439502</v>
      </c>
    </row>
    <row r="2676" spans="2:14" x14ac:dyDescent="0.25">
      <c r="B2676" t="s">
        <v>14</v>
      </c>
      <c r="C2676" s="1">
        <v>46036.999988425923</v>
      </c>
      <c r="D2676">
        <v>25.151848600500401</v>
      </c>
      <c r="E2676">
        <v>239746.32975028999</v>
      </c>
      <c r="F2676" s="1">
        <v>46035.606319444443</v>
      </c>
      <c r="G2676">
        <v>52.873303969916599</v>
      </c>
      <c r="H2676" t="s">
        <v>28</v>
      </c>
      <c r="J2676" t="s">
        <v>16</v>
      </c>
      <c r="K2676">
        <v>896593.69406259502</v>
      </c>
      <c r="L2676" t="s">
        <v>17</v>
      </c>
      <c r="M2676">
        <v>0</v>
      </c>
      <c r="N2676">
        <v>0.26739685025439502</v>
      </c>
    </row>
    <row r="2677" spans="2:14" x14ac:dyDescent="0.25">
      <c r="B2677" t="s">
        <v>14</v>
      </c>
      <c r="C2677" s="1">
        <v>46035.999988425923</v>
      </c>
      <c r="D2677">
        <v>25.151848600500401</v>
      </c>
      <c r="E2677">
        <v>239746.32975028999</v>
      </c>
      <c r="F2677" s="1">
        <v>46035.606319444443</v>
      </c>
      <c r="G2677">
        <v>52.873303969916599</v>
      </c>
      <c r="H2677" t="s">
        <v>28</v>
      </c>
      <c r="J2677" t="s">
        <v>16</v>
      </c>
      <c r="K2677">
        <v>896593.69406259502</v>
      </c>
      <c r="L2677" t="s">
        <v>17</v>
      </c>
      <c r="M2677">
        <v>0</v>
      </c>
      <c r="N2677">
        <v>0.26739685025439502</v>
      </c>
    </row>
    <row r="2678" spans="2:14" x14ac:dyDescent="0.25">
      <c r="B2678" t="s">
        <v>14</v>
      </c>
      <c r="C2678" s="1">
        <v>46034.999988425923</v>
      </c>
      <c r="D2678">
        <v>25.151848600500401</v>
      </c>
      <c r="E2678">
        <v>271315.39538737398</v>
      </c>
      <c r="F2678" s="1">
        <v>46032.099108796298</v>
      </c>
      <c r="G2678">
        <v>52.873303969916599</v>
      </c>
      <c r="H2678" t="s">
        <v>28</v>
      </c>
      <c r="J2678" t="s">
        <v>16</v>
      </c>
      <c r="K2678">
        <v>896593.69406259502</v>
      </c>
      <c r="L2678" t="s">
        <v>17</v>
      </c>
      <c r="M2678">
        <v>31569.065637083</v>
      </c>
      <c r="N2678">
        <v>0.30260685211603999</v>
      </c>
    </row>
    <row r="2679" spans="2:14" x14ac:dyDescent="0.25">
      <c r="B2679" t="s">
        <v>14</v>
      </c>
      <c r="C2679" s="1">
        <v>46033.999988425923</v>
      </c>
      <c r="D2679">
        <v>25.151848600500401</v>
      </c>
      <c r="E2679">
        <v>271315.39538737398</v>
      </c>
      <c r="F2679" s="1">
        <v>46032.099108796298</v>
      </c>
      <c r="G2679">
        <v>52.873303969916599</v>
      </c>
      <c r="H2679" t="s">
        <v>28</v>
      </c>
      <c r="J2679" t="s">
        <v>16</v>
      </c>
      <c r="K2679">
        <v>896593.69406259502</v>
      </c>
      <c r="L2679" t="s">
        <v>17</v>
      </c>
      <c r="M2679">
        <v>0</v>
      </c>
      <c r="N2679">
        <v>0.30260685211603999</v>
      </c>
    </row>
    <row r="2680" spans="2:14" x14ac:dyDescent="0.25">
      <c r="B2680" t="s">
        <v>14</v>
      </c>
      <c r="C2680" s="1">
        <v>46032.999988425923</v>
      </c>
      <c r="D2680">
        <v>25.151848600500401</v>
      </c>
      <c r="E2680">
        <v>271315.39538737398</v>
      </c>
      <c r="F2680" s="1">
        <v>46032.099108796298</v>
      </c>
      <c r="G2680">
        <v>52.873303969916599</v>
      </c>
      <c r="H2680" t="s">
        <v>28</v>
      </c>
      <c r="J2680" t="s">
        <v>16</v>
      </c>
      <c r="K2680">
        <v>896593.69406259502</v>
      </c>
      <c r="L2680" t="s">
        <v>17</v>
      </c>
      <c r="M2680">
        <v>0</v>
      </c>
      <c r="N2680">
        <v>0.30260685211603999</v>
      </c>
    </row>
    <row r="2681" spans="2:14" x14ac:dyDescent="0.25">
      <c r="B2681" t="s">
        <v>14</v>
      </c>
      <c r="C2681" s="1">
        <v>46031.999988425923</v>
      </c>
      <c r="D2681">
        <v>25.151848600500401</v>
      </c>
      <c r="E2681">
        <v>247036.02634402999</v>
      </c>
      <c r="F2681" s="1">
        <v>46029.605486111112</v>
      </c>
      <c r="G2681">
        <v>52.873303969916599</v>
      </c>
      <c r="H2681" t="s">
        <v>28</v>
      </c>
      <c r="J2681" t="s">
        <v>16</v>
      </c>
      <c r="K2681">
        <v>896593.69406259502</v>
      </c>
      <c r="L2681" t="s">
        <v>17</v>
      </c>
      <c r="M2681">
        <v>-24279.3690433437</v>
      </c>
      <c r="N2681">
        <v>0.27552728507901297</v>
      </c>
    </row>
    <row r="2682" spans="2:14" x14ac:dyDescent="0.25">
      <c r="B2682" t="s">
        <v>14</v>
      </c>
      <c r="C2682" s="1">
        <v>46030.999988425923</v>
      </c>
      <c r="D2682">
        <v>25.151848600500401</v>
      </c>
      <c r="E2682">
        <v>247036.02634402999</v>
      </c>
      <c r="F2682" s="1">
        <v>46029.605486111112</v>
      </c>
      <c r="G2682">
        <v>52.873303969916599</v>
      </c>
      <c r="H2682" t="s">
        <v>28</v>
      </c>
      <c r="J2682" t="s">
        <v>16</v>
      </c>
      <c r="K2682">
        <v>896593.69406259502</v>
      </c>
      <c r="L2682" t="s">
        <v>17</v>
      </c>
      <c r="M2682">
        <v>0</v>
      </c>
      <c r="N2682">
        <v>0.27552728507901297</v>
      </c>
    </row>
    <row r="2683" spans="2:14" x14ac:dyDescent="0.25">
      <c r="B2683" t="s">
        <v>14</v>
      </c>
      <c r="C2683" s="1">
        <v>46029.999988425923</v>
      </c>
      <c r="D2683">
        <v>25.151848600500401</v>
      </c>
      <c r="E2683">
        <v>247036.02634402999</v>
      </c>
      <c r="F2683" s="1">
        <v>46029.605486111112</v>
      </c>
      <c r="G2683">
        <v>52.873303969916599</v>
      </c>
      <c r="H2683" t="s">
        <v>28</v>
      </c>
      <c r="J2683" t="s">
        <v>16</v>
      </c>
      <c r="K2683">
        <v>896593.69406259502</v>
      </c>
      <c r="L2683" t="s">
        <v>17</v>
      </c>
      <c r="M2683">
        <v>0</v>
      </c>
      <c r="N2683">
        <v>0.27552728507901297</v>
      </c>
    </row>
    <row r="2684" spans="2:14" x14ac:dyDescent="0.25">
      <c r="B2684" t="s">
        <v>14</v>
      </c>
      <c r="C2684" s="1">
        <v>46028.999988425923</v>
      </c>
      <c r="D2684">
        <v>25.151848600500401</v>
      </c>
      <c r="E2684">
        <v>272700.18654379802</v>
      </c>
      <c r="F2684" s="1">
        <v>46026.09983796296</v>
      </c>
      <c r="G2684">
        <v>52.873303969916599</v>
      </c>
      <c r="H2684" t="s">
        <v>28</v>
      </c>
      <c r="J2684" t="s">
        <v>16</v>
      </c>
      <c r="K2684">
        <v>896593.69406259502</v>
      </c>
      <c r="L2684" t="s">
        <v>17</v>
      </c>
      <c r="M2684">
        <v>25664.160199768601</v>
      </c>
      <c r="N2684">
        <v>0.304151354565249</v>
      </c>
    </row>
    <row r="2685" spans="2:14" x14ac:dyDescent="0.25">
      <c r="B2685" t="s">
        <v>14</v>
      </c>
      <c r="C2685" s="1">
        <v>46027.999988425923</v>
      </c>
      <c r="D2685">
        <v>25.151848600500401</v>
      </c>
      <c r="E2685">
        <v>272700.18654379802</v>
      </c>
      <c r="F2685" s="1">
        <v>46026.09983796296</v>
      </c>
      <c r="G2685">
        <v>52.873303969916599</v>
      </c>
      <c r="H2685" t="s">
        <v>28</v>
      </c>
      <c r="J2685" t="s">
        <v>16</v>
      </c>
      <c r="K2685">
        <v>896593.69406259502</v>
      </c>
      <c r="L2685" t="s">
        <v>17</v>
      </c>
      <c r="M2685">
        <v>0</v>
      </c>
      <c r="N2685">
        <v>0.304151354565249</v>
      </c>
    </row>
    <row r="2686" spans="2:14" x14ac:dyDescent="0.25">
      <c r="B2686" t="s">
        <v>14</v>
      </c>
      <c r="C2686" s="1">
        <v>46026.999988425923</v>
      </c>
      <c r="D2686">
        <v>25.151848600500401</v>
      </c>
      <c r="E2686">
        <v>272700.18654379802</v>
      </c>
      <c r="F2686" s="1">
        <v>46026.09983796296</v>
      </c>
      <c r="G2686">
        <v>52.873303969916599</v>
      </c>
      <c r="H2686" t="s">
        <v>28</v>
      </c>
      <c r="J2686" t="s">
        <v>16</v>
      </c>
      <c r="K2686">
        <v>896593.69406259502</v>
      </c>
      <c r="L2686" t="s">
        <v>17</v>
      </c>
      <c r="M2686">
        <v>0</v>
      </c>
      <c r="N2686">
        <v>0.304151354565249</v>
      </c>
    </row>
    <row r="2687" spans="2:14" x14ac:dyDescent="0.25">
      <c r="B2687" t="s">
        <v>14</v>
      </c>
      <c r="C2687" s="1">
        <v>46025.999988425923</v>
      </c>
      <c r="D2687">
        <v>25.151848600500401</v>
      </c>
      <c r="E2687">
        <v>896593.69406259502</v>
      </c>
      <c r="F2687" s="1">
        <v>46023.60633101852</v>
      </c>
      <c r="G2687">
        <v>52.873303969916599</v>
      </c>
      <c r="H2687" t="s">
        <v>28</v>
      </c>
      <c r="J2687" t="s">
        <v>16</v>
      </c>
      <c r="K2687">
        <v>896593.69406259502</v>
      </c>
      <c r="L2687" t="s">
        <v>17</v>
      </c>
      <c r="M2687">
        <v>623893.50751879602</v>
      </c>
      <c r="N2687">
        <v>1</v>
      </c>
    </row>
    <row r="2688" spans="2:14" x14ac:dyDescent="0.25">
      <c r="B2688" t="s">
        <v>14</v>
      </c>
      <c r="C2688" s="1">
        <v>46024.999988425923</v>
      </c>
      <c r="D2688">
        <v>25.151848600500401</v>
      </c>
      <c r="E2688">
        <v>896593.69406259502</v>
      </c>
      <c r="F2688" s="1">
        <v>46023.60633101852</v>
      </c>
      <c r="G2688">
        <v>52.873303969916599</v>
      </c>
      <c r="H2688" t="s">
        <v>28</v>
      </c>
      <c r="J2688" t="s">
        <v>16</v>
      </c>
      <c r="K2688">
        <v>896593.69406259502</v>
      </c>
      <c r="L2688" t="s">
        <v>17</v>
      </c>
      <c r="M2688">
        <v>0</v>
      </c>
      <c r="N2688">
        <v>1</v>
      </c>
    </row>
    <row r="2689" spans="2:14" x14ac:dyDescent="0.25">
      <c r="B2689" t="s">
        <v>14</v>
      </c>
      <c r="C2689" s="1">
        <v>46023.999988425923</v>
      </c>
      <c r="D2689">
        <v>25.151848600500401</v>
      </c>
      <c r="E2689">
        <v>896593.69406259502</v>
      </c>
      <c r="F2689" s="1">
        <v>46023.60633101852</v>
      </c>
      <c r="G2689">
        <v>52.873303969916599</v>
      </c>
      <c r="H2689" t="s">
        <v>28</v>
      </c>
      <c r="J2689" t="s">
        <v>16</v>
      </c>
      <c r="K2689">
        <v>896593.69406259502</v>
      </c>
      <c r="L2689" t="s">
        <v>17</v>
      </c>
      <c r="M2689">
        <v>0</v>
      </c>
      <c r="N2689">
        <v>1</v>
      </c>
    </row>
    <row r="2690" spans="2:14" x14ac:dyDescent="0.25">
      <c r="B2690" t="s">
        <v>14</v>
      </c>
      <c r="C2690" s="1">
        <v>46246.999988425923</v>
      </c>
      <c r="D2690">
        <v>25.153273310356798</v>
      </c>
      <c r="E2690">
        <v>486114.54266645201</v>
      </c>
      <c r="F2690" s="1">
        <v>46246.605821759258</v>
      </c>
      <c r="G2690">
        <v>52.873709816487299</v>
      </c>
      <c r="H2690" t="s">
        <v>29</v>
      </c>
      <c r="J2690" t="s">
        <v>16</v>
      </c>
      <c r="K2690">
        <v>486114.54266645201</v>
      </c>
      <c r="L2690" t="s">
        <v>17</v>
      </c>
      <c r="M2690">
        <v>0</v>
      </c>
      <c r="N2690">
        <v>1</v>
      </c>
    </row>
    <row r="2691" spans="2:14" x14ac:dyDescent="0.25">
      <c r="B2691" t="s">
        <v>14</v>
      </c>
      <c r="C2691" s="1">
        <v>46245.999988425923</v>
      </c>
      <c r="D2691">
        <v>25.153273310356798</v>
      </c>
      <c r="E2691">
        <v>486114.54266645201</v>
      </c>
      <c r="F2691" s="1">
        <v>46243.09915509259</v>
      </c>
      <c r="G2691">
        <v>52.873709816487299</v>
      </c>
      <c r="H2691" t="s">
        <v>29</v>
      </c>
      <c r="J2691" t="s">
        <v>16</v>
      </c>
      <c r="K2691">
        <v>486114.54266645201</v>
      </c>
      <c r="L2691" t="s">
        <v>17</v>
      </c>
      <c r="M2691">
        <v>0</v>
      </c>
      <c r="N2691">
        <v>1</v>
      </c>
    </row>
    <row r="2692" spans="2:14" x14ac:dyDescent="0.25">
      <c r="B2692" t="s">
        <v>14</v>
      </c>
      <c r="C2692" s="1">
        <v>46244.999988425923</v>
      </c>
      <c r="D2692">
        <v>25.153273310356798</v>
      </c>
      <c r="E2692">
        <v>486114.54266645201</v>
      </c>
      <c r="F2692" s="1">
        <v>46243.09915509259</v>
      </c>
      <c r="G2692">
        <v>52.873709816487299</v>
      </c>
      <c r="H2692" t="s">
        <v>29</v>
      </c>
      <c r="J2692" t="s">
        <v>16</v>
      </c>
      <c r="K2692">
        <v>486114.54266645201</v>
      </c>
      <c r="L2692" t="s">
        <v>17</v>
      </c>
      <c r="M2692">
        <v>0</v>
      </c>
      <c r="N2692">
        <v>1</v>
      </c>
    </row>
    <row r="2693" spans="2:14" x14ac:dyDescent="0.25">
      <c r="B2693" t="s">
        <v>14</v>
      </c>
      <c r="C2693" s="1">
        <v>46243.999988425923</v>
      </c>
      <c r="D2693">
        <v>25.153273310356798</v>
      </c>
      <c r="E2693">
        <v>486114.54266645201</v>
      </c>
      <c r="F2693" s="1">
        <v>46243.09915509259</v>
      </c>
      <c r="G2693">
        <v>52.873709816487299</v>
      </c>
      <c r="H2693" t="s">
        <v>29</v>
      </c>
      <c r="J2693" t="s">
        <v>16</v>
      </c>
      <c r="K2693">
        <v>486114.54266645201</v>
      </c>
      <c r="L2693" t="s">
        <v>17</v>
      </c>
      <c r="M2693">
        <v>0</v>
      </c>
      <c r="N2693">
        <v>1</v>
      </c>
    </row>
    <row r="2694" spans="2:14" x14ac:dyDescent="0.25">
      <c r="B2694" t="s">
        <v>14</v>
      </c>
      <c r="C2694" s="1">
        <v>46242.999988425923</v>
      </c>
      <c r="D2694">
        <v>25.153273310356798</v>
      </c>
      <c r="E2694">
        <v>245997.747297119</v>
      </c>
      <c r="F2694" s="1">
        <v>46240.605520833335</v>
      </c>
      <c r="G2694">
        <v>52.873709816487299</v>
      </c>
      <c r="H2694" t="s">
        <v>29</v>
      </c>
      <c r="J2694" t="s">
        <v>16</v>
      </c>
      <c r="K2694">
        <v>486114.54266645201</v>
      </c>
      <c r="L2694" t="s">
        <v>17</v>
      </c>
      <c r="M2694">
        <v>-240116.79536933199</v>
      </c>
      <c r="N2694">
        <v>0.50604893642507498</v>
      </c>
    </row>
    <row r="2695" spans="2:14" x14ac:dyDescent="0.25">
      <c r="B2695" t="s">
        <v>14</v>
      </c>
      <c r="C2695" s="1">
        <v>46241.999988425923</v>
      </c>
      <c r="D2695">
        <v>25.153273310356798</v>
      </c>
      <c r="E2695">
        <v>245997.747297119</v>
      </c>
      <c r="F2695" s="1">
        <v>46240.605520833335</v>
      </c>
      <c r="G2695">
        <v>52.873709816487299</v>
      </c>
      <c r="H2695" t="s">
        <v>29</v>
      </c>
      <c r="J2695" t="s">
        <v>16</v>
      </c>
      <c r="K2695">
        <v>486114.54266645201</v>
      </c>
      <c r="L2695" t="s">
        <v>17</v>
      </c>
      <c r="M2695">
        <v>0</v>
      </c>
      <c r="N2695">
        <v>0.50604893642507498</v>
      </c>
    </row>
    <row r="2696" spans="2:14" x14ac:dyDescent="0.25">
      <c r="B2696" t="s">
        <v>14</v>
      </c>
      <c r="C2696" s="1">
        <v>46240.999988425923</v>
      </c>
      <c r="D2696">
        <v>25.153273310356798</v>
      </c>
      <c r="E2696">
        <v>245997.747297119</v>
      </c>
      <c r="F2696" s="1">
        <v>46240.605520833335</v>
      </c>
      <c r="G2696">
        <v>52.873709816487299</v>
      </c>
      <c r="H2696" t="s">
        <v>29</v>
      </c>
      <c r="J2696" t="s">
        <v>16</v>
      </c>
      <c r="K2696">
        <v>486114.54266645201</v>
      </c>
      <c r="L2696" t="s">
        <v>17</v>
      </c>
      <c r="M2696">
        <v>0</v>
      </c>
      <c r="N2696">
        <v>0.50604893642507498</v>
      </c>
    </row>
    <row r="2697" spans="2:14" x14ac:dyDescent="0.25">
      <c r="B2697" t="s">
        <v>14</v>
      </c>
      <c r="C2697" s="1">
        <v>46239.999988425923</v>
      </c>
      <c r="D2697">
        <v>25.153273310356798</v>
      </c>
      <c r="E2697">
        <v>468162.45550014899</v>
      </c>
      <c r="F2697" s="1">
        <v>46237.099328703705</v>
      </c>
      <c r="G2697">
        <v>52.873709816487299</v>
      </c>
      <c r="H2697" t="s">
        <v>29</v>
      </c>
      <c r="J2697" t="s">
        <v>16</v>
      </c>
      <c r="K2697">
        <v>486114.54266645201</v>
      </c>
      <c r="L2697" t="s">
        <v>17</v>
      </c>
      <c r="M2697">
        <v>222164.708203029</v>
      </c>
      <c r="N2697">
        <v>0.96307025280948899</v>
      </c>
    </row>
    <row r="2698" spans="2:14" x14ac:dyDescent="0.25">
      <c r="B2698" t="s">
        <v>14</v>
      </c>
      <c r="C2698" s="1">
        <v>46238.999988425923</v>
      </c>
      <c r="D2698">
        <v>25.153273310356798</v>
      </c>
      <c r="E2698">
        <v>468162.45550014899</v>
      </c>
      <c r="F2698" s="1">
        <v>46237.099328703705</v>
      </c>
      <c r="G2698">
        <v>52.873709816487299</v>
      </c>
      <c r="H2698" t="s">
        <v>29</v>
      </c>
      <c r="J2698" t="s">
        <v>16</v>
      </c>
      <c r="K2698">
        <v>486114.54266645201</v>
      </c>
      <c r="L2698" t="s">
        <v>17</v>
      </c>
      <c r="M2698">
        <v>0</v>
      </c>
      <c r="N2698">
        <v>0.96307025280948899</v>
      </c>
    </row>
    <row r="2699" spans="2:14" x14ac:dyDescent="0.25">
      <c r="B2699" t="s">
        <v>14</v>
      </c>
      <c r="C2699" s="1">
        <v>46237.999988425923</v>
      </c>
      <c r="D2699">
        <v>25.153273310356798</v>
      </c>
      <c r="E2699">
        <v>468162.45550014899</v>
      </c>
      <c r="F2699" s="1">
        <v>46237.099328703705</v>
      </c>
      <c r="G2699">
        <v>52.873709816487299</v>
      </c>
      <c r="H2699" t="s">
        <v>29</v>
      </c>
      <c r="J2699" t="s">
        <v>16</v>
      </c>
      <c r="K2699">
        <v>486114.54266645201</v>
      </c>
      <c r="L2699" t="s">
        <v>17</v>
      </c>
      <c r="M2699">
        <v>0</v>
      </c>
      <c r="N2699">
        <v>0.96307025280948899</v>
      </c>
    </row>
    <row r="2700" spans="2:14" x14ac:dyDescent="0.25">
      <c r="B2700" t="s">
        <v>14</v>
      </c>
      <c r="C2700" s="1">
        <v>46236.999988425923</v>
      </c>
      <c r="D2700">
        <v>25.153273310356798</v>
      </c>
      <c r="E2700">
        <v>91320.047924342303</v>
      </c>
      <c r="F2700" s="1">
        <v>46234.605810185189</v>
      </c>
      <c r="G2700">
        <v>52.873709816487299</v>
      </c>
      <c r="H2700" t="s">
        <v>29</v>
      </c>
      <c r="J2700" t="s">
        <v>16</v>
      </c>
      <c r="K2700">
        <v>486114.54266645201</v>
      </c>
      <c r="L2700" t="s">
        <v>17</v>
      </c>
      <c r="M2700">
        <v>-376842.40757580701</v>
      </c>
      <c r="N2700">
        <v>0.18785705818104201</v>
      </c>
    </row>
    <row r="2701" spans="2:14" x14ac:dyDescent="0.25">
      <c r="B2701" t="s">
        <v>14</v>
      </c>
      <c r="C2701" s="1">
        <v>46235.999988425923</v>
      </c>
      <c r="D2701">
        <v>25.153273310356798</v>
      </c>
      <c r="E2701">
        <v>91320.047924342303</v>
      </c>
      <c r="F2701" s="1">
        <v>46234.605810185189</v>
      </c>
      <c r="G2701">
        <v>52.873709816487299</v>
      </c>
      <c r="H2701" t="s">
        <v>29</v>
      </c>
      <c r="J2701" t="s">
        <v>16</v>
      </c>
      <c r="K2701">
        <v>486114.54266645201</v>
      </c>
      <c r="L2701" t="s">
        <v>17</v>
      </c>
      <c r="M2701">
        <v>0</v>
      </c>
      <c r="N2701">
        <v>0.18785705818104201</v>
      </c>
    </row>
    <row r="2702" spans="2:14" x14ac:dyDescent="0.25">
      <c r="B2702" t="s">
        <v>14</v>
      </c>
      <c r="C2702" s="1">
        <v>46234.999988425923</v>
      </c>
      <c r="D2702">
        <v>25.153273310356798</v>
      </c>
      <c r="E2702">
        <v>91320.047924342303</v>
      </c>
      <c r="F2702" s="1">
        <v>46234.605810185189</v>
      </c>
      <c r="G2702">
        <v>52.873709816487299</v>
      </c>
      <c r="H2702" t="s">
        <v>29</v>
      </c>
      <c r="J2702" t="s">
        <v>16</v>
      </c>
      <c r="K2702">
        <v>486114.54266645201</v>
      </c>
      <c r="L2702" t="s">
        <v>17</v>
      </c>
      <c r="M2702">
        <v>0</v>
      </c>
      <c r="N2702">
        <v>0.18785705818104201</v>
      </c>
    </row>
    <row r="2703" spans="2:14" x14ac:dyDescent="0.25">
      <c r="B2703" t="s">
        <v>14</v>
      </c>
      <c r="C2703" s="1">
        <v>46233.999988425923</v>
      </c>
      <c r="D2703">
        <v>25.153273310356798</v>
      </c>
      <c r="E2703">
        <v>87423.238273469702</v>
      </c>
      <c r="F2703" s="1">
        <v>46231.09915509259</v>
      </c>
      <c r="G2703">
        <v>52.873709816487299</v>
      </c>
      <c r="H2703" t="s">
        <v>29</v>
      </c>
      <c r="J2703" t="s">
        <v>16</v>
      </c>
      <c r="K2703">
        <v>486114.54266645201</v>
      </c>
      <c r="L2703" t="s">
        <v>17</v>
      </c>
      <c r="M2703">
        <v>-3896.8096508725998</v>
      </c>
      <c r="N2703">
        <v>0.179840820630324</v>
      </c>
    </row>
    <row r="2704" spans="2:14" x14ac:dyDescent="0.25">
      <c r="B2704" t="s">
        <v>14</v>
      </c>
      <c r="C2704" s="1">
        <v>46232.999988425923</v>
      </c>
      <c r="D2704">
        <v>25.153273310356798</v>
      </c>
      <c r="E2704">
        <v>87423.238273469702</v>
      </c>
      <c r="F2704" s="1">
        <v>46231.09915509259</v>
      </c>
      <c r="G2704">
        <v>52.873709816487299</v>
      </c>
      <c r="H2704" t="s">
        <v>29</v>
      </c>
      <c r="J2704" t="s">
        <v>16</v>
      </c>
      <c r="K2704">
        <v>486114.54266645201</v>
      </c>
      <c r="L2704" t="s">
        <v>17</v>
      </c>
      <c r="M2704">
        <v>0</v>
      </c>
      <c r="N2704">
        <v>0.179840820630324</v>
      </c>
    </row>
    <row r="2705" spans="2:14" x14ac:dyDescent="0.25">
      <c r="B2705" t="s">
        <v>14</v>
      </c>
      <c r="C2705" s="1">
        <v>46231.999988425923</v>
      </c>
      <c r="D2705">
        <v>25.153273310356798</v>
      </c>
      <c r="E2705">
        <v>87423.238273469702</v>
      </c>
      <c r="F2705" s="1">
        <v>46231.09915509259</v>
      </c>
      <c r="G2705">
        <v>52.873709816487299</v>
      </c>
      <c r="H2705" t="s">
        <v>29</v>
      </c>
      <c r="J2705" t="s">
        <v>16</v>
      </c>
      <c r="K2705">
        <v>486114.54266645201</v>
      </c>
      <c r="L2705" t="s">
        <v>17</v>
      </c>
      <c r="M2705">
        <v>0</v>
      </c>
      <c r="N2705">
        <v>0.179840820630324</v>
      </c>
    </row>
    <row r="2706" spans="2:14" x14ac:dyDescent="0.25">
      <c r="B2706" t="s">
        <v>14</v>
      </c>
      <c r="C2706" s="1">
        <v>46230.999988425923</v>
      </c>
      <c r="D2706">
        <v>25.153273310356798</v>
      </c>
      <c r="E2706">
        <v>68587.331089962201</v>
      </c>
      <c r="F2706" s="1">
        <v>46228.605520833335</v>
      </c>
      <c r="G2706">
        <v>52.873709816487299</v>
      </c>
      <c r="H2706" t="s">
        <v>29</v>
      </c>
      <c r="J2706" t="s">
        <v>16</v>
      </c>
      <c r="K2706">
        <v>486114.54266645201</v>
      </c>
      <c r="L2706" t="s">
        <v>17</v>
      </c>
      <c r="M2706">
        <v>-18835.907183507501</v>
      </c>
      <c r="N2706">
        <v>0.14109294223897201</v>
      </c>
    </row>
    <row r="2707" spans="2:14" x14ac:dyDescent="0.25">
      <c r="B2707" t="s">
        <v>14</v>
      </c>
      <c r="C2707" s="1">
        <v>46229.999988425923</v>
      </c>
      <c r="D2707">
        <v>25.153273310356798</v>
      </c>
      <c r="E2707">
        <v>68587.331089962201</v>
      </c>
      <c r="F2707" s="1">
        <v>46228.605520833335</v>
      </c>
      <c r="G2707">
        <v>52.873709816487299</v>
      </c>
      <c r="H2707" t="s">
        <v>29</v>
      </c>
      <c r="J2707" t="s">
        <v>16</v>
      </c>
      <c r="K2707">
        <v>486114.54266645201</v>
      </c>
      <c r="L2707" t="s">
        <v>17</v>
      </c>
      <c r="M2707">
        <v>0</v>
      </c>
      <c r="N2707">
        <v>0.14109294223897201</v>
      </c>
    </row>
    <row r="2708" spans="2:14" x14ac:dyDescent="0.25">
      <c r="B2708" t="s">
        <v>14</v>
      </c>
      <c r="C2708" s="1">
        <v>46228.999988425923</v>
      </c>
      <c r="D2708">
        <v>25.153273310356798</v>
      </c>
      <c r="E2708">
        <v>68587.331089962201</v>
      </c>
      <c r="F2708" s="1">
        <v>46228.605520833335</v>
      </c>
      <c r="G2708">
        <v>52.873709816487299</v>
      </c>
      <c r="H2708" t="s">
        <v>29</v>
      </c>
      <c r="J2708" t="s">
        <v>16</v>
      </c>
      <c r="K2708">
        <v>486114.54266645201</v>
      </c>
      <c r="L2708" t="s">
        <v>17</v>
      </c>
      <c r="M2708">
        <v>0</v>
      </c>
      <c r="N2708">
        <v>0.14109294223897201</v>
      </c>
    </row>
    <row r="2709" spans="2:14" x14ac:dyDescent="0.25">
      <c r="B2709" t="s">
        <v>14</v>
      </c>
      <c r="C2709" s="1">
        <v>46227.999988425923</v>
      </c>
      <c r="D2709">
        <v>25.153273310356798</v>
      </c>
      <c r="E2709">
        <v>486114.54266645201</v>
      </c>
      <c r="F2709" s="1">
        <v>46225.099317129629</v>
      </c>
      <c r="G2709">
        <v>52.873709816487299</v>
      </c>
      <c r="H2709" t="s">
        <v>29</v>
      </c>
      <c r="J2709" t="s">
        <v>16</v>
      </c>
      <c r="K2709">
        <v>486114.54266645201</v>
      </c>
      <c r="L2709" t="s">
        <v>17</v>
      </c>
      <c r="M2709">
        <v>417527.21157649002</v>
      </c>
      <c r="N2709">
        <v>1</v>
      </c>
    </row>
    <row r="2710" spans="2:14" x14ac:dyDescent="0.25">
      <c r="B2710" t="s">
        <v>14</v>
      </c>
      <c r="C2710" s="1">
        <v>46226.999988425923</v>
      </c>
      <c r="D2710">
        <v>25.153273310356798</v>
      </c>
      <c r="E2710">
        <v>486114.54266645201</v>
      </c>
      <c r="F2710" s="1">
        <v>46225.099317129629</v>
      </c>
      <c r="G2710">
        <v>52.873709816487299</v>
      </c>
      <c r="H2710" t="s">
        <v>29</v>
      </c>
      <c r="J2710" t="s">
        <v>16</v>
      </c>
      <c r="K2710">
        <v>486114.54266645201</v>
      </c>
      <c r="L2710" t="s">
        <v>17</v>
      </c>
      <c r="M2710">
        <v>0</v>
      </c>
      <c r="N2710">
        <v>1</v>
      </c>
    </row>
    <row r="2711" spans="2:14" x14ac:dyDescent="0.25">
      <c r="B2711" t="s">
        <v>14</v>
      </c>
      <c r="C2711" s="1">
        <v>46225.999988425923</v>
      </c>
      <c r="D2711">
        <v>25.153273310356798</v>
      </c>
      <c r="E2711">
        <v>486114.54266645201</v>
      </c>
      <c r="F2711" s="1">
        <v>46225.099317129629</v>
      </c>
      <c r="G2711">
        <v>52.873709816487299</v>
      </c>
      <c r="H2711" t="s">
        <v>29</v>
      </c>
      <c r="J2711" t="s">
        <v>16</v>
      </c>
      <c r="K2711">
        <v>486114.54266645201</v>
      </c>
      <c r="L2711" t="s">
        <v>17</v>
      </c>
      <c r="M2711">
        <v>0</v>
      </c>
      <c r="N2711">
        <v>1</v>
      </c>
    </row>
    <row r="2712" spans="2:14" x14ac:dyDescent="0.25">
      <c r="B2712" t="s">
        <v>14</v>
      </c>
      <c r="C2712" s="1">
        <v>46224.999988425923</v>
      </c>
      <c r="D2712">
        <v>25.153273310356798</v>
      </c>
      <c r="E2712">
        <v>486114.54266645201</v>
      </c>
      <c r="F2712" s="1">
        <v>46222.605810185189</v>
      </c>
      <c r="G2712">
        <v>52.873709816487299</v>
      </c>
      <c r="H2712" t="s">
        <v>29</v>
      </c>
      <c r="J2712" t="s">
        <v>16</v>
      </c>
      <c r="K2712">
        <v>486114.54266645201</v>
      </c>
      <c r="L2712" t="s">
        <v>17</v>
      </c>
      <c r="M2712">
        <v>0</v>
      </c>
      <c r="N2712">
        <v>1</v>
      </c>
    </row>
    <row r="2713" spans="2:14" x14ac:dyDescent="0.25">
      <c r="B2713" t="s">
        <v>14</v>
      </c>
      <c r="C2713" s="1">
        <v>46223.999988425923</v>
      </c>
      <c r="D2713">
        <v>25.153273310356798</v>
      </c>
      <c r="E2713">
        <v>486114.54266645201</v>
      </c>
      <c r="F2713" s="1">
        <v>46222.605810185189</v>
      </c>
      <c r="G2713">
        <v>52.873709816487299</v>
      </c>
      <c r="H2713" t="s">
        <v>29</v>
      </c>
      <c r="J2713" t="s">
        <v>16</v>
      </c>
      <c r="K2713">
        <v>486114.54266645201</v>
      </c>
      <c r="L2713" t="s">
        <v>17</v>
      </c>
      <c r="M2713">
        <v>0</v>
      </c>
      <c r="N2713">
        <v>1</v>
      </c>
    </row>
    <row r="2714" spans="2:14" x14ac:dyDescent="0.25">
      <c r="B2714" t="s">
        <v>14</v>
      </c>
      <c r="C2714" s="1">
        <v>46222.999988425923</v>
      </c>
      <c r="D2714">
        <v>25.153273310356798</v>
      </c>
      <c r="E2714">
        <v>486114.54266645201</v>
      </c>
      <c r="F2714" s="1">
        <v>46222.605810185189</v>
      </c>
      <c r="G2714">
        <v>52.873709816487299</v>
      </c>
      <c r="H2714" t="s">
        <v>29</v>
      </c>
      <c r="J2714" t="s">
        <v>16</v>
      </c>
      <c r="K2714">
        <v>486114.54266645201</v>
      </c>
      <c r="L2714" t="s">
        <v>17</v>
      </c>
      <c r="M2714">
        <v>0</v>
      </c>
      <c r="N2714">
        <v>1</v>
      </c>
    </row>
    <row r="2715" spans="2:14" x14ac:dyDescent="0.25">
      <c r="B2715" t="s">
        <v>14</v>
      </c>
      <c r="C2715" s="1">
        <v>46221.999988425923</v>
      </c>
      <c r="D2715">
        <v>25.153273310356798</v>
      </c>
      <c r="E2715">
        <v>486114.54266645201</v>
      </c>
      <c r="F2715" s="1">
        <v>46219.099143518521</v>
      </c>
      <c r="G2715">
        <v>52.873709816487299</v>
      </c>
      <c r="H2715" t="s">
        <v>29</v>
      </c>
      <c r="J2715" t="s">
        <v>16</v>
      </c>
      <c r="K2715">
        <v>486114.54266645201</v>
      </c>
      <c r="L2715" t="s">
        <v>17</v>
      </c>
      <c r="M2715">
        <v>0</v>
      </c>
      <c r="N2715">
        <v>1</v>
      </c>
    </row>
    <row r="2716" spans="2:14" x14ac:dyDescent="0.25">
      <c r="B2716" t="s">
        <v>14</v>
      </c>
      <c r="C2716" s="1">
        <v>46220.999988425923</v>
      </c>
      <c r="D2716">
        <v>25.153273310356798</v>
      </c>
      <c r="E2716">
        <v>486114.54266645201</v>
      </c>
      <c r="F2716" s="1">
        <v>46219.099143518521</v>
      </c>
      <c r="G2716">
        <v>52.873709816487299</v>
      </c>
      <c r="H2716" t="s">
        <v>29</v>
      </c>
      <c r="J2716" t="s">
        <v>16</v>
      </c>
      <c r="K2716">
        <v>486114.54266645201</v>
      </c>
      <c r="L2716" t="s">
        <v>17</v>
      </c>
      <c r="M2716">
        <v>0</v>
      </c>
      <c r="N2716">
        <v>1</v>
      </c>
    </row>
    <row r="2717" spans="2:14" x14ac:dyDescent="0.25">
      <c r="B2717" t="s">
        <v>14</v>
      </c>
      <c r="C2717" s="1">
        <v>46219.999988425923</v>
      </c>
      <c r="D2717">
        <v>25.153273310356798</v>
      </c>
      <c r="E2717">
        <v>486114.54266645201</v>
      </c>
      <c r="F2717" s="1">
        <v>46219.099143518521</v>
      </c>
      <c r="G2717">
        <v>52.873709816487299</v>
      </c>
      <c r="H2717" t="s">
        <v>29</v>
      </c>
      <c r="J2717" t="s">
        <v>16</v>
      </c>
      <c r="K2717">
        <v>486114.54266645201</v>
      </c>
      <c r="L2717" t="s">
        <v>17</v>
      </c>
      <c r="M2717">
        <v>0</v>
      </c>
      <c r="N2717">
        <v>1</v>
      </c>
    </row>
    <row r="2718" spans="2:14" x14ac:dyDescent="0.25">
      <c r="B2718" t="s">
        <v>14</v>
      </c>
      <c r="C2718" s="1">
        <v>46218.999988425923</v>
      </c>
      <c r="D2718">
        <v>25.153273310356798</v>
      </c>
      <c r="E2718">
        <v>486114.54266645201</v>
      </c>
      <c r="F2718" s="1">
        <v>46216.605509259258</v>
      </c>
      <c r="G2718">
        <v>52.873709816487299</v>
      </c>
      <c r="H2718" t="s">
        <v>29</v>
      </c>
      <c r="J2718" t="s">
        <v>16</v>
      </c>
      <c r="K2718">
        <v>486114.54266645201</v>
      </c>
      <c r="L2718" t="s">
        <v>17</v>
      </c>
      <c r="M2718">
        <v>0</v>
      </c>
      <c r="N2718">
        <v>1</v>
      </c>
    </row>
    <row r="2719" spans="2:14" x14ac:dyDescent="0.25">
      <c r="B2719" t="s">
        <v>14</v>
      </c>
      <c r="C2719" s="1">
        <v>46217.999988425923</v>
      </c>
      <c r="D2719">
        <v>25.153273310356798</v>
      </c>
      <c r="E2719">
        <v>486114.54266645201</v>
      </c>
      <c r="F2719" s="1">
        <v>46216.605509259258</v>
      </c>
      <c r="G2719">
        <v>52.873709816487299</v>
      </c>
      <c r="H2719" t="s">
        <v>29</v>
      </c>
      <c r="J2719" t="s">
        <v>16</v>
      </c>
      <c r="K2719">
        <v>486114.54266645201</v>
      </c>
      <c r="L2719" t="s">
        <v>17</v>
      </c>
      <c r="M2719">
        <v>0</v>
      </c>
      <c r="N2719">
        <v>1</v>
      </c>
    </row>
    <row r="2720" spans="2:14" x14ac:dyDescent="0.25">
      <c r="B2720" t="s">
        <v>14</v>
      </c>
      <c r="C2720" s="1">
        <v>46216.999988425923</v>
      </c>
      <c r="D2720">
        <v>25.153273310356798</v>
      </c>
      <c r="E2720">
        <v>486114.54266645201</v>
      </c>
      <c r="F2720" s="1">
        <v>46216.605509259258</v>
      </c>
      <c r="G2720">
        <v>52.873709816487299</v>
      </c>
      <c r="H2720" t="s">
        <v>29</v>
      </c>
      <c r="J2720" t="s">
        <v>16</v>
      </c>
      <c r="K2720">
        <v>486114.54266645201</v>
      </c>
      <c r="L2720" t="s">
        <v>17</v>
      </c>
      <c r="M2720">
        <v>0</v>
      </c>
      <c r="N2720">
        <v>1</v>
      </c>
    </row>
    <row r="2721" spans="2:14" x14ac:dyDescent="0.25">
      <c r="B2721" t="s">
        <v>14</v>
      </c>
      <c r="C2721" s="1">
        <v>46215.999988425923</v>
      </c>
      <c r="D2721">
        <v>25.153273310356798</v>
      </c>
      <c r="E2721">
        <v>424259.02155952703</v>
      </c>
      <c r="F2721" s="1">
        <v>46213.099305555559</v>
      </c>
      <c r="G2721">
        <v>52.873709816487299</v>
      </c>
      <c r="H2721" t="s">
        <v>29</v>
      </c>
      <c r="J2721" t="s">
        <v>16</v>
      </c>
      <c r="K2721">
        <v>486114.54266645201</v>
      </c>
      <c r="L2721" t="s">
        <v>17</v>
      </c>
      <c r="M2721">
        <v>-61855.521106924803</v>
      </c>
      <c r="N2721">
        <v>0.87275525482608896</v>
      </c>
    </row>
    <row r="2722" spans="2:14" x14ac:dyDescent="0.25">
      <c r="B2722" t="s">
        <v>14</v>
      </c>
      <c r="C2722" s="1">
        <v>46214.999988425923</v>
      </c>
      <c r="D2722">
        <v>25.153273310356798</v>
      </c>
      <c r="E2722">
        <v>424259.02155952703</v>
      </c>
      <c r="F2722" s="1">
        <v>46213.099305555559</v>
      </c>
      <c r="G2722">
        <v>52.873709816487299</v>
      </c>
      <c r="H2722" t="s">
        <v>29</v>
      </c>
      <c r="J2722" t="s">
        <v>16</v>
      </c>
      <c r="K2722">
        <v>486114.54266645201</v>
      </c>
      <c r="L2722" t="s">
        <v>17</v>
      </c>
      <c r="M2722">
        <v>0</v>
      </c>
      <c r="N2722">
        <v>0.87275525482608896</v>
      </c>
    </row>
    <row r="2723" spans="2:14" x14ac:dyDescent="0.25">
      <c r="B2723" t="s">
        <v>14</v>
      </c>
      <c r="C2723" s="1">
        <v>46213.999988425923</v>
      </c>
      <c r="D2723">
        <v>25.153273310356798</v>
      </c>
      <c r="E2723">
        <v>424259.02155952703</v>
      </c>
      <c r="F2723" s="1">
        <v>46213.099305555559</v>
      </c>
      <c r="G2723">
        <v>52.873709816487299</v>
      </c>
      <c r="H2723" t="s">
        <v>29</v>
      </c>
      <c r="J2723" t="s">
        <v>16</v>
      </c>
      <c r="K2723">
        <v>486114.54266645201</v>
      </c>
      <c r="L2723" t="s">
        <v>17</v>
      </c>
      <c r="M2723">
        <v>0</v>
      </c>
      <c r="N2723">
        <v>0.87275525482608896</v>
      </c>
    </row>
    <row r="2724" spans="2:14" x14ac:dyDescent="0.25">
      <c r="B2724" t="s">
        <v>14</v>
      </c>
      <c r="C2724" s="1">
        <v>46212.999988425923</v>
      </c>
      <c r="D2724">
        <v>25.153273310356798</v>
      </c>
      <c r="E2724">
        <v>486114.54266645201</v>
      </c>
      <c r="F2724" s="1">
        <v>46210.605798611112</v>
      </c>
      <c r="G2724">
        <v>52.873709816487299</v>
      </c>
      <c r="H2724" t="s">
        <v>29</v>
      </c>
      <c r="J2724" t="s">
        <v>16</v>
      </c>
      <c r="K2724">
        <v>486114.54266645201</v>
      </c>
      <c r="L2724" t="s">
        <v>17</v>
      </c>
      <c r="M2724">
        <v>61855.521106924803</v>
      </c>
      <c r="N2724">
        <v>1</v>
      </c>
    </row>
    <row r="2725" spans="2:14" x14ac:dyDescent="0.25">
      <c r="B2725" t="s">
        <v>14</v>
      </c>
      <c r="C2725" s="1">
        <v>46211.999988425923</v>
      </c>
      <c r="D2725">
        <v>25.153273310356798</v>
      </c>
      <c r="E2725">
        <v>486114.54266645201</v>
      </c>
      <c r="F2725" s="1">
        <v>46210.605798611112</v>
      </c>
      <c r="G2725">
        <v>52.873709816487299</v>
      </c>
      <c r="H2725" t="s">
        <v>29</v>
      </c>
      <c r="J2725" t="s">
        <v>16</v>
      </c>
      <c r="K2725">
        <v>486114.54266645201</v>
      </c>
      <c r="L2725" t="s">
        <v>17</v>
      </c>
      <c r="M2725">
        <v>0</v>
      </c>
      <c r="N2725">
        <v>1</v>
      </c>
    </row>
    <row r="2726" spans="2:14" x14ac:dyDescent="0.25">
      <c r="B2726" t="s">
        <v>14</v>
      </c>
      <c r="C2726" s="1">
        <v>46210.999988425923</v>
      </c>
      <c r="D2726">
        <v>25.153273310356798</v>
      </c>
      <c r="E2726">
        <v>486114.54266645201</v>
      </c>
      <c r="F2726" s="1">
        <v>46210.605798611112</v>
      </c>
      <c r="G2726">
        <v>52.873709816487299</v>
      </c>
      <c r="H2726" t="s">
        <v>29</v>
      </c>
      <c r="J2726" t="s">
        <v>16</v>
      </c>
      <c r="K2726">
        <v>486114.54266645201</v>
      </c>
      <c r="L2726" t="s">
        <v>17</v>
      </c>
      <c r="M2726">
        <v>0</v>
      </c>
      <c r="N2726">
        <v>1</v>
      </c>
    </row>
    <row r="2727" spans="2:14" x14ac:dyDescent="0.25">
      <c r="B2727" t="s">
        <v>14</v>
      </c>
      <c r="C2727" s="1">
        <v>46209.999988425923</v>
      </c>
      <c r="D2727">
        <v>25.153273310356798</v>
      </c>
      <c r="E2727">
        <v>108355.348066644</v>
      </c>
      <c r="F2727" s="1">
        <v>46207.099131944444</v>
      </c>
      <c r="G2727">
        <v>52.873709816487299</v>
      </c>
      <c r="H2727" t="s">
        <v>29</v>
      </c>
      <c r="J2727" t="s">
        <v>16</v>
      </c>
      <c r="K2727">
        <v>486114.54266645201</v>
      </c>
      <c r="L2727" t="s">
        <v>17</v>
      </c>
      <c r="M2727">
        <v>-377759.19459980697</v>
      </c>
      <c r="N2727">
        <v>0.222900856806895</v>
      </c>
    </row>
    <row r="2728" spans="2:14" x14ac:dyDescent="0.25">
      <c r="B2728" t="s">
        <v>14</v>
      </c>
      <c r="C2728" s="1">
        <v>46208.999988425923</v>
      </c>
      <c r="D2728">
        <v>25.153273310356798</v>
      </c>
      <c r="E2728">
        <v>108355.348066644</v>
      </c>
      <c r="F2728" s="1">
        <v>46207.099131944444</v>
      </c>
      <c r="G2728">
        <v>52.873709816487299</v>
      </c>
      <c r="H2728" t="s">
        <v>29</v>
      </c>
      <c r="J2728" t="s">
        <v>16</v>
      </c>
      <c r="K2728">
        <v>486114.54266645201</v>
      </c>
      <c r="L2728" t="s">
        <v>17</v>
      </c>
      <c r="M2728">
        <v>0</v>
      </c>
      <c r="N2728">
        <v>0.222900856806895</v>
      </c>
    </row>
    <row r="2729" spans="2:14" x14ac:dyDescent="0.25">
      <c r="B2729" t="s">
        <v>14</v>
      </c>
      <c r="C2729" s="1">
        <v>46207.999988425923</v>
      </c>
      <c r="D2729">
        <v>25.153273310356798</v>
      </c>
      <c r="E2729">
        <v>108355.348066644</v>
      </c>
      <c r="F2729" s="1">
        <v>46207.099131944444</v>
      </c>
      <c r="G2729">
        <v>52.873709816487299</v>
      </c>
      <c r="H2729" t="s">
        <v>29</v>
      </c>
      <c r="J2729" t="s">
        <v>16</v>
      </c>
      <c r="K2729">
        <v>486114.54266645201</v>
      </c>
      <c r="L2729" t="s">
        <v>17</v>
      </c>
      <c r="M2729">
        <v>0</v>
      </c>
      <c r="N2729">
        <v>0.222900856806895</v>
      </c>
    </row>
    <row r="2730" spans="2:14" x14ac:dyDescent="0.25">
      <c r="B2730" t="s">
        <v>14</v>
      </c>
      <c r="C2730" s="1">
        <v>46206.999988425923</v>
      </c>
      <c r="D2730">
        <v>25.153273310356798</v>
      </c>
      <c r="E2730">
        <v>448175.233674569</v>
      </c>
      <c r="F2730" s="1">
        <v>46204.605509259258</v>
      </c>
      <c r="G2730">
        <v>52.873709816487299</v>
      </c>
      <c r="H2730" t="s">
        <v>29</v>
      </c>
      <c r="J2730" t="s">
        <v>16</v>
      </c>
      <c r="K2730">
        <v>486114.54266645201</v>
      </c>
      <c r="L2730" t="s">
        <v>17</v>
      </c>
      <c r="M2730">
        <v>339819.88560792501</v>
      </c>
      <c r="N2730">
        <v>0.92195397244489596</v>
      </c>
    </row>
    <row r="2731" spans="2:14" x14ac:dyDescent="0.25">
      <c r="B2731" t="s">
        <v>14</v>
      </c>
      <c r="C2731" s="1">
        <v>46205.999988425923</v>
      </c>
      <c r="D2731">
        <v>25.153273310356798</v>
      </c>
      <c r="E2731">
        <v>448175.233674569</v>
      </c>
      <c r="F2731" s="1">
        <v>46204.605509259258</v>
      </c>
      <c r="G2731">
        <v>52.873709816487299</v>
      </c>
      <c r="H2731" t="s">
        <v>29</v>
      </c>
      <c r="J2731" t="s">
        <v>16</v>
      </c>
      <c r="K2731">
        <v>486114.54266645201</v>
      </c>
      <c r="L2731" t="s">
        <v>17</v>
      </c>
      <c r="M2731">
        <v>0</v>
      </c>
      <c r="N2731">
        <v>0.92195397244489596</v>
      </c>
    </row>
    <row r="2732" spans="2:14" x14ac:dyDescent="0.25">
      <c r="B2732" t="s">
        <v>14</v>
      </c>
      <c r="C2732" s="1">
        <v>46204.999988425923</v>
      </c>
      <c r="D2732">
        <v>25.153273310356798</v>
      </c>
      <c r="E2732">
        <v>448175.233674569</v>
      </c>
      <c r="F2732" s="1">
        <v>46204.605509259258</v>
      </c>
      <c r="G2732">
        <v>52.873709816487299</v>
      </c>
      <c r="H2732" t="s">
        <v>29</v>
      </c>
      <c r="J2732" t="s">
        <v>16</v>
      </c>
      <c r="K2732">
        <v>486114.54266645201</v>
      </c>
      <c r="L2732" t="s">
        <v>17</v>
      </c>
      <c r="M2732">
        <v>0</v>
      </c>
      <c r="N2732">
        <v>0.92195397244489596</v>
      </c>
    </row>
    <row r="2733" spans="2:14" x14ac:dyDescent="0.25">
      <c r="B2733" t="s">
        <v>14</v>
      </c>
      <c r="C2733" s="1">
        <v>46203.999988425923</v>
      </c>
      <c r="D2733">
        <v>25.153273310356798</v>
      </c>
      <c r="E2733">
        <v>382112.690707753</v>
      </c>
      <c r="F2733" s="1">
        <v>46201.099305555559</v>
      </c>
      <c r="G2733">
        <v>52.873709816487299</v>
      </c>
      <c r="H2733" t="s">
        <v>29</v>
      </c>
      <c r="J2733" t="s">
        <v>16</v>
      </c>
      <c r="K2733">
        <v>486114.54266645201</v>
      </c>
      <c r="L2733" t="s">
        <v>17</v>
      </c>
      <c r="M2733">
        <v>-66062.542966816196</v>
      </c>
      <c r="N2733">
        <v>0.78605484339508902</v>
      </c>
    </row>
    <row r="2734" spans="2:14" x14ac:dyDescent="0.25">
      <c r="B2734" t="s">
        <v>14</v>
      </c>
      <c r="C2734" s="1">
        <v>46202.999988425923</v>
      </c>
      <c r="D2734">
        <v>25.153273310356798</v>
      </c>
      <c r="E2734">
        <v>382112.690707753</v>
      </c>
      <c r="F2734" s="1">
        <v>46201.099305555559</v>
      </c>
      <c r="G2734">
        <v>52.873709816487299</v>
      </c>
      <c r="H2734" t="s">
        <v>29</v>
      </c>
      <c r="J2734" t="s">
        <v>16</v>
      </c>
      <c r="K2734">
        <v>486114.54266645201</v>
      </c>
      <c r="L2734" t="s">
        <v>17</v>
      </c>
      <c r="M2734">
        <v>0</v>
      </c>
      <c r="N2734">
        <v>0.78605484339508902</v>
      </c>
    </row>
    <row r="2735" spans="2:14" x14ac:dyDescent="0.25">
      <c r="B2735" t="s">
        <v>14</v>
      </c>
      <c r="C2735" s="1">
        <v>46201.999988425923</v>
      </c>
      <c r="D2735">
        <v>25.153273310356798</v>
      </c>
      <c r="E2735">
        <v>382112.690707753</v>
      </c>
      <c r="F2735" s="1">
        <v>46201.099305555559</v>
      </c>
      <c r="G2735">
        <v>52.873709816487299</v>
      </c>
      <c r="H2735" t="s">
        <v>29</v>
      </c>
      <c r="J2735" t="s">
        <v>16</v>
      </c>
      <c r="K2735">
        <v>486114.54266645201</v>
      </c>
      <c r="L2735" t="s">
        <v>17</v>
      </c>
      <c r="M2735">
        <v>0</v>
      </c>
      <c r="N2735">
        <v>0.78605484339508902</v>
      </c>
    </row>
    <row r="2736" spans="2:14" x14ac:dyDescent="0.25">
      <c r="B2736" t="s">
        <v>14</v>
      </c>
      <c r="C2736" s="1">
        <v>46200.999988425923</v>
      </c>
      <c r="D2736">
        <v>25.153273310356798</v>
      </c>
      <c r="E2736">
        <v>76668.818744492703</v>
      </c>
      <c r="F2736" s="1">
        <v>46198.605787037035</v>
      </c>
      <c r="G2736">
        <v>52.873709816487299</v>
      </c>
      <c r="H2736" t="s">
        <v>29</v>
      </c>
      <c r="J2736" t="s">
        <v>16</v>
      </c>
      <c r="K2736">
        <v>486114.54266645201</v>
      </c>
      <c r="L2736" t="s">
        <v>17</v>
      </c>
      <c r="M2736">
        <v>-305443.87196326</v>
      </c>
      <c r="N2736">
        <v>0.15771759948580399</v>
      </c>
    </row>
    <row r="2737" spans="2:14" x14ac:dyDescent="0.25">
      <c r="B2737" t="s">
        <v>14</v>
      </c>
      <c r="C2737" s="1">
        <v>46199.999988425923</v>
      </c>
      <c r="D2737">
        <v>25.153273310356798</v>
      </c>
      <c r="E2737">
        <v>76668.818744492703</v>
      </c>
      <c r="F2737" s="1">
        <v>46198.605787037035</v>
      </c>
      <c r="G2737">
        <v>52.873709816487299</v>
      </c>
      <c r="H2737" t="s">
        <v>29</v>
      </c>
      <c r="J2737" t="s">
        <v>16</v>
      </c>
      <c r="K2737">
        <v>486114.54266645201</v>
      </c>
      <c r="L2737" t="s">
        <v>17</v>
      </c>
      <c r="M2737">
        <v>0</v>
      </c>
      <c r="N2737">
        <v>0.15771759948580399</v>
      </c>
    </row>
    <row r="2738" spans="2:14" x14ac:dyDescent="0.25">
      <c r="B2738" t="s">
        <v>14</v>
      </c>
      <c r="C2738" s="1">
        <v>46198.999988425923</v>
      </c>
      <c r="D2738">
        <v>25.153273310356798</v>
      </c>
      <c r="E2738">
        <v>76668.818744492703</v>
      </c>
      <c r="F2738" s="1">
        <v>46198.605787037035</v>
      </c>
      <c r="G2738">
        <v>52.873709816487299</v>
      </c>
      <c r="H2738" t="s">
        <v>29</v>
      </c>
      <c r="J2738" t="s">
        <v>16</v>
      </c>
      <c r="K2738">
        <v>486114.54266645201</v>
      </c>
      <c r="L2738" t="s">
        <v>17</v>
      </c>
      <c r="M2738">
        <v>0</v>
      </c>
      <c r="N2738">
        <v>0.15771759948580399</v>
      </c>
    </row>
    <row r="2739" spans="2:14" x14ac:dyDescent="0.25">
      <c r="B2739" t="s">
        <v>14</v>
      </c>
      <c r="C2739" s="1">
        <v>46197.999988425923</v>
      </c>
      <c r="D2739">
        <v>25.153273310356798</v>
      </c>
      <c r="E2739">
        <v>91511.546023948002</v>
      </c>
      <c r="F2739" s="1">
        <v>46194.099780092591</v>
      </c>
      <c r="G2739">
        <v>52.873709816487299</v>
      </c>
      <c r="H2739" t="s">
        <v>29</v>
      </c>
      <c r="J2739" t="s">
        <v>16</v>
      </c>
      <c r="K2739">
        <v>486114.54266645201</v>
      </c>
      <c r="L2739" t="s">
        <v>17</v>
      </c>
      <c r="M2739">
        <v>14842.727279455299</v>
      </c>
      <c r="N2739">
        <v>0.188250994347928</v>
      </c>
    </row>
    <row r="2740" spans="2:14" x14ac:dyDescent="0.25">
      <c r="B2740" t="s">
        <v>14</v>
      </c>
      <c r="C2740" s="1">
        <v>46196.999988425923</v>
      </c>
      <c r="D2740">
        <v>25.153273310356798</v>
      </c>
      <c r="E2740">
        <v>91511.546023948002</v>
      </c>
      <c r="F2740" s="1">
        <v>46194.099780092591</v>
      </c>
      <c r="G2740">
        <v>52.873709816487299</v>
      </c>
      <c r="H2740" t="s">
        <v>29</v>
      </c>
      <c r="J2740" t="s">
        <v>16</v>
      </c>
      <c r="K2740">
        <v>486114.54266645201</v>
      </c>
      <c r="L2740" t="s">
        <v>17</v>
      </c>
      <c r="M2740">
        <v>0</v>
      </c>
      <c r="N2740">
        <v>0.188250994347928</v>
      </c>
    </row>
    <row r="2741" spans="2:14" x14ac:dyDescent="0.25">
      <c r="B2741" t="s">
        <v>14</v>
      </c>
      <c r="C2741" s="1">
        <v>46195.999988425923</v>
      </c>
      <c r="D2741">
        <v>25.153273310356798</v>
      </c>
      <c r="E2741">
        <v>91511.546023948002</v>
      </c>
      <c r="F2741" s="1">
        <v>46194.099780092591</v>
      </c>
      <c r="G2741">
        <v>52.873709816487299</v>
      </c>
      <c r="H2741" t="s">
        <v>29</v>
      </c>
      <c r="J2741" t="s">
        <v>16</v>
      </c>
      <c r="K2741">
        <v>486114.54266645201</v>
      </c>
      <c r="L2741" t="s">
        <v>17</v>
      </c>
      <c r="M2741">
        <v>0</v>
      </c>
      <c r="N2741">
        <v>0.188250994347928</v>
      </c>
    </row>
    <row r="2742" spans="2:14" x14ac:dyDescent="0.25">
      <c r="B2742" t="s">
        <v>14</v>
      </c>
      <c r="C2742" s="1">
        <v>46194.999988425923</v>
      </c>
      <c r="D2742">
        <v>25.153273310356798</v>
      </c>
      <c r="E2742">
        <v>91511.546023948002</v>
      </c>
      <c r="F2742" s="1">
        <v>46194.099780092591</v>
      </c>
      <c r="G2742">
        <v>52.873709816487299</v>
      </c>
      <c r="H2742" t="s">
        <v>29</v>
      </c>
      <c r="J2742" t="s">
        <v>16</v>
      </c>
      <c r="K2742">
        <v>486114.54266645201</v>
      </c>
      <c r="L2742" t="s">
        <v>17</v>
      </c>
      <c r="M2742">
        <v>0</v>
      </c>
      <c r="N2742">
        <v>0.188250994347928</v>
      </c>
    </row>
    <row r="2743" spans="2:14" x14ac:dyDescent="0.25">
      <c r="B2743" t="s">
        <v>14</v>
      </c>
      <c r="C2743" s="1">
        <v>46193.999988425923</v>
      </c>
      <c r="D2743">
        <v>25.153273310356798</v>
      </c>
      <c r="E2743">
        <v>486114.54266645201</v>
      </c>
      <c r="F2743" s="1">
        <v>46191.606261574074</v>
      </c>
      <c r="G2743">
        <v>52.873709816487299</v>
      </c>
      <c r="H2743" t="s">
        <v>29</v>
      </c>
      <c r="J2743" t="s">
        <v>16</v>
      </c>
      <c r="K2743">
        <v>486114.54266645201</v>
      </c>
      <c r="L2743" t="s">
        <v>17</v>
      </c>
      <c r="M2743">
        <v>394602.996642504</v>
      </c>
      <c r="N2743">
        <v>1</v>
      </c>
    </row>
    <row r="2744" spans="2:14" x14ac:dyDescent="0.25">
      <c r="B2744" t="s">
        <v>14</v>
      </c>
      <c r="C2744" s="1">
        <v>46192.999988425923</v>
      </c>
      <c r="D2744">
        <v>25.153273310356798</v>
      </c>
      <c r="E2744">
        <v>486114.54266645201</v>
      </c>
      <c r="F2744" s="1">
        <v>46191.606261574074</v>
      </c>
      <c r="G2744">
        <v>52.873709816487299</v>
      </c>
      <c r="H2744" t="s">
        <v>29</v>
      </c>
      <c r="J2744" t="s">
        <v>16</v>
      </c>
      <c r="K2744">
        <v>486114.54266645201</v>
      </c>
      <c r="L2744" t="s">
        <v>17</v>
      </c>
      <c r="M2744">
        <v>0</v>
      </c>
      <c r="N2744">
        <v>1</v>
      </c>
    </row>
    <row r="2745" spans="2:14" x14ac:dyDescent="0.25">
      <c r="B2745" t="s">
        <v>14</v>
      </c>
      <c r="C2745" s="1">
        <v>46191.999988425923</v>
      </c>
      <c r="D2745">
        <v>25.153273310356798</v>
      </c>
      <c r="E2745">
        <v>486114.54266645201</v>
      </c>
      <c r="F2745" s="1">
        <v>46191.606261574074</v>
      </c>
      <c r="G2745">
        <v>52.873709816487299</v>
      </c>
      <c r="H2745" t="s">
        <v>29</v>
      </c>
      <c r="J2745" t="s">
        <v>16</v>
      </c>
      <c r="K2745">
        <v>486114.54266645201</v>
      </c>
      <c r="L2745" t="s">
        <v>17</v>
      </c>
      <c r="M2745">
        <v>0</v>
      </c>
      <c r="N2745">
        <v>1</v>
      </c>
    </row>
    <row r="2746" spans="2:14" x14ac:dyDescent="0.25">
      <c r="B2746" t="s">
        <v>14</v>
      </c>
      <c r="C2746" s="1">
        <v>46190.999988425923</v>
      </c>
      <c r="D2746">
        <v>25.153273310356798</v>
      </c>
      <c r="E2746">
        <v>486114.54266645201</v>
      </c>
      <c r="F2746" s="1">
        <v>46189.099270833336</v>
      </c>
      <c r="G2746">
        <v>52.873709816487299</v>
      </c>
      <c r="H2746" t="s">
        <v>29</v>
      </c>
      <c r="J2746" t="s">
        <v>16</v>
      </c>
      <c r="K2746">
        <v>486114.54266645201</v>
      </c>
      <c r="L2746" t="s">
        <v>17</v>
      </c>
      <c r="M2746">
        <v>0</v>
      </c>
      <c r="N2746">
        <v>1</v>
      </c>
    </row>
    <row r="2747" spans="2:14" x14ac:dyDescent="0.25">
      <c r="B2747" t="s">
        <v>14</v>
      </c>
      <c r="C2747" s="1">
        <v>46189.999988425923</v>
      </c>
      <c r="D2747">
        <v>25.153273310356798</v>
      </c>
      <c r="E2747">
        <v>486114.54266645201</v>
      </c>
      <c r="F2747" s="1">
        <v>46189.099270833336</v>
      </c>
      <c r="G2747">
        <v>52.873709816487299</v>
      </c>
      <c r="H2747" t="s">
        <v>29</v>
      </c>
      <c r="J2747" t="s">
        <v>16</v>
      </c>
      <c r="K2747">
        <v>486114.54266645201</v>
      </c>
      <c r="L2747" t="s">
        <v>17</v>
      </c>
      <c r="M2747">
        <v>0</v>
      </c>
      <c r="N2747">
        <v>1</v>
      </c>
    </row>
    <row r="2748" spans="2:14" x14ac:dyDescent="0.25">
      <c r="B2748" t="s">
        <v>14</v>
      </c>
      <c r="C2748" s="1">
        <v>46188.999988425923</v>
      </c>
      <c r="D2748">
        <v>25.153273310356798</v>
      </c>
      <c r="E2748">
        <v>478429.99001384102</v>
      </c>
      <c r="F2748" s="1">
        <v>46186.60564814815</v>
      </c>
      <c r="G2748">
        <v>52.873709816487299</v>
      </c>
      <c r="H2748" t="s">
        <v>29</v>
      </c>
      <c r="J2748" t="s">
        <v>16</v>
      </c>
      <c r="K2748">
        <v>486114.54266645201</v>
      </c>
      <c r="L2748" t="s">
        <v>17</v>
      </c>
      <c r="M2748">
        <v>-7684.5526526107496</v>
      </c>
      <c r="N2748">
        <v>0.98419188899295296</v>
      </c>
    </row>
    <row r="2749" spans="2:14" x14ac:dyDescent="0.25">
      <c r="B2749" t="s">
        <v>14</v>
      </c>
      <c r="C2749" s="1">
        <v>46187.999988425923</v>
      </c>
      <c r="D2749">
        <v>25.153273310356798</v>
      </c>
      <c r="E2749">
        <v>478429.99001384102</v>
      </c>
      <c r="F2749" s="1">
        <v>46186.60564814815</v>
      </c>
      <c r="G2749">
        <v>52.873709816487299</v>
      </c>
      <c r="H2749" t="s">
        <v>29</v>
      </c>
      <c r="J2749" t="s">
        <v>16</v>
      </c>
      <c r="K2749">
        <v>486114.54266645201</v>
      </c>
      <c r="L2749" t="s">
        <v>17</v>
      </c>
      <c r="M2749">
        <v>0</v>
      </c>
      <c r="N2749">
        <v>0.98419188899295296</v>
      </c>
    </row>
    <row r="2750" spans="2:14" x14ac:dyDescent="0.25">
      <c r="B2750" t="s">
        <v>14</v>
      </c>
      <c r="C2750" s="1">
        <v>46186.999988425923</v>
      </c>
      <c r="D2750">
        <v>25.153273310356798</v>
      </c>
      <c r="E2750">
        <v>478429.99001384102</v>
      </c>
      <c r="F2750" s="1">
        <v>46186.60564814815</v>
      </c>
      <c r="G2750">
        <v>52.873709816487299</v>
      </c>
      <c r="H2750" t="s">
        <v>29</v>
      </c>
      <c r="J2750" t="s">
        <v>16</v>
      </c>
      <c r="K2750">
        <v>486114.54266645201</v>
      </c>
      <c r="L2750" t="s">
        <v>17</v>
      </c>
      <c r="M2750">
        <v>0</v>
      </c>
      <c r="N2750">
        <v>0.98419188899295296</v>
      </c>
    </row>
    <row r="2751" spans="2:14" x14ac:dyDescent="0.25">
      <c r="B2751" t="s">
        <v>14</v>
      </c>
      <c r="C2751" s="1">
        <v>46185.999988425923</v>
      </c>
      <c r="D2751">
        <v>25.153273310356798</v>
      </c>
      <c r="E2751">
        <v>152963.402818926</v>
      </c>
      <c r="F2751" s="1">
        <v>46182.099780092591</v>
      </c>
      <c r="G2751">
        <v>52.873709816487299</v>
      </c>
      <c r="H2751" t="s">
        <v>29</v>
      </c>
      <c r="J2751" t="s">
        <v>16</v>
      </c>
      <c r="K2751">
        <v>486114.54266645201</v>
      </c>
      <c r="L2751" t="s">
        <v>17</v>
      </c>
      <c r="M2751">
        <v>-325466.587194914</v>
      </c>
      <c r="N2751">
        <v>0.31466535022771902</v>
      </c>
    </row>
    <row r="2752" spans="2:14" x14ac:dyDescent="0.25">
      <c r="B2752" t="s">
        <v>14</v>
      </c>
      <c r="C2752" s="1">
        <v>46184.999988425923</v>
      </c>
      <c r="D2752">
        <v>25.153273310356798</v>
      </c>
      <c r="E2752">
        <v>152963.402818926</v>
      </c>
      <c r="F2752" s="1">
        <v>46182.099780092591</v>
      </c>
      <c r="G2752">
        <v>52.873709816487299</v>
      </c>
      <c r="H2752" t="s">
        <v>29</v>
      </c>
      <c r="J2752" t="s">
        <v>16</v>
      </c>
      <c r="K2752">
        <v>486114.54266645201</v>
      </c>
      <c r="L2752" t="s">
        <v>17</v>
      </c>
      <c r="M2752">
        <v>0</v>
      </c>
      <c r="N2752">
        <v>0.31466535022771902</v>
      </c>
    </row>
    <row r="2753" spans="2:14" x14ac:dyDescent="0.25">
      <c r="B2753" t="s">
        <v>14</v>
      </c>
      <c r="C2753" s="1">
        <v>46183.999988425923</v>
      </c>
      <c r="D2753">
        <v>25.153273310356798</v>
      </c>
      <c r="E2753">
        <v>152963.402818926</v>
      </c>
      <c r="F2753" s="1">
        <v>46182.099780092591</v>
      </c>
      <c r="G2753">
        <v>52.873709816487299</v>
      </c>
      <c r="H2753" t="s">
        <v>29</v>
      </c>
      <c r="J2753" t="s">
        <v>16</v>
      </c>
      <c r="K2753">
        <v>486114.54266645201</v>
      </c>
      <c r="L2753" t="s">
        <v>17</v>
      </c>
      <c r="M2753">
        <v>0</v>
      </c>
      <c r="N2753">
        <v>0.31466535022771902</v>
      </c>
    </row>
    <row r="2754" spans="2:14" x14ac:dyDescent="0.25">
      <c r="B2754" t="s">
        <v>14</v>
      </c>
      <c r="C2754" s="1">
        <v>46182.999988425923</v>
      </c>
      <c r="D2754">
        <v>25.153273310356798</v>
      </c>
      <c r="E2754">
        <v>152963.402818926</v>
      </c>
      <c r="F2754" s="1">
        <v>46182.099780092591</v>
      </c>
      <c r="G2754">
        <v>52.873709816487299</v>
      </c>
      <c r="H2754" t="s">
        <v>29</v>
      </c>
      <c r="J2754" t="s">
        <v>16</v>
      </c>
      <c r="K2754">
        <v>486114.54266645201</v>
      </c>
      <c r="L2754" t="s">
        <v>17</v>
      </c>
      <c r="M2754">
        <v>0</v>
      </c>
      <c r="N2754">
        <v>0.31466535022771902</v>
      </c>
    </row>
    <row r="2755" spans="2:14" x14ac:dyDescent="0.25">
      <c r="B2755" t="s">
        <v>14</v>
      </c>
      <c r="C2755" s="1">
        <v>46181.999988425923</v>
      </c>
      <c r="D2755">
        <v>25.153273310356798</v>
      </c>
      <c r="E2755">
        <v>428866.233219132</v>
      </c>
      <c r="F2755" s="1">
        <v>46179.606273148151</v>
      </c>
      <c r="G2755">
        <v>52.873709816487299</v>
      </c>
      <c r="H2755" t="s">
        <v>29</v>
      </c>
      <c r="J2755" t="s">
        <v>16</v>
      </c>
      <c r="K2755">
        <v>486114.54266645201</v>
      </c>
      <c r="L2755" t="s">
        <v>17</v>
      </c>
      <c r="M2755">
        <v>275902.83040020597</v>
      </c>
      <c r="N2755">
        <v>0.88223288047854098</v>
      </c>
    </row>
    <row r="2756" spans="2:14" x14ac:dyDescent="0.25">
      <c r="B2756" t="s">
        <v>14</v>
      </c>
      <c r="C2756" s="1">
        <v>46180.999988425923</v>
      </c>
      <c r="D2756">
        <v>25.153273310356798</v>
      </c>
      <c r="E2756">
        <v>428866.233219132</v>
      </c>
      <c r="F2756" s="1">
        <v>46179.606273148151</v>
      </c>
      <c r="G2756">
        <v>52.873709816487299</v>
      </c>
      <c r="H2756" t="s">
        <v>29</v>
      </c>
      <c r="J2756" t="s">
        <v>16</v>
      </c>
      <c r="K2756">
        <v>486114.54266645201</v>
      </c>
      <c r="L2756" t="s">
        <v>17</v>
      </c>
      <c r="M2756">
        <v>0</v>
      </c>
      <c r="N2756">
        <v>0.88223288047854098</v>
      </c>
    </row>
    <row r="2757" spans="2:14" x14ac:dyDescent="0.25">
      <c r="B2757" t="s">
        <v>14</v>
      </c>
      <c r="C2757" s="1">
        <v>46179.999988425923</v>
      </c>
      <c r="D2757">
        <v>25.153273310356798</v>
      </c>
      <c r="E2757">
        <v>428866.233219132</v>
      </c>
      <c r="F2757" s="1">
        <v>46179.606273148151</v>
      </c>
      <c r="G2757">
        <v>52.873709816487299</v>
      </c>
      <c r="H2757" t="s">
        <v>29</v>
      </c>
      <c r="J2757" t="s">
        <v>16</v>
      </c>
      <c r="K2757">
        <v>486114.54266645201</v>
      </c>
      <c r="L2757" t="s">
        <v>17</v>
      </c>
      <c r="M2757">
        <v>0</v>
      </c>
      <c r="N2757">
        <v>0.88223288047854098</v>
      </c>
    </row>
    <row r="2758" spans="2:14" x14ac:dyDescent="0.25">
      <c r="B2758" t="s">
        <v>14</v>
      </c>
      <c r="C2758" s="1">
        <v>46178.999988425923</v>
      </c>
      <c r="D2758">
        <v>25.153273310356798</v>
      </c>
      <c r="E2758">
        <v>94264.397379865899</v>
      </c>
      <c r="F2758" s="1">
        <v>46177.099259259259</v>
      </c>
      <c r="G2758">
        <v>52.873709816487299</v>
      </c>
      <c r="H2758" t="s">
        <v>29</v>
      </c>
      <c r="J2758" t="s">
        <v>16</v>
      </c>
      <c r="K2758">
        <v>486114.54266645201</v>
      </c>
      <c r="L2758" t="s">
        <v>17</v>
      </c>
      <c r="M2758">
        <v>-334601.83583926602</v>
      </c>
      <c r="N2758">
        <v>0.193913962875505</v>
      </c>
    </row>
    <row r="2759" spans="2:14" x14ac:dyDescent="0.25">
      <c r="B2759" t="s">
        <v>14</v>
      </c>
      <c r="C2759" s="1">
        <v>46177.999988425923</v>
      </c>
      <c r="D2759">
        <v>25.153273310356798</v>
      </c>
      <c r="E2759">
        <v>94264.397379865899</v>
      </c>
      <c r="F2759" s="1">
        <v>46177.099259259259</v>
      </c>
      <c r="G2759">
        <v>52.873709816487299</v>
      </c>
      <c r="H2759" t="s">
        <v>29</v>
      </c>
      <c r="J2759" t="s">
        <v>16</v>
      </c>
      <c r="K2759">
        <v>486114.54266645201</v>
      </c>
      <c r="L2759" t="s">
        <v>17</v>
      </c>
      <c r="M2759">
        <v>0</v>
      </c>
      <c r="N2759">
        <v>0.193913962875505</v>
      </c>
    </row>
    <row r="2760" spans="2:14" x14ac:dyDescent="0.25">
      <c r="B2760" t="s">
        <v>14</v>
      </c>
      <c r="C2760" s="1">
        <v>46176.999988425923</v>
      </c>
      <c r="D2760">
        <v>25.153273310356798</v>
      </c>
      <c r="E2760">
        <v>92930.514678135005</v>
      </c>
      <c r="F2760" s="1">
        <v>46176.099143518521</v>
      </c>
      <c r="G2760">
        <v>52.873709816487299</v>
      </c>
      <c r="H2760" t="s">
        <v>29</v>
      </c>
      <c r="J2760" t="s">
        <v>16</v>
      </c>
      <c r="K2760">
        <v>486114.54266645201</v>
      </c>
      <c r="L2760" t="s">
        <v>17</v>
      </c>
      <c r="M2760">
        <v>-1333.88270173093</v>
      </c>
      <c r="N2760">
        <v>0.19116999497359</v>
      </c>
    </row>
    <row r="2761" spans="2:14" x14ac:dyDescent="0.25">
      <c r="B2761" t="s">
        <v>14</v>
      </c>
      <c r="C2761" s="1">
        <v>46175.999988425923</v>
      </c>
      <c r="D2761">
        <v>25.153273310356798</v>
      </c>
      <c r="E2761">
        <v>444509.189449973</v>
      </c>
      <c r="F2761" s="1">
        <v>46173.605520833335</v>
      </c>
      <c r="G2761">
        <v>52.873709816487299</v>
      </c>
      <c r="H2761" t="s">
        <v>29</v>
      </c>
      <c r="J2761" t="s">
        <v>16</v>
      </c>
      <c r="K2761">
        <v>486114.54266645201</v>
      </c>
      <c r="L2761" t="s">
        <v>17</v>
      </c>
      <c r="M2761">
        <v>351578.67477183801</v>
      </c>
      <c r="N2761">
        <v>0.91441244899141705</v>
      </c>
    </row>
    <row r="2762" spans="2:14" x14ac:dyDescent="0.25">
      <c r="B2762" t="s">
        <v>14</v>
      </c>
      <c r="C2762" s="1">
        <v>46174.999988425923</v>
      </c>
      <c r="D2762">
        <v>25.153273310356798</v>
      </c>
      <c r="E2762">
        <v>444509.189449973</v>
      </c>
      <c r="F2762" s="1">
        <v>46173.605520833335</v>
      </c>
      <c r="G2762">
        <v>52.873709816487299</v>
      </c>
      <c r="H2762" t="s">
        <v>29</v>
      </c>
      <c r="J2762" t="s">
        <v>16</v>
      </c>
      <c r="K2762">
        <v>486114.54266645201</v>
      </c>
      <c r="L2762" t="s">
        <v>17</v>
      </c>
      <c r="M2762">
        <v>0</v>
      </c>
      <c r="N2762">
        <v>0.91441244899141705</v>
      </c>
    </row>
    <row r="2763" spans="2:14" x14ac:dyDescent="0.25">
      <c r="B2763" t="s">
        <v>14</v>
      </c>
      <c r="C2763" s="1">
        <v>46173.999988425923</v>
      </c>
      <c r="D2763">
        <v>25.153273310356798</v>
      </c>
      <c r="E2763">
        <v>444509.189449973</v>
      </c>
      <c r="F2763" s="1">
        <v>46173.605520833335</v>
      </c>
      <c r="G2763">
        <v>52.873709816487299</v>
      </c>
      <c r="H2763" t="s">
        <v>29</v>
      </c>
      <c r="J2763" t="s">
        <v>16</v>
      </c>
      <c r="K2763">
        <v>486114.54266645201</v>
      </c>
      <c r="L2763" t="s">
        <v>17</v>
      </c>
      <c r="M2763">
        <v>0</v>
      </c>
      <c r="N2763">
        <v>0.91441244899141705</v>
      </c>
    </row>
    <row r="2764" spans="2:14" x14ac:dyDescent="0.25">
      <c r="B2764" t="s">
        <v>14</v>
      </c>
      <c r="C2764" s="1">
        <v>46172.999988425923</v>
      </c>
      <c r="D2764">
        <v>25.153273310356798</v>
      </c>
      <c r="E2764">
        <v>486114.54266645201</v>
      </c>
      <c r="F2764" s="1">
        <v>46170.099791666667</v>
      </c>
      <c r="G2764">
        <v>52.873709816487299</v>
      </c>
      <c r="H2764" t="s">
        <v>29</v>
      </c>
      <c r="J2764" t="s">
        <v>16</v>
      </c>
      <c r="K2764">
        <v>486114.54266645201</v>
      </c>
      <c r="L2764" t="s">
        <v>17</v>
      </c>
      <c r="M2764">
        <v>41605.353216478703</v>
      </c>
      <c r="N2764">
        <v>1</v>
      </c>
    </row>
    <row r="2765" spans="2:14" x14ac:dyDescent="0.25">
      <c r="B2765" t="s">
        <v>14</v>
      </c>
      <c r="C2765" s="1">
        <v>46171.999988425923</v>
      </c>
      <c r="D2765">
        <v>25.153273310356798</v>
      </c>
      <c r="E2765">
        <v>486114.54266645201</v>
      </c>
      <c r="F2765" s="1">
        <v>46170.099791666667</v>
      </c>
      <c r="G2765">
        <v>52.873709816487299</v>
      </c>
      <c r="H2765" t="s">
        <v>29</v>
      </c>
      <c r="J2765" t="s">
        <v>16</v>
      </c>
      <c r="K2765">
        <v>486114.54266645201</v>
      </c>
      <c r="L2765" t="s">
        <v>17</v>
      </c>
      <c r="M2765">
        <v>0</v>
      </c>
      <c r="N2765">
        <v>1</v>
      </c>
    </row>
    <row r="2766" spans="2:14" x14ac:dyDescent="0.25">
      <c r="B2766" t="s">
        <v>14</v>
      </c>
      <c r="C2766" s="1">
        <v>46170.999988425923</v>
      </c>
      <c r="D2766">
        <v>25.153273310356798</v>
      </c>
      <c r="E2766">
        <v>486114.54266645201</v>
      </c>
      <c r="F2766" s="1">
        <v>46170.099791666667</v>
      </c>
      <c r="G2766">
        <v>52.873709816487299</v>
      </c>
      <c r="H2766" t="s">
        <v>29</v>
      </c>
      <c r="J2766" t="s">
        <v>16</v>
      </c>
      <c r="K2766">
        <v>486114.54266645201</v>
      </c>
      <c r="L2766" t="s">
        <v>17</v>
      </c>
      <c r="M2766">
        <v>0</v>
      </c>
      <c r="N2766">
        <v>1</v>
      </c>
    </row>
    <row r="2767" spans="2:14" x14ac:dyDescent="0.25">
      <c r="B2767" t="s">
        <v>14</v>
      </c>
      <c r="C2767" s="1">
        <v>46169.999988425923</v>
      </c>
      <c r="D2767">
        <v>25.153273310356798</v>
      </c>
      <c r="E2767">
        <v>486114.54266645201</v>
      </c>
      <c r="F2767" s="1">
        <v>46167.60628472222</v>
      </c>
      <c r="G2767">
        <v>52.873709816487299</v>
      </c>
      <c r="H2767" t="s">
        <v>29</v>
      </c>
      <c r="J2767" t="s">
        <v>16</v>
      </c>
      <c r="K2767">
        <v>486114.54266645201</v>
      </c>
      <c r="L2767" t="s">
        <v>17</v>
      </c>
      <c r="M2767">
        <v>0</v>
      </c>
      <c r="N2767">
        <v>1</v>
      </c>
    </row>
    <row r="2768" spans="2:14" x14ac:dyDescent="0.25">
      <c r="B2768" t="s">
        <v>14</v>
      </c>
      <c r="C2768" s="1">
        <v>46168.999988425923</v>
      </c>
      <c r="D2768">
        <v>25.153273310356798</v>
      </c>
      <c r="E2768">
        <v>486114.54266645201</v>
      </c>
      <c r="F2768" s="1">
        <v>46167.60628472222</v>
      </c>
      <c r="G2768">
        <v>52.873709816487299</v>
      </c>
      <c r="H2768" t="s">
        <v>29</v>
      </c>
      <c r="J2768" t="s">
        <v>16</v>
      </c>
      <c r="K2768">
        <v>486114.54266645201</v>
      </c>
      <c r="L2768" t="s">
        <v>17</v>
      </c>
      <c r="M2768">
        <v>0</v>
      </c>
      <c r="N2768">
        <v>1</v>
      </c>
    </row>
    <row r="2769" spans="2:14" x14ac:dyDescent="0.25">
      <c r="B2769" t="s">
        <v>14</v>
      </c>
      <c r="C2769" s="1">
        <v>46167.999988425923</v>
      </c>
      <c r="D2769">
        <v>25.153273310356798</v>
      </c>
      <c r="E2769">
        <v>486114.54266645201</v>
      </c>
      <c r="F2769" s="1">
        <v>46167.60628472222</v>
      </c>
      <c r="G2769">
        <v>52.873709816487299</v>
      </c>
      <c r="H2769" t="s">
        <v>29</v>
      </c>
      <c r="J2769" t="s">
        <v>16</v>
      </c>
      <c r="K2769">
        <v>486114.54266645201</v>
      </c>
      <c r="L2769" t="s">
        <v>17</v>
      </c>
      <c r="M2769">
        <v>0</v>
      </c>
      <c r="N2769">
        <v>1</v>
      </c>
    </row>
    <row r="2770" spans="2:14" x14ac:dyDescent="0.25">
      <c r="B2770" t="s">
        <v>14</v>
      </c>
      <c r="C2770" s="1">
        <v>46166.999988425923</v>
      </c>
      <c r="D2770">
        <v>25.153273310356798</v>
      </c>
      <c r="E2770">
        <v>168532.77955589999</v>
      </c>
      <c r="F2770" s="1">
        <v>46165.099259259259</v>
      </c>
      <c r="G2770">
        <v>52.873709816487299</v>
      </c>
      <c r="H2770" t="s">
        <v>29</v>
      </c>
      <c r="J2770" t="s">
        <v>16</v>
      </c>
      <c r="K2770">
        <v>486114.54266645201</v>
      </c>
      <c r="L2770" t="s">
        <v>17</v>
      </c>
      <c r="M2770">
        <v>-317581.76311055099</v>
      </c>
      <c r="N2770">
        <v>0.34669355627885301</v>
      </c>
    </row>
    <row r="2771" spans="2:14" x14ac:dyDescent="0.25">
      <c r="B2771" t="s">
        <v>14</v>
      </c>
      <c r="C2771" s="1">
        <v>46165.999988425923</v>
      </c>
      <c r="D2771">
        <v>25.153273310356798</v>
      </c>
      <c r="E2771">
        <v>168532.77955589999</v>
      </c>
      <c r="F2771" s="1">
        <v>46165.099259259259</v>
      </c>
      <c r="G2771">
        <v>52.873709816487299</v>
      </c>
      <c r="H2771" t="s">
        <v>29</v>
      </c>
      <c r="J2771" t="s">
        <v>16</v>
      </c>
      <c r="K2771">
        <v>486114.54266645201</v>
      </c>
      <c r="L2771" t="s">
        <v>17</v>
      </c>
      <c r="M2771">
        <v>0</v>
      </c>
      <c r="N2771">
        <v>0.34669355627885301</v>
      </c>
    </row>
    <row r="2772" spans="2:14" x14ac:dyDescent="0.25">
      <c r="B2772" t="s">
        <v>14</v>
      </c>
      <c r="C2772" s="1">
        <v>46164.999988425923</v>
      </c>
      <c r="D2772">
        <v>25.153273310356798</v>
      </c>
      <c r="E2772">
        <v>165188.47196809301</v>
      </c>
      <c r="F2772" s="1">
        <v>46164.099143518521</v>
      </c>
      <c r="G2772">
        <v>52.873709816487299</v>
      </c>
      <c r="H2772" t="s">
        <v>29</v>
      </c>
      <c r="J2772" t="s">
        <v>16</v>
      </c>
      <c r="K2772">
        <v>486114.54266645201</v>
      </c>
      <c r="L2772" t="s">
        <v>17</v>
      </c>
      <c r="M2772">
        <v>-3344.3075878071199</v>
      </c>
      <c r="N2772">
        <v>0.33981388637747001</v>
      </c>
    </row>
    <row r="2773" spans="2:14" x14ac:dyDescent="0.25">
      <c r="B2773" t="s">
        <v>14</v>
      </c>
      <c r="C2773" s="1">
        <v>46163.999988425923</v>
      </c>
      <c r="D2773">
        <v>25.153273310356798</v>
      </c>
      <c r="E2773">
        <v>165224.08121368999</v>
      </c>
      <c r="F2773" s="1">
        <v>46162.605624999997</v>
      </c>
      <c r="G2773">
        <v>52.873709816487299</v>
      </c>
      <c r="H2773" t="s">
        <v>29</v>
      </c>
      <c r="J2773" t="s">
        <v>16</v>
      </c>
      <c r="K2773">
        <v>486114.54266645201</v>
      </c>
      <c r="L2773" t="s">
        <v>17</v>
      </c>
      <c r="M2773">
        <v>35.609245596395297</v>
      </c>
      <c r="N2773">
        <v>0.33988713916559099</v>
      </c>
    </row>
    <row r="2774" spans="2:14" x14ac:dyDescent="0.25">
      <c r="B2774" t="s">
        <v>14</v>
      </c>
      <c r="C2774" s="1">
        <v>46162.999988425923</v>
      </c>
      <c r="D2774">
        <v>25.153273310356798</v>
      </c>
      <c r="E2774">
        <v>165224.08121368999</v>
      </c>
      <c r="F2774" s="1">
        <v>46162.605624999997</v>
      </c>
      <c r="G2774">
        <v>52.873709816487299</v>
      </c>
      <c r="H2774" t="s">
        <v>29</v>
      </c>
      <c r="J2774" t="s">
        <v>16</v>
      </c>
      <c r="K2774">
        <v>486114.54266645201</v>
      </c>
      <c r="L2774" t="s">
        <v>17</v>
      </c>
      <c r="M2774">
        <v>0</v>
      </c>
      <c r="N2774">
        <v>0.33988713916559099</v>
      </c>
    </row>
    <row r="2775" spans="2:14" x14ac:dyDescent="0.25">
      <c r="B2775" t="s">
        <v>14</v>
      </c>
      <c r="C2775" s="1">
        <v>46161.999988425923</v>
      </c>
      <c r="D2775">
        <v>25.153273310356798</v>
      </c>
      <c r="E2775">
        <v>124242.432030522</v>
      </c>
      <c r="F2775" s="1">
        <v>46161.605509259258</v>
      </c>
      <c r="G2775">
        <v>52.873709816487299</v>
      </c>
      <c r="H2775" t="s">
        <v>29</v>
      </c>
      <c r="J2775" t="s">
        <v>16</v>
      </c>
      <c r="K2775">
        <v>486114.54266645201</v>
      </c>
      <c r="L2775" t="s">
        <v>17</v>
      </c>
      <c r="M2775">
        <v>-40981.649183167399</v>
      </c>
      <c r="N2775">
        <v>0.25558262739687598</v>
      </c>
    </row>
    <row r="2776" spans="2:14" x14ac:dyDescent="0.25">
      <c r="B2776" t="s">
        <v>14</v>
      </c>
      <c r="C2776" s="1">
        <v>46160.999988425923</v>
      </c>
      <c r="D2776">
        <v>25.153273310356798</v>
      </c>
      <c r="E2776">
        <v>89760.5306455713</v>
      </c>
      <c r="F2776" s="1">
        <v>46158.099791666667</v>
      </c>
      <c r="G2776">
        <v>52.873709816487299</v>
      </c>
      <c r="H2776" t="s">
        <v>29</v>
      </c>
      <c r="J2776" t="s">
        <v>16</v>
      </c>
      <c r="K2776">
        <v>486114.54266645201</v>
      </c>
      <c r="L2776" t="s">
        <v>17</v>
      </c>
      <c r="M2776">
        <v>-34481.901384951299</v>
      </c>
      <c r="N2776">
        <v>0.184648930997237</v>
      </c>
    </row>
    <row r="2777" spans="2:14" x14ac:dyDescent="0.25">
      <c r="B2777" t="s">
        <v>14</v>
      </c>
      <c r="C2777" s="1">
        <v>46159.999988425923</v>
      </c>
      <c r="D2777">
        <v>25.153273310356798</v>
      </c>
      <c r="E2777">
        <v>89760.5306455713</v>
      </c>
      <c r="F2777" s="1">
        <v>46158.099791666667</v>
      </c>
      <c r="G2777">
        <v>52.873709816487299</v>
      </c>
      <c r="H2777" t="s">
        <v>29</v>
      </c>
      <c r="J2777" t="s">
        <v>16</v>
      </c>
      <c r="K2777">
        <v>486114.54266645201</v>
      </c>
      <c r="L2777" t="s">
        <v>17</v>
      </c>
      <c r="M2777">
        <v>0</v>
      </c>
      <c r="N2777">
        <v>0.184648930997237</v>
      </c>
    </row>
    <row r="2778" spans="2:14" x14ac:dyDescent="0.25">
      <c r="B2778" t="s">
        <v>14</v>
      </c>
      <c r="C2778" s="1">
        <v>46158.999988425923</v>
      </c>
      <c r="D2778">
        <v>25.153273310356798</v>
      </c>
      <c r="E2778">
        <v>89760.5306455713</v>
      </c>
      <c r="F2778" s="1">
        <v>46158.099791666667</v>
      </c>
      <c r="G2778">
        <v>52.873709816487299</v>
      </c>
      <c r="H2778" t="s">
        <v>29</v>
      </c>
      <c r="J2778" t="s">
        <v>16</v>
      </c>
      <c r="K2778">
        <v>486114.54266645201</v>
      </c>
      <c r="L2778" t="s">
        <v>17</v>
      </c>
      <c r="M2778">
        <v>0</v>
      </c>
      <c r="N2778">
        <v>0.184648930997237</v>
      </c>
    </row>
    <row r="2779" spans="2:14" x14ac:dyDescent="0.25">
      <c r="B2779" t="s">
        <v>14</v>
      </c>
      <c r="C2779" s="1">
        <v>46157.999988425923</v>
      </c>
      <c r="D2779">
        <v>25.153273310356798</v>
      </c>
      <c r="E2779">
        <v>446342.42617492197</v>
      </c>
      <c r="F2779" s="1">
        <v>46155.60628472222</v>
      </c>
      <c r="G2779">
        <v>52.873709816487299</v>
      </c>
      <c r="H2779" t="s">
        <v>29</v>
      </c>
      <c r="J2779" t="s">
        <v>16</v>
      </c>
      <c r="K2779">
        <v>486114.54266645201</v>
      </c>
      <c r="L2779" t="s">
        <v>17</v>
      </c>
      <c r="M2779">
        <v>356581.89552935102</v>
      </c>
      <c r="N2779">
        <v>0.91818365220392195</v>
      </c>
    </row>
    <row r="2780" spans="2:14" x14ac:dyDescent="0.25">
      <c r="B2780" t="s">
        <v>14</v>
      </c>
      <c r="C2780" s="1">
        <v>46156.999988425923</v>
      </c>
      <c r="D2780">
        <v>25.153273310356798</v>
      </c>
      <c r="E2780">
        <v>446342.42617492197</v>
      </c>
      <c r="F2780" s="1">
        <v>46155.60628472222</v>
      </c>
      <c r="G2780">
        <v>52.873709816487299</v>
      </c>
      <c r="H2780" t="s">
        <v>29</v>
      </c>
      <c r="J2780" t="s">
        <v>16</v>
      </c>
      <c r="K2780">
        <v>486114.54266645201</v>
      </c>
      <c r="L2780" t="s">
        <v>17</v>
      </c>
      <c r="M2780">
        <v>0</v>
      </c>
      <c r="N2780">
        <v>0.91818365220392195</v>
      </c>
    </row>
    <row r="2781" spans="2:14" x14ac:dyDescent="0.25">
      <c r="B2781" t="s">
        <v>14</v>
      </c>
      <c r="C2781" s="1">
        <v>46155.999988425923</v>
      </c>
      <c r="D2781">
        <v>25.153273310356798</v>
      </c>
      <c r="E2781">
        <v>446342.42617492197</v>
      </c>
      <c r="F2781" s="1">
        <v>46155.60628472222</v>
      </c>
      <c r="G2781">
        <v>52.873709816487299</v>
      </c>
      <c r="H2781" t="s">
        <v>29</v>
      </c>
      <c r="J2781" t="s">
        <v>16</v>
      </c>
      <c r="K2781">
        <v>486114.54266645201</v>
      </c>
      <c r="L2781" t="s">
        <v>17</v>
      </c>
      <c r="M2781">
        <v>0</v>
      </c>
      <c r="N2781">
        <v>0.91818365220392195</v>
      </c>
    </row>
    <row r="2782" spans="2:14" x14ac:dyDescent="0.25">
      <c r="B2782" t="s">
        <v>14</v>
      </c>
      <c r="C2782" s="1">
        <v>46154.999988425923</v>
      </c>
      <c r="D2782">
        <v>25.153273310356798</v>
      </c>
      <c r="E2782">
        <v>486114.54266645201</v>
      </c>
      <c r="F2782" s="1">
        <v>46153.099247685182</v>
      </c>
      <c r="G2782">
        <v>52.873709816487299</v>
      </c>
      <c r="H2782" t="s">
        <v>29</v>
      </c>
      <c r="J2782" t="s">
        <v>16</v>
      </c>
      <c r="K2782">
        <v>486114.54266645201</v>
      </c>
      <c r="L2782" t="s">
        <v>17</v>
      </c>
      <c r="M2782">
        <v>39772.116491529501</v>
      </c>
      <c r="N2782">
        <v>1</v>
      </c>
    </row>
    <row r="2783" spans="2:14" x14ac:dyDescent="0.25">
      <c r="B2783" t="s">
        <v>14</v>
      </c>
      <c r="C2783" s="1">
        <v>46153.999988425923</v>
      </c>
      <c r="D2783">
        <v>25.153273310356798</v>
      </c>
      <c r="E2783">
        <v>486114.54266645201</v>
      </c>
      <c r="F2783" s="1">
        <v>46153.099247685182</v>
      </c>
      <c r="G2783">
        <v>52.873709816487299</v>
      </c>
      <c r="H2783" t="s">
        <v>29</v>
      </c>
      <c r="J2783" t="s">
        <v>16</v>
      </c>
      <c r="K2783">
        <v>486114.54266645201</v>
      </c>
      <c r="L2783" t="s">
        <v>17</v>
      </c>
      <c r="M2783">
        <v>0</v>
      </c>
      <c r="N2783">
        <v>1</v>
      </c>
    </row>
    <row r="2784" spans="2:14" x14ac:dyDescent="0.25">
      <c r="B2784" t="s">
        <v>14</v>
      </c>
      <c r="C2784" s="1">
        <v>46152.999988425923</v>
      </c>
      <c r="D2784">
        <v>25.153273310356798</v>
      </c>
      <c r="E2784">
        <v>264899.68021237501</v>
      </c>
      <c r="F2784" s="1">
        <v>46150.605613425927</v>
      </c>
      <c r="G2784">
        <v>52.873709816487299</v>
      </c>
      <c r="H2784" t="s">
        <v>29</v>
      </c>
      <c r="J2784" t="s">
        <v>16</v>
      </c>
      <c r="K2784">
        <v>486114.54266645201</v>
      </c>
      <c r="L2784" t="s">
        <v>17</v>
      </c>
      <c r="M2784">
        <v>-221214.86245407601</v>
      </c>
      <c r="N2784">
        <v>0.54493263822007598</v>
      </c>
    </row>
    <row r="2785" spans="2:14" x14ac:dyDescent="0.25">
      <c r="B2785" t="s">
        <v>14</v>
      </c>
      <c r="C2785" s="1">
        <v>46151.999988425923</v>
      </c>
      <c r="D2785">
        <v>25.153273310356798</v>
      </c>
      <c r="E2785">
        <v>264899.68021237501</v>
      </c>
      <c r="F2785" s="1">
        <v>46150.605613425927</v>
      </c>
      <c r="G2785">
        <v>52.873709816487299</v>
      </c>
      <c r="H2785" t="s">
        <v>29</v>
      </c>
      <c r="J2785" t="s">
        <v>16</v>
      </c>
      <c r="K2785">
        <v>486114.54266645201</v>
      </c>
      <c r="L2785" t="s">
        <v>17</v>
      </c>
      <c r="M2785">
        <v>0</v>
      </c>
      <c r="N2785">
        <v>0.54493263822007598</v>
      </c>
    </row>
    <row r="2786" spans="2:14" x14ac:dyDescent="0.25">
      <c r="B2786" t="s">
        <v>14</v>
      </c>
      <c r="C2786" s="1">
        <v>46150.999988425923</v>
      </c>
      <c r="D2786">
        <v>25.153273310356798</v>
      </c>
      <c r="E2786">
        <v>264899.68021237501</v>
      </c>
      <c r="F2786" s="1">
        <v>46150.605613425927</v>
      </c>
      <c r="G2786">
        <v>52.873709816487299</v>
      </c>
      <c r="H2786" t="s">
        <v>29</v>
      </c>
      <c r="J2786" t="s">
        <v>16</v>
      </c>
      <c r="K2786">
        <v>486114.54266645201</v>
      </c>
      <c r="L2786" t="s">
        <v>17</v>
      </c>
      <c r="M2786">
        <v>0</v>
      </c>
      <c r="N2786">
        <v>0.54493263822007598</v>
      </c>
    </row>
    <row r="2787" spans="2:14" x14ac:dyDescent="0.25">
      <c r="B2787" t="s">
        <v>14</v>
      </c>
      <c r="C2787" s="1">
        <v>46149.999988425923</v>
      </c>
      <c r="D2787">
        <v>25.153273310356798</v>
      </c>
      <c r="E2787">
        <v>262036.20776225199</v>
      </c>
      <c r="F2787" s="1">
        <v>46149.605497685188</v>
      </c>
      <c r="G2787">
        <v>52.873709816487299</v>
      </c>
      <c r="H2787" t="s">
        <v>29</v>
      </c>
      <c r="J2787" t="s">
        <v>16</v>
      </c>
      <c r="K2787">
        <v>486114.54266645201</v>
      </c>
      <c r="L2787" t="s">
        <v>17</v>
      </c>
      <c r="M2787">
        <v>-2863.47245012337</v>
      </c>
      <c r="N2787">
        <v>0.53904210790510798</v>
      </c>
    </row>
    <row r="2788" spans="2:14" x14ac:dyDescent="0.25">
      <c r="B2788" t="s">
        <v>14</v>
      </c>
      <c r="C2788" s="1">
        <v>46148.999988425923</v>
      </c>
      <c r="D2788">
        <v>25.153273310356798</v>
      </c>
      <c r="E2788">
        <v>90448.814589597096</v>
      </c>
      <c r="F2788" s="1">
        <v>46146.099803240744</v>
      </c>
      <c r="G2788">
        <v>52.873709816487299</v>
      </c>
      <c r="H2788" t="s">
        <v>29</v>
      </c>
      <c r="J2788" t="s">
        <v>16</v>
      </c>
      <c r="K2788">
        <v>486114.54266645201</v>
      </c>
      <c r="L2788" t="s">
        <v>17</v>
      </c>
      <c r="M2788">
        <v>-171587.39317265499</v>
      </c>
      <c r="N2788">
        <v>0.18606481940133701</v>
      </c>
    </row>
    <row r="2789" spans="2:14" x14ac:dyDescent="0.25">
      <c r="B2789" t="s">
        <v>14</v>
      </c>
      <c r="C2789" s="1">
        <v>46147.999988425923</v>
      </c>
      <c r="D2789">
        <v>25.153273310356798</v>
      </c>
      <c r="E2789">
        <v>90448.814589597096</v>
      </c>
      <c r="F2789" s="1">
        <v>46146.099803240744</v>
      </c>
      <c r="G2789">
        <v>52.873709816487299</v>
      </c>
      <c r="H2789" t="s">
        <v>29</v>
      </c>
      <c r="J2789" t="s">
        <v>16</v>
      </c>
      <c r="K2789">
        <v>486114.54266645201</v>
      </c>
      <c r="L2789" t="s">
        <v>17</v>
      </c>
      <c r="M2789">
        <v>0</v>
      </c>
      <c r="N2789">
        <v>0.18606481940133701</v>
      </c>
    </row>
    <row r="2790" spans="2:14" x14ac:dyDescent="0.25">
      <c r="B2790" t="s">
        <v>14</v>
      </c>
      <c r="C2790" s="1">
        <v>46146.999988425923</v>
      </c>
      <c r="D2790">
        <v>25.153273310356798</v>
      </c>
      <c r="E2790">
        <v>90448.814589597096</v>
      </c>
      <c r="F2790" s="1">
        <v>46146.099803240744</v>
      </c>
      <c r="G2790">
        <v>52.873709816487299</v>
      </c>
      <c r="H2790" t="s">
        <v>29</v>
      </c>
      <c r="J2790" t="s">
        <v>16</v>
      </c>
      <c r="K2790">
        <v>486114.54266645201</v>
      </c>
      <c r="L2790" t="s">
        <v>17</v>
      </c>
      <c r="M2790">
        <v>0</v>
      </c>
      <c r="N2790">
        <v>0.18606481940133701</v>
      </c>
    </row>
    <row r="2791" spans="2:14" x14ac:dyDescent="0.25">
      <c r="B2791" t="s">
        <v>14</v>
      </c>
      <c r="C2791" s="1">
        <v>46145.999988425923</v>
      </c>
      <c r="D2791">
        <v>25.153273310356798</v>
      </c>
      <c r="E2791">
        <v>486114.54266645201</v>
      </c>
      <c r="F2791" s="1">
        <v>46143.606296296297</v>
      </c>
      <c r="G2791">
        <v>52.873709816487299</v>
      </c>
      <c r="H2791" t="s">
        <v>29</v>
      </c>
      <c r="J2791" t="s">
        <v>16</v>
      </c>
      <c r="K2791">
        <v>486114.54266645201</v>
      </c>
      <c r="L2791" t="s">
        <v>17</v>
      </c>
      <c r="M2791">
        <v>395665.72807685501</v>
      </c>
      <c r="N2791">
        <v>1</v>
      </c>
    </row>
    <row r="2792" spans="2:14" x14ac:dyDescent="0.25">
      <c r="B2792" t="s">
        <v>14</v>
      </c>
      <c r="C2792" s="1">
        <v>46144.999988425923</v>
      </c>
      <c r="D2792">
        <v>25.153273310356798</v>
      </c>
      <c r="E2792">
        <v>486114.54266645201</v>
      </c>
      <c r="F2792" s="1">
        <v>46143.606296296297</v>
      </c>
      <c r="G2792">
        <v>52.873709816487299</v>
      </c>
      <c r="H2792" t="s">
        <v>29</v>
      </c>
      <c r="J2792" t="s">
        <v>16</v>
      </c>
      <c r="K2792">
        <v>486114.54266645201</v>
      </c>
      <c r="L2792" t="s">
        <v>17</v>
      </c>
      <c r="M2792">
        <v>0</v>
      </c>
      <c r="N2792">
        <v>1</v>
      </c>
    </row>
    <row r="2793" spans="2:14" x14ac:dyDescent="0.25">
      <c r="B2793" t="s">
        <v>14</v>
      </c>
      <c r="C2793" s="1">
        <v>46143.999988425923</v>
      </c>
      <c r="D2793">
        <v>25.153273310356798</v>
      </c>
      <c r="E2793">
        <v>486114.54266645201</v>
      </c>
      <c r="F2793" s="1">
        <v>46143.606296296297</v>
      </c>
      <c r="G2793">
        <v>52.873709816487299</v>
      </c>
      <c r="H2793" t="s">
        <v>29</v>
      </c>
      <c r="J2793" t="s">
        <v>16</v>
      </c>
      <c r="K2793">
        <v>486114.54266645201</v>
      </c>
      <c r="L2793" t="s">
        <v>17</v>
      </c>
      <c r="M2793">
        <v>0</v>
      </c>
      <c r="N2793">
        <v>1</v>
      </c>
    </row>
    <row r="2794" spans="2:14" x14ac:dyDescent="0.25">
      <c r="B2794" t="s">
        <v>14</v>
      </c>
      <c r="C2794" s="1">
        <v>46142.999988425923</v>
      </c>
      <c r="D2794">
        <v>25.153273310356798</v>
      </c>
      <c r="E2794">
        <v>254036.96302520999</v>
      </c>
      <c r="F2794" s="1">
        <v>46140.099120370367</v>
      </c>
      <c r="G2794">
        <v>52.873709816487299</v>
      </c>
      <c r="H2794" t="s">
        <v>29</v>
      </c>
      <c r="J2794" t="s">
        <v>16</v>
      </c>
      <c r="K2794">
        <v>486114.54266645201</v>
      </c>
      <c r="L2794" t="s">
        <v>17</v>
      </c>
      <c r="M2794">
        <v>-232077.57964124199</v>
      </c>
      <c r="N2794">
        <v>0.52258663489423196</v>
      </c>
    </row>
    <row r="2795" spans="2:14" x14ac:dyDescent="0.25">
      <c r="B2795" t="s">
        <v>14</v>
      </c>
      <c r="C2795" s="1">
        <v>46141.999988425923</v>
      </c>
      <c r="D2795">
        <v>25.153273310356798</v>
      </c>
      <c r="E2795">
        <v>254036.96302520999</v>
      </c>
      <c r="F2795" s="1">
        <v>46140.099120370367</v>
      </c>
      <c r="G2795">
        <v>52.873709816487299</v>
      </c>
      <c r="H2795" t="s">
        <v>29</v>
      </c>
      <c r="J2795" t="s">
        <v>16</v>
      </c>
      <c r="K2795">
        <v>486114.54266645201</v>
      </c>
      <c r="L2795" t="s">
        <v>17</v>
      </c>
      <c r="M2795">
        <v>0</v>
      </c>
      <c r="N2795">
        <v>0.52258663489423196</v>
      </c>
    </row>
    <row r="2796" spans="2:14" x14ac:dyDescent="0.25">
      <c r="B2796" t="s">
        <v>14</v>
      </c>
      <c r="C2796" s="1">
        <v>46140.999988425923</v>
      </c>
      <c r="D2796">
        <v>25.153273310356798</v>
      </c>
      <c r="E2796">
        <v>254036.96302520999</v>
      </c>
      <c r="F2796" s="1">
        <v>46140.099120370367</v>
      </c>
      <c r="G2796">
        <v>52.873709816487299</v>
      </c>
      <c r="H2796" t="s">
        <v>29</v>
      </c>
      <c r="J2796" t="s">
        <v>16</v>
      </c>
      <c r="K2796">
        <v>486114.54266645201</v>
      </c>
      <c r="L2796" t="s">
        <v>17</v>
      </c>
      <c r="M2796">
        <v>0</v>
      </c>
      <c r="N2796">
        <v>0.52258663489423196</v>
      </c>
    </row>
    <row r="2797" spans="2:14" x14ac:dyDescent="0.25">
      <c r="B2797" t="s">
        <v>14</v>
      </c>
      <c r="C2797" s="1">
        <v>46139.999988425923</v>
      </c>
      <c r="D2797">
        <v>25.153273310356798</v>
      </c>
      <c r="E2797">
        <v>486114.54266645201</v>
      </c>
      <c r="F2797" s="1">
        <v>46137.605486111112</v>
      </c>
      <c r="G2797">
        <v>52.873709816487299</v>
      </c>
      <c r="H2797" t="s">
        <v>29</v>
      </c>
      <c r="J2797" t="s">
        <v>16</v>
      </c>
      <c r="K2797">
        <v>486114.54266645201</v>
      </c>
      <c r="L2797" t="s">
        <v>17</v>
      </c>
      <c r="M2797">
        <v>232077.57964124199</v>
      </c>
      <c r="N2797">
        <v>1</v>
      </c>
    </row>
    <row r="2798" spans="2:14" x14ac:dyDescent="0.25">
      <c r="B2798" t="s">
        <v>14</v>
      </c>
      <c r="C2798" s="1">
        <v>46138.999988425923</v>
      </c>
      <c r="D2798">
        <v>25.153273310356798</v>
      </c>
      <c r="E2798">
        <v>486114.54266645201</v>
      </c>
      <c r="F2798" s="1">
        <v>46137.605486111112</v>
      </c>
      <c r="G2798">
        <v>52.873709816487299</v>
      </c>
      <c r="H2798" t="s">
        <v>29</v>
      </c>
      <c r="J2798" t="s">
        <v>16</v>
      </c>
      <c r="K2798">
        <v>486114.54266645201</v>
      </c>
      <c r="L2798" t="s">
        <v>17</v>
      </c>
      <c r="M2798">
        <v>0</v>
      </c>
      <c r="N2798">
        <v>1</v>
      </c>
    </row>
    <row r="2799" spans="2:14" x14ac:dyDescent="0.25">
      <c r="B2799" t="s">
        <v>14</v>
      </c>
      <c r="C2799" s="1">
        <v>46137.999988425923</v>
      </c>
      <c r="D2799">
        <v>25.153273310356798</v>
      </c>
      <c r="E2799">
        <v>486114.54266645201</v>
      </c>
      <c r="F2799" s="1">
        <v>46137.605486111112</v>
      </c>
      <c r="G2799">
        <v>52.873709816487299</v>
      </c>
      <c r="H2799" t="s">
        <v>29</v>
      </c>
      <c r="J2799" t="s">
        <v>16</v>
      </c>
      <c r="K2799">
        <v>486114.54266645201</v>
      </c>
      <c r="L2799" t="s">
        <v>17</v>
      </c>
      <c r="M2799">
        <v>0</v>
      </c>
      <c r="N2799">
        <v>1</v>
      </c>
    </row>
    <row r="2800" spans="2:14" x14ac:dyDescent="0.25">
      <c r="B2800" t="s">
        <v>14</v>
      </c>
      <c r="C2800" s="1">
        <v>46136.999988425923</v>
      </c>
      <c r="D2800">
        <v>25.153273310356798</v>
      </c>
      <c r="E2800">
        <v>91685.180535554799</v>
      </c>
      <c r="F2800" s="1">
        <v>46134.099803240744</v>
      </c>
      <c r="G2800">
        <v>52.873709816487299</v>
      </c>
      <c r="H2800" t="s">
        <v>29</v>
      </c>
      <c r="J2800" t="s">
        <v>16</v>
      </c>
      <c r="K2800">
        <v>486114.54266645201</v>
      </c>
      <c r="L2800" t="s">
        <v>17</v>
      </c>
      <c r="M2800">
        <v>-394429.362130897</v>
      </c>
      <c r="N2800">
        <v>0.188608182821768</v>
      </c>
    </row>
    <row r="2801" spans="2:14" x14ac:dyDescent="0.25">
      <c r="B2801" t="s">
        <v>14</v>
      </c>
      <c r="C2801" s="1">
        <v>46135.999988425923</v>
      </c>
      <c r="D2801">
        <v>25.153273310356798</v>
      </c>
      <c r="E2801">
        <v>91685.180535554799</v>
      </c>
      <c r="F2801" s="1">
        <v>46134.099803240744</v>
      </c>
      <c r="G2801">
        <v>52.873709816487299</v>
      </c>
      <c r="H2801" t="s">
        <v>29</v>
      </c>
      <c r="J2801" t="s">
        <v>16</v>
      </c>
      <c r="K2801">
        <v>486114.54266645201</v>
      </c>
      <c r="L2801" t="s">
        <v>17</v>
      </c>
      <c r="M2801">
        <v>0</v>
      </c>
      <c r="N2801">
        <v>0.188608182821768</v>
      </c>
    </row>
    <row r="2802" spans="2:14" x14ac:dyDescent="0.25">
      <c r="B2802" t="s">
        <v>14</v>
      </c>
      <c r="C2802" s="1">
        <v>46134.999988425923</v>
      </c>
      <c r="D2802">
        <v>25.153273310356798</v>
      </c>
      <c r="E2802">
        <v>91685.180535554799</v>
      </c>
      <c r="F2802" s="1">
        <v>46134.099803240744</v>
      </c>
      <c r="G2802">
        <v>52.873709816487299</v>
      </c>
      <c r="H2802" t="s">
        <v>29</v>
      </c>
      <c r="J2802" t="s">
        <v>16</v>
      </c>
      <c r="K2802">
        <v>486114.54266645201</v>
      </c>
      <c r="L2802" t="s">
        <v>17</v>
      </c>
      <c r="M2802">
        <v>0</v>
      </c>
      <c r="N2802">
        <v>0.188608182821768</v>
      </c>
    </row>
    <row r="2803" spans="2:14" x14ac:dyDescent="0.25">
      <c r="B2803" t="s">
        <v>14</v>
      </c>
      <c r="C2803" s="1">
        <v>46133.999988425923</v>
      </c>
      <c r="D2803">
        <v>25.153273310356798</v>
      </c>
      <c r="E2803">
        <v>82647.659833823796</v>
      </c>
      <c r="F2803" s="1">
        <v>46131.606296296297</v>
      </c>
      <c r="G2803">
        <v>52.873709816487299</v>
      </c>
      <c r="H2803" t="s">
        <v>29</v>
      </c>
      <c r="J2803" t="s">
        <v>16</v>
      </c>
      <c r="K2803">
        <v>486114.54266645201</v>
      </c>
      <c r="L2803" t="s">
        <v>17</v>
      </c>
      <c r="M2803">
        <v>-9037.5207017310295</v>
      </c>
      <c r="N2803">
        <v>0.17001684290390001</v>
      </c>
    </row>
    <row r="2804" spans="2:14" x14ac:dyDescent="0.25">
      <c r="B2804" t="s">
        <v>14</v>
      </c>
      <c r="C2804" s="1">
        <v>46132.999988425923</v>
      </c>
      <c r="D2804">
        <v>25.153273310356798</v>
      </c>
      <c r="E2804">
        <v>82647.659833823796</v>
      </c>
      <c r="F2804" s="1">
        <v>46131.606296296297</v>
      </c>
      <c r="G2804">
        <v>52.873709816487299</v>
      </c>
      <c r="H2804" t="s">
        <v>29</v>
      </c>
      <c r="J2804" t="s">
        <v>16</v>
      </c>
      <c r="K2804">
        <v>486114.54266645201</v>
      </c>
      <c r="L2804" t="s">
        <v>17</v>
      </c>
      <c r="M2804">
        <v>0</v>
      </c>
      <c r="N2804">
        <v>0.17001684290390001</v>
      </c>
    </row>
    <row r="2805" spans="2:14" x14ac:dyDescent="0.25">
      <c r="B2805" t="s">
        <v>14</v>
      </c>
      <c r="C2805" s="1">
        <v>46131.999988425923</v>
      </c>
      <c r="D2805">
        <v>25.153273310356798</v>
      </c>
      <c r="E2805">
        <v>82647.659833823796</v>
      </c>
      <c r="F2805" s="1">
        <v>46131.606296296297</v>
      </c>
      <c r="G2805">
        <v>52.873709816487299</v>
      </c>
      <c r="H2805" t="s">
        <v>29</v>
      </c>
      <c r="J2805" t="s">
        <v>16</v>
      </c>
      <c r="K2805">
        <v>486114.54266645201</v>
      </c>
      <c r="L2805" t="s">
        <v>17</v>
      </c>
      <c r="M2805">
        <v>0</v>
      </c>
      <c r="N2805">
        <v>0.17001684290390001</v>
      </c>
    </row>
    <row r="2806" spans="2:14" x14ac:dyDescent="0.25">
      <c r="B2806" t="s">
        <v>14</v>
      </c>
      <c r="C2806" s="1">
        <v>46130.999988425923</v>
      </c>
      <c r="D2806">
        <v>25.153273310356798</v>
      </c>
      <c r="E2806">
        <v>85177.049977172195</v>
      </c>
      <c r="F2806" s="1">
        <v>46128.099108796298</v>
      </c>
      <c r="G2806">
        <v>52.873709816487299</v>
      </c>
      <c r="H2806" t="s">
        <v>29</v>
      </c>
      <c r="J2806" t="s">
        <v>16</v>
      </c>
      <c r="K2806">
        <v>486114.54266645201</v>
      </c>
      <c r="L2806" t="s">
        <v>17</v>
      </c>
      <c r="M2806">
        <v>2529.3901433484202</v>
      </c>
      <c r="N2806">
        <v>0.17522012303922399</v>
      </c>
    </row>
    <row r="2807" spans="2:14" x14ac:dyDescent="0.25">
      <c r="B2807" t="s">
        <v>14</v>
      </c>
      <c r="C2807" s="1">
        <v>46129.999988425923</v>
      </c>
      <c r="D2807">
        <v>25.153273310356798</v>
      </c>
      <c r="E2807">
        <v>85177.049977172195</v>
      </c>
      <c r="F2807" s="1">
        <v>46128.099108796298</v>
      </c>
      <c r="G2807">
        <v>52.873709816487299</v>
      </c>
      <c r="H2807" t="s">
        <v>29</v>
      </c>
      <c r="J2807" t="s">
        <v>16</v>
      </c>
      <c r="K2807">
        <v>486114.54266645201</v>
      </c>
      <c r="L2807" t="s">
        <v>17</v>
      </c>
      <c r="M2807">
        <v>0</v>
      </c>
      <c r="N2807">
        <v>0.17522012303922399</v>
      </c>
    </row>
    <row r="2808" spans="2:14" x14ac:dyDescent="0.25">
      <c r="B2808" t="s">
        <v>14</v>
      </c>
      <c r="C2808" s="1">
        <v>46128.999988425923</v>
      </c>
      <c r="D2808">
        <v>25.153273310356798</v>
      </c>
      <c r="E2808">
        <v>85177.049977172195</v>
      </c>
      <c r="F2808" s="1">
        <v>46128.099108796298</v>
      </c>
      <c r="G2808">
        <v>52.873709816487299</v>
      </c>
      <c r="H2808" t="s">
        <v>29</v>
      </c>
      <c r="J2808" t="s">
        <v>16</v>
      </c>
      <c r="K2808">
        <v>486114.54266645201</v>
      </c>
      <c r="L2808" t="s">
        <v>17</v>
      </c>
      <c r="M2808">
        <v>0</v>
      </c>
      <c r="N2808">
        <v>0.17522012303922399</v>
      </c>
    </row>
    <row r="2809" spans="2:14" x14ac:dyDescent="0.25">
      <c r="B2809" t="s">
        <v>14</v>
      </c>
      <c r="C2809" s="1">
        <v>46127.999988425923</v>
      </c>
      <c r="D2809">
        <v>25.153273310356798</v>
      </c>
      <c r="E2809">
        <v>69166.044059271197</v>
      </c>
      <c r="F2809" s="1">
        <v>46125.605486111112</v>
      </c>
      <c r="G2809">
        <v>52.873709816487299</v>
      </c>
      <c r="H2809" t="s">
        <v>29</v>
      </c>
      <c r="J2809" t="s">
        <v>16</v>
      </c>
      <c r="K2809">
        <v>486114.54266645201</v>
      </c>
      <c r="L2809" t="s">
        <v>17</v>
      </c>
      <c r="M2809">
        <v>-16011.0059179009</v>
      </c>
      <c r="N2809">
        <v>0.14228342908623801</v>
      </c>
    </row>
    <row r="2810" spans="2:14" x14ac:dyDescent="0.25">
      <c r="B2810" t="s">
        <v>14</v>
      </c>
      <c r="C2810" s="1">
        <v>46126.999988425923</v>
      </c>
      <c r="D2810">
        <v>25.153273310356798</v>
      </c>
      <c r="E2810">
        <v>69166.044059271197</v>
      </c>
      <c r="F2810" s="1">
        <v>46125.605486111112</v>
      </c>
      <c r="G2810">
        <v>52.873709816487299</v>
      </c>
      <c r="H2810" t="s">
        <v>29</v>
      </c>
      <c r="J2810" t="s">
        <v>16</v>
      </c>
      <c r="K2810">
        <v>486114.54266645201</v>
      </c>
      <c r="L2810" t="s">
        <v>17</v>
      </c>
      <c r="M2810">
        <v>0</v>
      </c>
      <c r="N2810">
        <v>0.14228342908623801</v>
      </c>
    </row>
    <row r="2811" spans="2:14" x14ac:dyDescent="0.25">
      <c r="B2811" t="s">
        <v>14</v>
      </c>
      <c r="C2811" s="1">
        <v>46125.999988425923</v>
      </c>
      <c r="D2811">
        <v>25.153273310356798</v>
      </c>
      <c r="E2811">
        <v>69166.044059271197</v>
      </c>
      <c r="F2811" s="1">
        <v>46125.605486111112</v>
      </c>
      <c r="G2811">
        <v>52.873709816487299</v>
      </c>
      <c r="H2811" t="s">
        <v>29</v>
      </c>
      <c r="J2811" t="s">
        <v>16</v>
      </c>
      <c r="K2811">
        <v>486114.54266645201</v>
      </c>
      <c r="L2811" t="s">
        <v>17</v>
      </c>
      <c r="M2811">
        <v>0</v>
      </c>
      <c r="N2811">
        <v>0.14228342908623801</v>
      </c>
    </row>
    <row r="2812" spans="2:14" x14ac:dyDescent="0.25">
      <c r="B2812" t="s">
        <v>14</v>
      </c>
      <c r="C2812" s="1">
        <v>46124.999988425923</v>
      </c>
      <c r="D2812">
        <v>25.153273310356798</v>
      </c>
      <c r="E2812">
        <v>89982.691445054195</v>
      </c>
      <c r="F2812" s="1">
        <v>46122.099803240744</v>
      </c>
      <c r="G2812">
        <v>52.873709816487299</v>
      </c>
      <c r="H2812" t="s">
        <v>29</v>
      </c>
      <c r="J2812" t="s">
        <v>16</v>
      </c>
      <c r="K2812">
        <v>486114.54266645201</v>
      </c>
      <c r="L2812" t="s">
        <v>17</v>
      </c>
      <c r="M2812">
        <v>20816.647385782901</v>
      </c>
      <c r="N2812">
        <v>0.18510594427288199</v>
      </c>
    </row>
    <row r="2813" spans="2:14" x14ac:dyDescent="0.25">
      <c r="B2813" t="s">
        <v>14</v>
      </c>
      <c r="C2813" s="1">
        <v>46123.999988425923</v>
      </c>
      <c r="D2813">
        <v>25.153273310356798</v>
      </c>
      <c r="E2813">
        <v>89982.691445054195</v>
      </c>
      <c r="F2813" s="1">
        <v>46122.099803240744</v>
      </c>
      <c r="G2813">
        <v>52.873709816487299</v>
      </c>
      <c r="H2813" t="s">
        <v>29</v>
      </c>
      <c r="J2813" t="s">
        <v>16</v>
      </c>
      <c r="K2813">
        <v>486114.54266645201</v>
      </c>
      <c r="L2813" t="s">
        <v>17</v>
      </c>
      <c r="M2813">
        <v>0</v>
      </c>
      <c r="N2813">
        <v>0.18510594427288199</v>
      </c>
    </row>
    <row r="2814" spans="2:14" x14ac:dyDescent="0.25">
      <c r="B2814" t="s">
        <v>14</v>
      </c>
      <c r="C2814" s="1">
        <v>46122.999988425923</v>
      </c>
      <c r="D2814">
        <v>25.153273310356798</v>
      </c>
      <c r="E2814">
        <v>89982.691445054195</v>
      </c>
      <c r="F2814" s="1">
        <v>46122.099803240744</v>
      </c>
      <c r="G2814">
        <v>52.873709816487299</v>
      </c>
      <c r="H2814" t="s">
        <v>29</v>
      </c>
      <c r="J2814" t="s">
        <v>16</v>
      </c>
      <c r="K2814">
        <v>486114.54266645201</v>
      </c>
      <c r="L2814" t="s">
        <v>17</v>
      </c>
      <c r="M2814">
        <v>0</v>
      </c>
      <c r="N2814">
        <v>0.18510594427288199</v>
      </c>
    </row>
    <row r="2815" spans="2:14" x14ac:dyDescent="0.25">
      <c r="B2815" t="s">
        <v>14</v>
      </c>
      <c r="C2815" s="1">
        <v>46121.999988425923</v>
      </c>
      <c r="D2815">
        <v>25.153273310356798</v>
      </c>
      <c r="E2815">
        <v>70631.865148033306</v>
      </c>
      <c r="F2815" s="1">
        <v>46119.606296296297</v>
      </c>
      <c r="G2815">
        <v>52.873709816487299</v>
      </c>
      <c r="H2815" t="s">
        <v>29</v>
      </c>
      <c r="J2815" t="s">
        <v>16</v>
      </c>
      <c r="K2815">
        <v>486114.54266645201</v>
      </c>
      <c r="L2815" t="s">
        <v>17</v>
      </c>
      <c r="M2815">
        <v>-19350.826297020802</v>
      </c>
      <c r="N2815">
        <v>0.14529881118265001</v>
      </c>
    </row>
    <row r="2816" spans="2:14" x14ac:dyDescent="0.25">
      <c r="B2816" t="s">
        <v>14</v>
      </c>
      <c r="C2816" s="1">
        <v>46120.999988425923</v>
      </c>
      <c r="D2816">
        <v>25.153273310356798</v>
      </c>
      <c r="E2816">
        <v>70631.865148033306</v>
      </c>
      <c r="F2816" s="1">
        <v>46119.606296296297</v>
      </c>
      <c r="G2816">
        <v>52.873709816487299</v>
      </c>
      <c r="H2816" t="s">
        <v>29</v>
      </c>
      <c r="J2816" t="s">
        <v>16</v>
      </c>
      <c r="K2816">
        <v>486114.54266645201</v>
      </c>
      <c r="L2816" t="s">
        <v>17</v>
      </c>
      <c r="M2816">
        <v>0</v>
      </c>
      <c r="N2816">
        <v>0.14529881118265001</v>
      </c>
    </row>
    <row r="2817" spans="2:14" x14ac:dyDescent="0.25">
      <c r="B2817" t="s">
        <v>14</v>
      </c>
      <c r="C2817" s="1">
        <v>46119.999988425923</v>
      </c>
      <c r="D2817">
        <v>25.153273310356798</v>
      </c>
      <c r="E2817">
        <v>70631.865148033306</v>
      </c>
      <c r="F2817" s="1">
        <v>46119.606296296297</v>
      </c>
      <c r="G2817">
        <v>52.873709816487299</v>
      </c>
      <c r="H2817" t="s">
        <v>29</v>
      </c>
      <c r="J2817" t="s">
        <v>16</v>
      </c>
      <c r="K2817">
        <v>486114.54266645201</v>
      </c>
      <c r="L2817" t="s">
        <v>17</v>
      </c>
      <c r="M2817">
        <v>0</v>
      </c>
      <c r="N2817">
        <v>0.14529881118265001</v>
      </c>
    </row>
    <row r="2818" spans="2:14" x14ac:dyDescent="0.25">
      <c r="B2818" t="s">
        <v>14</v>
      </c>
      <c r="C2818" s="1">
        <v>46118.999988425923</v>
      </c>
      <c r="D2818">
        <v>25.153273310356798</v>
      </c>
      <c r="E2818">
        <v>84594.863218362501</v>
      </c>
      <c r="F2818" s="1">
        <v>46116.099108796298</v>
      </c>
      <c r="G2818">
        <v>52.873709816487299</v>
      </c>
      <c r="H2818" t="s">
        <v>29</v>
      </c>
      <c r="J2818" t="s">
        <v>16</v>
      </c>
      <c r="K2818">
        <v>486114.54266645201</v>
      </c>
      <c r="L2818" t="s">
        <v>17</v>
      </c>
      <c r="M2818">
        <v>13962.9980703291</v>
      </c>
      <c r="N2818">
        <v>0.17402249016114499</v>
      </c>
    </row>
    <row r="2819" spans="2:14" x14ac:dyDescent="0.25">
      <c r="B2819" t="s">
        <v>14</v>
      </c>
      <c r="C2819" s="1">
        <v>46117.999988425923</v>
      </c>
      <c r="D2819">
        <v>25.153273310356798</v>
      </c>
      <c r="E2819">
        <v>84594.863218362501</v>
      </c>
      <c r="F2819" s="1">
        <v>46116.099108796298</v>
      </c>
      <c r="G2819">
        <v>52.873709816487299</v>
      </c>
      <c r="H2819" t="s">
        <v>29</v>
      </c>
      <c r="J2819" t="s">
        <v>16</v>
      </c>
      <c r="K2819">
        <v>486114.54266645201</v>
      </c>
      <c r="L2819" t="s">
        <v>17</v>
      </c>
      <c r="M2819">
        <v>0</v>
      </c>
      <c r="N2819">
        <v>0.17402249016114499</v>
      </c>
    </row>
    <row r="2820" spans="2:14" x14ac:dyDescent="0.25">
      <c r="B2820" t="s">
        <v>14</v>
      </c>
      <c r="C2820" s="1">
        <v>46116.999988425923</v>
      </c>
      <c r="D2820">
        <v>25.153273310356798</v>
      </c>
      <c r="E2820">
        <v>84594.863218362501</v>
      </c>
      <c r="F2820" s="1">
        <v>46116.099108796298</v>
      </c>
      <c r="G2820">
        <v>52.873709816487299</v>
      </c>
      <c r="H2820" t="s">
        <v>29</v>
      </c>
      <c r="J2820" t="s">
        <v>16</v>
      </c>
      <c r="K2820">
        <v>486114.54266645201</v>
      </c>
      <c r="L2820" t="s">
        <v>17</v>
      </c>
      <c r="M2820">
        <v>0</v>
      </c>
      <c r="N2820">
        <v>0.17402249016114499</v>
      </c>
    </row>
    <row r="2821" spans="2:14" x14ac:dyDescent="0.25">
      <c r="B2821" t="s">
        <v>14</v>
      </c>
      <c r="C2821" s="1">
        <v>46115.999988425923</v>
      </c>
      <c r="D2821">
        <v>25.153273310356798</v>
      </c>
      <c r="E2821">
        <v>59849.213929784702</v>
      </c>
      <c r="F2821" s="1">
        <v>46113.605474537035</v>
      </c>
      <c r="G2821">
        <v>52.873709816487299</v>
      </c>
      <c r="H2821" t="s">
        <v>29</v>
      </c>
      <c r="J2821" t="s">
        <v>16</v>
      </c>
      <c r="K2821">
        <v>486114.54266645201</v>
      </c>
      <c r="L2821" t="s">
        <v>17</v>
      </c>
      <c r="M2821">
        <v>-24745.649288577701</v>
      </c>
      <c r="N2821">
        <v>0.123117513830172</v>
      </c>
    </row>
    <row r="2822" spans="2:14" x14ac:dyDescent="0.25">
      <c r="B2822" t="s">
        <v>14</v>
      </c>
      <c r="C2822" s="1">
        <v>46114.999988425923</v>
      </c>
      <c r="D2822">
        <v>25.153273310356798</v>
      </c>
      <c r="E2822">
        <v>59849.213929784702</v>
      </c>
      <c r="F2822" s="1">
        <v>46113.605474537035</v>
      </c>
      <c r="G2822">
        <v>52.873709816487299</v>
      </c>
      <c r="H2822" t="s">
        <v>29</v>
      </c>
      <c r="J2822" t="s">
        <v>16</v>
      </c>
      <c r="K2822">
        <v>486114.54266645201</v>
      </c>
      <c r="L2822" t="s">
        <v>17</v>
      </c>
      <c r="M2822">
        <v>0</v>
      </c>
      <c r="N2822">
        <v>0.123117513830172</v>
      </c>
    </row>
    <row r="2823" spans="2:14" x14ac:dyDescent="0.25">
      <c r="B2823" t="s">
        <v>14</v>
      </c>
      <c r="C2823" s="1">
        <v>46113.999988425923</v>
      </c>
      <c r="D2823">
        <v>25.153273310356798</v>
      </c>
      <c r="E2823">
        <v>59849.213929784702</v>
      </c>
      <c r="F2823" s="1">
        <v>46113.605474537035</v>
      </c>
      <c r="G2823">
        <v>52.873709816487299</v>
      </c>
      <c r="H2823" t="s">
        <v>29</v>
      </c>
      <c r="J2823" t="s">
        <v>16</v>
      </c>
      <c r="K2823">
        <v>486114.54266645201</v>
      </c>
      <c r="L2823" t="s">
        <v>17</v>
      </c>
      <c r="M2823">
        <v>0</v>
      </c>
      <c r="N2823">
        <v>0.123117513830172</v>
      </c>
    </row>
    <row r="2824" spans="2:14" x14ac:dyDescent="0.25">
      <c r="B2824" t="s">
        <v>14</v>
      </c>
      <c r="C2824" s="1">
        <v>46112.999988425923</v>
      </c>
      <c r="D2824">
        <v>25.153273310356798</v>
      </c>
      <c r="E2824">
        <v>87190.791066521895</v>
      </c>
      <c r="F2824" s="1">
        <v>46110.099803240744</v>
      </c>
      <c r="G2824">
        <v>52.873709816487299</v>
      </c>
      <c r="H2824" t="s">
        <v>29</v>
      </c>
      <c r="J2824" t="s">
        <v>16</v>
      </c>
      <c r="K2824">
        <v>486114.54266645201</v>
      </c>
      <c r="L2824" t="s">
        <v>17</v>
      </c>
      <c r="M2824">
        <v>27341.5771367372</v>
      </c>
      <c r="N2824">
        <v>0.179362646894413</v>
      </c>
    </row>
    <row r="2825" spans="2:14" x14ac:dyDescent="0.25">
      <c r="B2825" t="s">
        <v>14</v>
      </c>
      <c r="C2825" s="1">
        <v>46111.999988425923</v>
      </c>
      <c r="D2825">
        <v>25.153273310356798</v>
      </c>
      <c r="E2825">
        <v>87190.791066521895</v>
      </c>
      <c r="F2825" s="1">
        <v>46110.099803240744</v>
      </c>
      <c r="G2825">
        <v>52.873709816487299</v>
      </c>
      <c r="H2825" t="s">
        <v>29</v>
      </c>
      <c r="J2825" t="s">
        <v>16</v>
      </c>
      <c r="K2825">
        <v>486114.54266645201</v>
      </c>
      <c r="L2825" t="s">
        <v>17</v>
      </c>
      <c r="M2825">
        <v>0</v>
      </c>
      <c r="N2825">
        <v>0.179362646894413</v>
      </c>
    </row>
    <row r="2826" spans="2:14" x14ac:dyDescent="0.25">
      <c r="B2826" t="s">
        <v>14</v>
      </c>
      <c r="C2826" s="1">
        <v>46110.999988425923</v>
      </c>
      <c r="D2826">
        <v>25.153273310356798</v>
      </c>
      <c r="E2826">
        <v>87190.791066521895</v>
      </c>
      <c r="F2826" s="1">
        <v>46110.099803240744</v>
      </c>
      <c r="G2826">
        <v>52.873709816487299</v>
      </c>
      <c r="H2826" t="s">
        <v>29</v>
      </c>
      <c r="J2826" t="s">
        <v>16</v>
      </c>
      <c r="K2826">
        <v>486114.54266645201</v>
      </c>
      <c r="L2826" t="s">
        <v>17</v>
      </c>
      <c r="M2826">
        <v>0</v>
      </c>
      <c r="N2826">
        <v>0.179362646894413</v>
      </c>
    </row>
    <row r="2827" spans="2:14" x14ac:dyDescent="0.25">
      <c r="B2827" t="s">
        <v>14</v>
      </c>
      <c r="C2827" s="1">
        <v>46109.999988425923</v>
      </c>
      <c r="D2827">
        <v>25.153273310356798</v>
      </c>
      <c r="E2827">
        <v>72337.701457093994</v>
      </c>
      <c r="F2827" s="1">
        <v>46107.606296296297</v>
      </c>
      <c r="G2827">
        <v>52.873709816487299</v>
      </c>
      <c r="H2827" t="s">
        <v>29</v>
      </c>
      <c r="J2827" t="s">
        <v>16</v>
      </c>
      <c r="K2827">
        <v>486114.54266645201</v>
      </c>
      <c r="L2827" t="s">
        <v>17</v>
      </c>
      <c r="M2827">
        <v>-14853.0896094279</v>
      </c>
      <c r="N2827">
        <v>0.14880793538968101</v>
      </c>
    </row>
    <row r="2828" spans="2:14" x14ac:dyDescent="0.25">
      <c r="B2828" t="s">
        <v>14</v>
      </c>
      <c r="C2828" s="1">
        <v>46108.999988425923</v>
      </c>
      <c r="D2828">
        <v>25.153273310356798</v>
      </c>
      <c r="E2828">
        <v>72337.701457093994</v>
      </c>
      <c r="F2828" s="1">
        <v>46107.606296296297</v>
      </c>
      <c r="G2828">
        <v>52.873709816487299</v>
      </c>
      <c r="H2828" t="s">
        <v>29</v>
      </c>
      <c r="J2828" t="s">
        <v>16</v>
      </c>
      <c r="K2828">
        <v>486114.54266645201</v>
      </c>
      <c r="L2828" t="s">
        <v>17</v>
      </c>
      <c r="M2828">
        <v>0</v>
      </c>
      <c r="N2828">
        <v>0.14880793538968101</v>
      </c>
    </row>
    <row r="2829" spans="2:14" x14ac:dyDescent="0.25">
      <c r="B2829" t="s">
        <v>14</v>
      </c>
      <c r="C2829" s="1">
        <v>46107.999988425923</v>
      </c>
      <c r="D2829">
        <v>25.153273310356798</v>
      </c>
      <c r="E2829">
        <v>72337.701457093994</v>
      </c>
      <c r="F2829" s="1">
        <v>46107.606296296297</v>
      </c>
      <c r="G2829">
        <v>52.873709816487299</v>
      </c>
      <c r="H2829" t="s">
        <v>29</v>
      </c>
      <c r="J2829" t="s">
        <v>16</v>
      </c>
      <c r="K2829">
        <v>486114.54266645201</v>
      </c>
      <c r="L2829" t="s">
        <v>17</v>
      </c>
      <c r="M2829">
        <v>0</v>
      </c>
      <c r="N2829">
        <v>0.14880793538968101</v>
      </c>
    </row>
    <row r="2830" spans="2:14" x14ac:dyDescent="0.25">
      <c r="B2830" t="s">
        <v>14</v>
      </c>
      <c r="C2830" s="1">
        <v>46106.999988425923</v>
      </c>
      <c r="D2830">
        <v>25.153273310356798</v>
      </c>
      <c r="E2830">
        <v>88020.749959828798</v>
      </c>
      <c r="F2830" s="1">
        <v>46104.099108796298</v>
      </c>
      <c r="G2830">
        <v>52.873709816487299</v>
      </c>
      <c r="H2830" t="s">
        <v>29</v>
      </c>
      <c r="J2830" t="s">
        <v>16</v>
      </c>
      <c r="K2830">
        <v>486114.54266645201</v>
      </c>
      <c r="L2830" t="s">
        <v>17</v>
      </c>
      <c r="M2830">
        <v>15683.0485027347</v>
      </c>
      <c r="N2830">
        <v>0.18106997885110401</v>
      </c>
    </row>
    <row r="2831" spans="2:14" x14ac:dyDescent="0.25">
      <c r="B2831" t="s">
        <v>14</v>
      </c>
      <c r="C2831" s="1">
        <v>46105.999988425923</v>
      </c>
      <c r="D2831">
        <v>25.153273310356798</v>
      </c>
      <c r="E2831">
        <v>88020.749959828798</v>
      </c>
      <c r="F2831" s="1">
        <v>46104.099108796298</v>
      </c>
      <c r="G2831">
        <v>52.873709816487299</v>
      </c>
      <c r="H2831" t="s">
        <v>29</v>
      </c>
      <c r="J2831" t="s">
        <v>16</v>
      </c>
      <c r="K2831">
        <v>486114.54266645201</v>
      </c>
      <c r="L2831" t="s">
        <v>17</v>
      </c>
      <c r="M2831">
        <v>0</v>
      </c>
      <c r="N2831">
        <v>0.18106997885110401</v>
      </c>
    </row>
    <row r="2832" spans="2:14" x14ac:dyDescent="0.25">
      <c r="B2832" t="s">
        <v>14</v>
      </c>
      <c r="C2832" s="1">
        <v>46104.999988425923</v>
      </c>
      <c r="D2832">
        <v>25.153273310356798</v>
      </c>
      <c r="E2832">
        <v>88020.749959828798</v>
      </c>
      <c r="F2832" s="1">
        <v>46104.099108796298</v>
      </c>
      <c r="G2832">
        <v>52.873709816487299</v>
      </c>
      <c r="H2832" t="s">
        <v>29</v>
      </c>
      <c r="J2832" t="s">
        <v>16</v>
      </c>
      <c r="K2832">
        <v>486114.54266645201</v>
      </c>
      <c r="L2832" t="s">
        <v>17</v>
      </c>
      <c r="M2832">
        <v>0</v>
      </c>
      <c r="N2832">
        <v>0.18106997885110401</v>
      </c>
    </row>
    <row r="2833" spans="2:14" x14ac:dyDescent="0.25">
      <c r="B2833" t="s">
        <v>14</v>
      </c>
      <c r="C2833" s="1">
        <v>46103.999988425923</v>
      </c>
      <c r="D2833">
        <v>25.153273310356798</v>
      </c>
      <c r="E2833">
        <v>63947.565697404498</v>
      </c>
      <c r="F2833" s="1">
        <v>46101.605474537035</v>
      </c>
      <c r="G2833">
        <v>52.873709816487299</v>
      </c>
      <c r="H2833" t="s">
        <v>29</v>
      </c>
      <c r="J2833" t="s">
        <v>16</v>
      </c>
      <c r="K2833">
        <v>486114.54266645201</v>
      </c>
      <c r="L2833" t="s">
        <v>17</v>
      </c>
      <c r="M2833">
        <v>-24073.1842624243</v>
      </c>
      <c r="N2833">
        <v>0.13154834938003901</v>
      </c>
    </row>
    <row r="2834" spans="2:14" x14ac:dyDescent="0.25">
      <c r="B2834" t="s">
        <v>14</v>
      </c>
      <c r="C2834" s="1">
        <v>46102.999988425923</v>
      </c>
      <c r="D2834">
        <v>25.153273310356798</v>
      </c>
      <c r="E2834">
        <v>63947.565697404498</v>
      </c>
      <c r="F2834" s="1">
        <v>46101.605474537035</v>
      </c>
      <c r="G2834">
        <v>52.873709816487299</v>
      </c>
      <c r="H2834" t="s">
        <v>29</v>
      </c>
      <c r="J2834" t="s">
        <v>16</v>
      </c>
      <c r="K2834">
        <v>486114.54266645201</v>
      </c>
      <c r="L2834" t="s">
        <v>17</v>
      </c>
      <c r="M2834">
        <v>0</v>
      </c>
      <c r="N2834">
        <v>0.13154834938003901</v>
      </c>
    </row>
    <row r="2835" spans="2:14" x14ac:dyDescent="0.25">
      <c r="B2835" t="s">
        <v>14</v>
      </c>
      <c r="C2835" s="1">
        <v>46101.999988425923</v>
      </c>
      <c r="D2835">
        <v>25.153273310356798</v>
      </c>
      <c r="E2835">
        <v>63947.565697404498</v>
      </c>
      <c r="F2835" s="1">
        <v>46101.605474537035</v>
      </c>
      <c r="G2835">
        <v>52.873709816487299</v>
      </c>
      <c r="H2835" t="s">
        <v>29</v>
      </c>
      <c r="J2835" t="s">
        <v>16</v>
      </c>
      <c r="K2835">
        <v>486114.54266645201</v>
      </c>
      <c r="L2835" t="s">
        <v>17</v>
      </c>
      <c r="M2835">
        <v>0</v>
      </c>
      <c r="N2835">
        <v>0.13154834938003901</v>
      </c>
    </row>
    <row r="2836" spans="2:14" x14ac:dyDescent="0.25">
      <c r="B2836" t="s">
        <v>14</v>
      </c>
      <c r="C2836" s="1">
        <v>46100.999988425923</v>
      </c>
      <c r="D2836">
        <v>25.153273310356798</v>
      </c>
      <c r="E2836">
        <v>88067.088073095394</v>
      </c>
      <c r="F2836" s="1">
        <v>46098.099803240744</v>
      </c>
      <c r="G2836">
        <v>52.873709816487299</v>
      </c>
      <c r="H2836" t="s">
        <v>29</v>
      </c>
      <c r="J2836" t="s">
        <v>16</v>
      </c>
      <c r="K2836">
        <v>486114.54266645201</v>
      </c>
      <c r="L2836" t="s">
        <v>17</v>
      </c>
      <c r="M2836">
        <v>24119.5223756909</v>
      </c>
      <c r="N2836">
        <v>0.18116530229691699</v>
      </c>
    </row>
    <row r="2837" spans="2:14" x14ac:dyDescent="0.25">
      <c r="B2837" t="s">
        <v>14</v>
      </c>
      <c r="C2837" s="1">
        <v>46099.999988425923</v>
      </c>
      <c r="D2837">
        <v>25.153273310356798</v>
      </c>
      <c r="E2837">
        <v>88067.088073095394</v>
      </c>
      <c r="F2837" s="1">
        <v>46098.099803240744</v>
      </c>
      <c r="G2837">
        <v>52.873709816487299</v>
      </c>
      <c r="H2837" t="s">
        <v>29</v>
      </c>
      <c r="J2837" t="s">
        <v>16</v>
      </c>
      <c r="K2837">
        <v>486114.54266645201</v>
      </c>
      <c r="L2837" t="s">
        <v>17</v>
      </c>
      <c r="M2837">
        <v>0</v>
      </c>
      <c r="N2837">
        <v>0.18116530229691699</v>
      </c>
    </row>
    <row r="2838" spans="2:14" x14ac:dyDescent="0.25">
      <c r="B2838" t="s">
        <v>14</v>
      </c>
      <c r="C2838" s="1">
        <v>46098.999988425923</v>
      </c>
      <c r="D2838">
        <v>25.153273310356798</v>
      </c>
      <c r="E2838">
        <v>88067.088073095394</v>
      </c>
      <c r="F2838" s="1">
        <v>46098.099803240744</v>
      </c>
      <c r="G2838">
        <v>52.873709816487299</v>
      </c>
      <c r="H2838" t="s">
        <v>29</v>
      </c>
      <c r="J2838" t="s">
        <v>16</v>
      </c>
      <c r="K2838">
        <v>486114.54266645201</v>
      </c>
      <c r="L2838" t="s">
        <v>17</v>
      </c>
      <c r="M2838">
        <v>0</v>
      </c>
      <c r="N2838">
        <v>0.18116530229691699</v>
      </c>
    </row>
    <row r="2839" spans="2:14" x14ac:dyDescent="0.25">
      <c r="B2839" t="s">
        <v>14</v>
      </c>
      <c r="C2839" s="1">
        <v>46097.999988425923</v>
      </c>
      <c r="D2839">
        <v>25.153273310356798</v>
      </c>
      <c r="E2839">
        <v>65022.083030324502</v>
      </c>
      <c r="F2839" s="1">
        <v>46095.606296296297</v>
      </c>
      <c r="G2839">
        <v>52.873709816487299</v>
      </c>
      <c r="H2839" t="s">
        <v>29</v>
      </c>
      <c r="J2839" t="s">
        <v>16</v>
      </c>
      <c r="K2839">
        <v>486114.54266645201</v>
      </c>
      <c r="L2839" t="s">
        <v>17</v>
      </c>
      <c r="M2839">
        <v>-23045.005042770801</v>
      </c>
      <c r="N2839">
        <v>0.13375876943253501</v>
      </c>
    </row>
    <row r="2840" spans="2:14" x14ac:dyDescent="0.25">
      <c r="B2840" t="s">
        <v>14</v>
      </c>
      <c r="C2840" s="1">
        <v>46096.999988425923</v>
      </c>
      <c r="D2840">
        <v>25.153273310356798</v>
      </c>
      <c r="E2840">
        <v>65022.083030324502</v>
      </c>
      <c r="F2840" s="1">
        <v>46095.606296296297</v>
      </c>
      <c r="G2840">
        <v>52.873709816487299</v>
      </c>
      <c r="H2840" t="s">
        <v>29</v>
      </c>
      <c r="J2840" t="s">
        <v>16</v>
      </c>
      <c r="K2840">
        <v>486114.54266645201</v>
      </c>
      <c r="L2840" t="s">
        <v>17</v>
      </c>
      <c r="M2840">
        <v>0</v>
      </c>
      <c r="N2840">
        <v>0.13375876943253501</v>
      </c>
    </row>
    <row r="2841" spans="2:14" x14ac:dyDescent="0.25">
      <c r="B2841" t="s">
        <v>14</v>
      </c>
      <c r="C2841" s="1">
        <v>46095.999988425923</v>
      </c>
      <c r="D2841">
        <v>25.153273310356798</v>
      </c>
      <c r="E2841">
        <v>65022.083030324502</v>
      </c>
      <c r="F2841" s="1">
        <v>46095.606296296297</v>
      </c>
      <c r="G2841">
        <v>52.873709816487299</v>
      </c>
      <c r="H2841" t="s">
        <v>29</v>
      </c>
      <c r="J2841" t="s">
        <v>16</v>
      </c>
      <c r="K2841">
        <v>486114.54266645201</v>
      </c>
      <c r="L2841" t="s">
        <v>17</v>
      </c>
      <c r="M2841">
        <v>0</v>
      </c>
      <c r="N2841">
        <v>0.13375876943253501</v>
      </c>
    </row>
    <row r="2842" spans="2:14" x14ac:dyDescent="0.25">
      <c r="B2842" t="s">
        <v>14</v>
      </c>
      <c r="C2842" s="1">
        <v>46094.999988425923</v>
      </c>
      <c r="D2842">
        <v>25.153273310356798</v>
      </c>
      <c r="E2842">
        <v>486114.54266645201</v>
      </c>
      <c r="F2842" s="1">
        <v>46092.099097222221</v>
      </c>
      <c r="G2842">
        <v>52.873709816487299</v>
      </c>
      <c r="H2842" t="s">
        <v>29</v>
      </c>
      <c r="J2842" t="s">
        <v>16</v>
      </c>
      <c r="K2842">
        <v>486114.54266645201</v>
      </c>
      <c r="L2842" t="s">
        <v>17</v>
      </c>
      <c r="M2842">
        <v>421092.45963612699</v>
      </c>
      <c r="N2842">
        <v>1</v>
      </c>
    </row>
    <row r="2843" spans="2:14" x14ac:dyDescent="0.25">
      <c r="B2843" t="s">
        <v>14</v>
      </c>
      <c r="C2843" s="1">
        <v>46093.999988425923</v>
      </c>
      <c r="D2843">
        <v>25.153273310356798</v>
      </c>
      <c r="E2843">
        <v>486114.54266645201</v>
      </c>
      <c r="F2843" s="1">
        <v>46092.099097222221</v>
      </c>
      <c r="G2843">
        <v>52.873709816487299</v>
      </c>
      <c r="H2843" t="s">
        <v>29</v>
      </c>
      <c r="J2843" t="s">
        <v>16</v>
      </c>
      <c r="K2843">
        <v>486114.54266645201</v>
      </c>
      <c r="L2843" t="s">
        <v>17</v>
      </c>
      <c r="M2843">
        <v>0</v>
      </c>
      <c r="N2843">
        <v>1</v>
      </c>
    </row>
    <row r="2844" spans="2:14" x14ac:dyDescent="0.25">
      <c r="B2844" t="s">
        <v>14</v>
      </c>
      <c r="C2844" s="1">
        <v>46092.999988425923</v>
      </c>
      <c r="D2844">
        <v>25.153273310356798</v>
      </c>
      <c r="E2844">
        <v>486114.54266645201</v>
      </c>
      <c r="F2844" s="1">
        <v>46092.099097222221</v>
      </c>
      <c r="G2844">
        <v>52.873709816487299</v>
      </c>
      <c r="H2844" t="s">
        <v>29</v>
      </c>
      <c r="J2844" t="s">
        <v>16</v>
      </c>
      <c r="K2844">
        <v>486114.54266645201</v>
      </c>
      <c r="L2844" t="s">
        <v>17</v>
      </c>
      <c r="M2844">
        <v>0</v>
      </c>
      <c r="N2844">
        <v>1</v>
      </c>
    </row>
    <row r="2845" spans="2:14" x14ac:dyDescent="0.25">
      <c r="B2845" t="s">
        <v>14</v>
      </c>
      <c r="C2845" s="1">
        <v>46091.999988425923</v>
      </c>
      <c r="D2845">
        <v>25.153273310356798</v>
      </c>
      <c r="E2845">
        <v>486114.54266645201</v>
      </c>
      <c r="F2845" s="1">
        <v>46089.605474537035</v>
      </c>
      <c r="G2845">
        <v>52.873709816487299</v>
      </c>
      <c r="H2845" t="s">
        <v>29</v>
      </c>
      <c r="J2845" t="s">
        <v>16</v>
      </c>
      <c r="K2845">
        <v>486114.54266645201</v>
      </c>
      <c r="L2845" t="s">
        <v>17</v>
      </c>
      <c r="M2845">
        <v>0</v>
      </c>
      <c r="N2845">
        <v>1</v>
      </c>
    </row>
    <row r="2846" spans="2:14" x14ac:dyDescent="0.25">
      <c r="B2846" t="s">
        <v>14</v>
      </c>
      <c r="C2846" s="1">
        <v>46090.999988425923</v>
      </c>
      <c r="D2846">
        <v>25.153273310356798</v>
      </c>
      <c r="E2846">
        <v>486114.54266645201</v>
      </c>
      <c r="F2846" s="1">
        <v>46089.605474537035</v>
      </c>
      <c r="G2846">
        <v>52.873709816487299</v>
      </c>
      <c r="H2846" t="s">
        <v>29</v>
      </c>
      <c r="J2846" t="s">
        <v>16</v>
      </c>
      <c r="K2846">
        <v>486114.54266645201</v>
      </c>
      <c r="L2846" t="s">
        <v>17</v>
      </c>
      <c r="M2846">
        <v>0</v>
      </c>
      <c r="N2846">
        <v>1</v>
      </c>
    </row>
    <row r="2847" spans="2:14" x14ac:dyDescent="0.25">
      <c r="B2847" t="s">
        <v>14</v>
      </c>
      <c r="C2847" s="1">
        <v>46089.999988425923</v>
      </c>
      <c r="D2847">
        <v>25.153273310356798</v>
      </c>
      <c r="E2847">
        <v>486114.54266645201</v>
      </c>
      <c r="F2847" s="1">
        <v>46089.605474537035</v>
      </c>
      <c r="G2847">
        <v>52.873709816487299</v>
      </c>
      <c r="H2847" t="s">
        <v>29</v>
      </c>
      <c r="J2847" t="s">
        <v>16</v>
      </c>
      <c r="K2847">
        <v>486114.54266645201</v>
      </c>
      <c r="L2847" t="s">
        <v>17</v>
      </c>
      <c r="M2847">
        <v>0</v>
      </c>
      <c r="N2847">
        <v>1</v>
      </c>
    </row>
    <row r="2848" spans="2:14" x14ac:dyDescent="0.25">
      <c r="B2848" t="s">
        <v>14</v>
      </c>
      <c r="C2848" s="1">
        <v>46088.999988425923</v>
      </c>
      <c r="D2848">
        <v>25.153273310356798</v>
      </c>
      <c r="E2848">
        <v>86545.242828508693</v>
      </c>
      <c r="F2848" s="1">
        <v>46086.099803240744</v>
      </c>
      <c r="G2848">
        <v>52.873709816487299</v>
      </c>
      <c r="H2848" t="s">
        <v>29</v>
      </c>
      <c r="J2848" t="s">
        <v>16</v>
      </c>
      <c r="K2848">
        <v>486114.54266645201</v>
      </c>
      <c r="L2848" t="s">
        <v>17</v>
      </c>
      <c r="M2848">
        <v>-399569.29983794299</v>
      </c>
      <c r="N2848">
        <v>0.178034671322087</v>
      </c>
    </row>
    <row r="2849" spans="2:14" x14ac:dyDescent="0.25">
      <c r="B2849" t="s">
        <v>14</v>
      </c>
      <c r="C2849" s="1">
        <v>46087.999988425923</v>
      </c>
      <c r="D2849">
        <v>25.153273310356798</v>
      </c>
      <c r="E2849">
        <v>86545.242828508693</v>
      </c>
      <c r="F2849" s="1">
        <v>46086.099803240744</v>
      </c>
      <c r="G2849">
        <v>52.873709816487299</v>
      </c>
      <c r="H2849" t="s">
        <v>29</v>
      </c>
      <c r="J2849" t="s">
        <v>16</v>
      </c>
      <c r="K2849">
        <v>486114.54266645201</v>
      </c>
      <c r="L2849" t="s">
        <v>17</v>
      </c>
      <c r="M2849">
        <v>0</v>
      </c>
      <c r="N2849">
        <v>0.178034671322087</v>
      </c>
    </row>
    <row r="2850" spans="2:14" x14ac:dyDescent="0.25">
      <c r="B2850" t="s">
        <v>14</v>
      </c>
      <c r="C2850" s="1">
        <v>46086.999988425923</v>
      </c>
      <c r="D2850">
        <v>25.153273310356798</v>
      </c>
      <c r="E2850">
        <v>86545.242828508693</v>
      </c>
      <c r="F2850" s="1">
        <v>46086.099803240744</v>
      </c>
      <c r="G2850">
        <v>52.873709816487299</v>
      </c>
      <c r="H2850" t="s">
        <v>29</v>
      </c>
      <c r="J2850" t="s">
        <v>16</v>
      </c>
      <c r="K2850">
        <v>486114.54266645201</v>
      </c>
      <c r="L2850" t="s">
        <v>17</v>
      </c>
      <c r="M2850">
        <v>0</v>
      </c>
      <c r="N2850">
        <v>0.178034671322087</v>
      </c>
    </row>
    <row r="2851" spans="2:14" x14ac:dyDescent="0.25">
      <c r="B2851" t="s">
        <v>14</v>
      </c>
      <c r="C2851" s="1">
        <v>46085.999988425923</v>
      </c>
      <c r="D2851">
        <v>25.153273310356798</v>
      </c>
      <c r="E2851">
        <v>486114.54266645201</v>
      </c>
      <c r="F2851" s="1">
        <v>46083.60628472222</v>
      </c>
      <c r="G2851">
        <v>52.873709816487299</v>
      </c>
      <c r="H2851" t="s">
        <v>29</v>
      </c>
      <c r="J2851" t="s">
        <v>16</v>
      </c>
      <c r="K2851">
        <v>486114.54266645201</v>
      </c>
      <c r="L2851" t="s">
        <v>17</v>
      </c>
      <c r="M2851">
        <v>399569.29983794299</v>
      </c>
      <c r="N2851">
        <v>1</v>
      </c>
    </row>
    <row r="2852" spans="2:14" x14ac:dyDescent="0.25">
      <c r="B2852" t="s">
        <v>14</v>
      </c>
      <c r="C2852" s="1">
        <v>46084.999988425923</v>
      </c>
      <c r="D2852">
        <v>25.153273310356798</v>
      </c>
      <c r="E2852">
        <v>486114.54266645201</v>
      </c>
      <c r="F2852" s="1">
        <v>46083.60628472222</v>
      </c>
      <c r="G2852">
        <v>52.873709816487299</v>
      </c>
      <c r="H2852" t="s">
        <v>29</v>
      </c>
      <c r="J2852" t="s">
        <v>16</v>
      </c>
      <c r="K2852">
        <v>486114.54266645201</v>
      </c>
      <c r="L2852" t="s">
        <v>17</v>
      </c>
      <c r="M2852">
        <v>0</v>
      </c>
      <c r="N2852">
        <v>1</v>
      </c>
    </row>
    <row r="2853" spans="2:14" x14ac:dyDescent="0.25">
      <c r="B2853" t="s">
        <v>14</v>
      </c>
      <c r="C2853" s="1">
        <v>46083.999988425923</v>
      </c>
      <c r="D2853">
        <v>25.153273310356798</v>
      </c>
      <c r="E2853">
        <v>486114.54266645201</v>
      </c>
      <c r="F2853" s="1">
        <v>46083.60628472222</v>
      </c>
      <c r="G2853">
        <v>52.873709816487299</v>
      </c>
      <c r="H2853" t="s">
        <v>29</v>
      </c>
      <c r="J2853" t="s">
        <v>16</v>
      </c>
      <c r="K2853">
        <v>486114.54266645201</v>
      </c>
      <c r="L2853" t="s">
        <v>17</v>
      </c>
      <c r="M2853">
        <v>0</v>
      </c>
      <c r="N2853">
        <v>1</v>
      </c>
    </row>
    <row r="2854" spans="2:14" x14ac:dyDescent="0.25">
      <c r="B2854" t="s">
        <v>14</v>
      </c>
      <c r="C2854" s="1">
        <v>46082.999988425923</v>
      </c>
      <c r="D2854">
        <v>25.153273310356798</v>
      </c>
      <c r="E2854">
        <v>257806.00966678699</v>
      </c>
      <c r="F2854" s="1">
        <v>46080.099097222221</v>
      </c>
      <c r="G2854">
        <v>52.873709816487299</v>
      </c>
      <c r="H2854" t="s">
        <v>29</v>
      </c>
      <c r="J2854" t="s">
        <v>16</v>
      </c>
      <c r="K2854">
        <v>486114.54266645201</v>
      </c>
      <c r="L2854" t="s">
        <v>17</v>
      </c>
      <c r="M2854">
        <v>-228308.53299966501</v>
      </c>
      <c r="N2854">
        <v>0.53034004753830299</v>
      </c>
    </row>
    <row r="2855" spans="2:14" x14ac:dyDescent="0.25">
      <c r="B2855" t="s">
        <v>14</v>
      </c>
      <c r="C2855" s="1">
        <v>46081.999988425923</v>
      </c>
      <c r="D2855">
        <v>25.153273310356798</v>
      </c>
      <c r="E2855">
        <v>257806.00966678699</v>
      </c>
      <c r="F2855" s="1">
        <v>46080.099097222221</v>
      </c>
      <c r="G2855">
        <v>52.873709816487299</v>
      </c>
      <c r="H2855" t="s">
        <v>29</v>
      </c>
      <c r="J2855" t="s">
        <v>16</v>
      </c>
      <c r="K2855">
        <v>486114.54266645201</v>
      </c>
      <c r="L2855" t="s">
        <v>17</v>
      </c>
      <c r="M2855">
        <v>0</v>
      </c>
      <c r="N2855">
        <v>0.53034004753830299</v>
      </c>
    </row>
    <row r="2856" spans="2:14" x14ac:dyDescent="0.25">
      <c r="B2856" t="s">
        <v>14</v>
      </c>
      <c r="C2856" s="1">
        <v>46080.999988425923</v>
      </c>
      <c r="D2856">
        <v>25.153273310356798</v>
      </c>
      <c r="E2856">
        <v>257806.00966678699</v>
      </c>
      <c r="F2856" s="1">
        <v>46080.099097222221</v>
      </c>
      <c r="G2856">
        <v>52.873709816487299</v>
      </c>
      <c r="H2856" t="s">
        <v>29</v>
      </c>
      <c r="J2856" t="s">
        <v>16</v>
      </c>
      <c r="K2856">
        <v>486114.54266645201</v>
      </c>
      <c r="L2856" t="s">
        <v>17</v>
      </c>
      <c r="M2856">
        <v>0</v>
      </c>
      <c r="N2856">
        <v>0.53034004753830299</v>
      </c>
    </row>
    <row r="2857" spans="2:14" x14ac:dyDescent="0.25">
      <c r="B2857" t="s">
        <v>14</v>
      </c>
      <c r="C2857" s="1">
        <v>46079.999988425923</v>
      </c>
      <c r="D2857">
        <v>25.153273310356798</v>
      </c>
      <c r="E2857">
        <v>486114.54266645201</v>
      </c>
      <c r="F2857" s="1">
        <v>46077.605474537035</v>
      </c>
      <c r="G2857">
        <v>52.873709816487299</v>
      </c>
      <c r="H2857" t="s">
        <v>29</v>
      </c>
      <c r="J2857" t="s">
        <v>16</v>
      </c>
      <c r="K2857">
        <v>486114.54266645201</v>
      </c>
      <c r="L2857" t="s">
        <v>17</v>
      </c>
      <c r="M2857">
        <v>228308.53299966501</v>
      </c>
      <c r="N2857">
        <v>1</v>
      </c>
    </row>
    <row r="2858" spans="2:14" x14ac:dyDescent="0.25">
      <c r="B2858" t="s">
        <v>14</v>
      </c>
      <c r="C2858" s="1">
        <v>46078.999988425923</v>
      </c>
      <c r="D2858">
        <v>25.153273310356798</v>
      </c>
      <c r="E2858">
        <v>486114.54266645201</v>
      </c>
      <c r="F2858" s="1">
        <v>46077.605474537035</v>
      </c>
      <c r="G2858">
        <v>52.873709816487299</v>
      </c>
      <c r="H2858" t="s">
        <v>29</v>
      </c>
      <c r="J2858" t="s">
        <v>16</v>
      </c>
      <c r="K2858">
        <v>486114.54266645201</v>
      </c>
      <c r="L2858" t="s">
        <v>17</v>
      </c>
      <c r="M2858">
        <v>0</v>
      </c>
      <c r="N2858">
        <v>1</v>
      </c>
    </row>
    <row r="2859" spans="2:14" x14ac:dyDescent="0.25">
      <c r="B2859" t="s">
        <v>14</v>
      </c>
      <c r="C2859" s="1">
        <v>46077.999988425923</v>
      </c>
      <c r="D2859">
        <v>25.153273310356798</v>
      </c>
      <c r="E2859">
        <v>486114.54266645201</v>
      </c>
      <c r="F2859" s="1">
        <v>46077.605474537035</v>
      </c>
      <c r="G2859">
        <v>52.873709816487299</v>
      </c>
      <c r="H2859" t="s">
        <v>29</v>
      </c>
      <c r="J2859" t="s">
        <v>16</v>
      </c>
      <c r="K2859">
        <v>486114.54266645201</v>
      </c>
      <c r="L2859" t="s">
        <v>17</v>
      </c>
      <c r="M2859">
        <v>0</v>
      </c>
      <c r="N2859">
        <v>1</v>
      </c>
    </row>
    <row r="2860" spans="2:14" x14ac:dyDescent="0.25">
      <c r="B2860" t="s">
        <v>14</v>
      </c>
      <c r="C2860" s="1">
        <v>46076.999988425923</v>
      </c>
      <c r="D2860">
        <v>25.153273310356798</v>
      </c>
      <c r="E2860">
        <v>102738.313548108</v>
      </c>
      <c r="F2860" s="1">
        <v>46074.099803240744</v>
      </c>
      <c r="G2860">
        <v>52.873709816487299</v>
      </c>
      <c r="H2860" t="s">
        <v>29</v>
      </c>
      <c r="J2860" t="s">
        <v>16</v>
      </c>
      <c r="K2860">
        <v>486114.54266645201</v>
      </c>
      <c r="L2860" t="s">
        <v>17</v>
      </c>
      <c r="M2860">
        <v>-383376.22911834298</v>
      </c>
      <c r="N2860">
        <v>0.21134589593754</v>
      </c>
    </row>
    <row r="2861" spans="2:14" x14ac:dyDescent="0.25">
      <c r="B2861" t="s">
        <v>14</v>
      </c>
      <c r="C2861" s="1">
        <v>46075.999988425923</v>
      </c>
      <c r="D2861">
        <v>25.153273310356798</v>
      </c>
      <c r="E2861">
        <v>102738.313548108</v>
      </c>
      <c r="F2861" s="1">
        <v>46074.099803240744</v>
      </c>
      <c r="G2861">
        <v>52.873709816487299</v>
      </c>
      <c r="H2861" t="s">
        <v>29</v>
      </c>
      <c r="J2861" t="s">
        <v>16</v>
      </c>
      <c r="K2861">
        <v>486114.54266645201</v>
      </c>
      <c r="L2861" t="s">
        <v>17</v>
      </c>
      <c r="M2861">
        <v>0</v>
      </c>
      <c r="N2861">
        <v>0.21134589593754</v>
      </c>
    </row>
    <row r="2862" spans="2:14" x14ac:dyDescent="0.25">
      <c r="B2862" t="s">
        <v>14</v>
      </c>
      <c r="C2862" s="1">
        <v>46074.999988425923</v>
      </c>
      <c r="D2862">
        <v>25.153273310356798</v>
      </c>
      <c r="E2862">
        <v>102738.313548108</v>
      </c>
      <c r="F2862" s="1">
        <v>46074.099803240744</v>
      </c>
      <c r="G2862">
        <v>52.873709816487299</v>
      </c>
      <c r="H2862" t="s">
        <v>29</v>
      </c>
      <c r="J2862" t="s">
        <v>16</v>
      </c>
      <c r="K2862">
        <v>486114.54266645201</v>
      </c>
      <c r="L2862" t="s">
        <v>17</v>
      </c>
      <c r="M2862">
        <v>0</v>
      </c>
      <c r="N2862">
        <v>0.21134589593754</v>
      </c>
    </row>
    <row r="2863" spans="2:14" x14ac:dyDescent="0.25">
      <c r="B2863" t="s">
        <v>14</v>
      </c>
      <c r="C2863" s="1">
        <v>46073.999988425923</v>
      </c>
      <c r="D2863">
        <v>25.153273310356798</v>
      </c>
      <c r="E2863">
        <v>486114.54266645201</v>
      </c>
      <c r="F2863" s="1">
        <v>46071.606296296297</v>
      </c>
      <c r="G2863">
        <v>52.873709816487299</v>
      </c>
      <c r="H2863" t="s">
        <v>29</v>
      </c>
      <c r="J2863" t="s">
        <v>16</v>
      </c>
      <c r="K2863">
        <v>486114.54266645201</v>
      </c>
      <c r="L2863" t="s">
        <v>17</v>
      </c>
      <c r="M2863">
        <v>383376.22911834298</v>
      </c>
      <c r="N2863">
        <v>1</v>
      </c>
    </row>
    <row r="2864" spans="2:14" x14ac:dyDescent="0.25">
      <c r="B2864" t="s">
        <v>14</v>
      </c>
      <c r="C2864" s="1">
        <v>46072.999988425923</v>
      </c>
      <c r="D2864">
        <v>25.153273310356798</v>
      </c>
      <c r="E2864">
        <v>486114.54266645201</v>
      </c>
      <c r="F2864" s="1">
        <v>46071.606296296297</v>
      </c>
      <c r="G2864">
        <v>52.873709816487299</v>
      </c>
      <c r="H2864" t="s">
        <v>29</v>
      </c>
      <c r="J2864" t="s">
        <v>16</v>
      </c>
      <c r="K2864">
        <v>486114.54266645201</v>
      </c>
      <c r="L2864" t="s">
        <v>17</v>
      </c>
      <c r="M2864">
        <v>0</v>
      </c>
      <c r="N2864">
        <v>1</v>
      </c>
    </row>
    <row r="2865" spans="2:14" x14ac:dyDescent="0.25">
      <c r="B2865" t="s">
        <v>14</v>
      </c>
      <c r="C2865" s="1">
        <v>46071.999988425923</v>
      </c>
      <c r="D2865">
        <v>25.153273310356798</v>
      </c>
      <c r="E2865">
        <v>486114.54266645201</v>
      </c>
      <c r="F2865" s="1">
        <v>46071.606296296297</v>
      </c>
      <c r="G2865">
        <v>52.873709816487299</v>
      </c>
      <c r="H2865" t="s">
        <v>29</v>
      </c>
      <c r="J2865" t="s">
        <v>16</v>
      </c>
      <c r="K2865">
        <v>486114.54266645201</v>
      </c>
      <c r="L2865" t="s">
        <v>17</v>
      </c>
      <c r="M2865">
        <v>0</v>
      </c>
      <c r="N2865">
        <v>1</v>
      </c>
    </row>
    <row r="2866" spans="2:14" x14ac:dyDescent="0.25">
      <c r="B2866" t="s">
        <v>14</v>
      </c>
      <c r="C2866" s="1">
        <v>46070.999988425923</v>
      </c>
      <c r="D2866">
        <v>25.153273310356798</v>
      </c>
      <c r="E2866">
        <v>150905.42881459001</v>
      </c>
      <c r="F2866" s="1">
        <v>46068.099097222221</v>
      </c>
      <c r="G2866">
        <v>52.873709816487299</v>
      </c>
      <c r="H2866" t="s">
        <v>29</v>
      </c>
      <c r="J2866" t="s">
        <v>16</v>
      </c>
      <c r="K2866">
        <v>486114.54266645201</v>
      </c>
      <c r="L2866" t="s">
        <v>17</v>
      </c>
      <c r="M2866">
        <v>-335209.11385186203</v>
      </c>
      <c r="N2866">
        <v>0.31043183358975102</v>
      </c>
    </row>
    <row r="2867" spans="2:14" x14ac:dyDescent="0.25">
      <c r="B2867" t="s">
        <v>14</v>
      </c>
      <c r="C2867" s="1">
        <v>46069.999988425923</v>
      </c>
      <c r="D2867">
        <v>25.153273310356798</v>
      </c>
      <c r="E2867">
        <v>150905.42881459001</v>
      </c>
      <c r="F2867" s="1">
        <v>46068.099097222221</v>
      </c>
      <c r="G2867">
        <v>52.873709816487299</v>
      </c>
      <c r="H2867" t="s">
        <v>29</v>
      </c>
      <c r="J2867" t="s">
        <v>16</v>
      </c>
      <c r="K2867">
        <v>486114.54266645201</v>
      </c>
      <c r="L2867" t="s">
        <v>17</v>
      </c>
      <c r="M2867">
        <v>0</v>
      </c>
      <c r="N2867">
        <v>0.31043183358975102</v>
      </c>
    </row>
    <row r="2868" spans="2:14" x14ac:dyDescent="0.25">
      <c r="B2868" t="s">
        <v>14</v>
      </c>
      <c r="C2868" s="1">
        <v>46068.999988425923</v>
      </c>
      <c r="D2868">
        <v>25.153273310356798</v>
      </c>
      <c r="E2868">
        <v>150905.42881459001</v>
      </c>
      <c r="F2868" s="1">
        <v>46068.099097222221</v>
      </c>
      <c r="G2868">
        <v>52.873709816487299</v>
      </c>
      <c r="H2868" t="s">
        <v>29</v>
      </c>
      <c r="J2868" t="s">
        <v>16</v>
      </c>
      <c r="K2868">
        <v>486114.54266645201</v>
      </c>
      <c r="L2868" t="s">
        <v>17</v>
      </c>
      <c r="M2868">
        <v>0</v>
      </c>
      <c r="N2868">
        <v>0.31043183358975102</v>
      </c>
    </row>
    <row r="2869" spans="2:14" x14ac:dyDescent="0.25">
      <c r="B2869" t="s">
        <v>14</v>
      </c>
      <c r="C2869" s="1">
        <v>46067.999988425923</v>
      </c>
      <c r="D2869">
        <v>25.153273310356798</v>
      </c>
      <c r="E2869">
        <v>169643.36783184801</v>
      </c>
      <c r="F2869" s="1">
        <v>46065.605474537035</v>
      </c>
      <c r="G2869">
        <v>52.873709816487299</v>
      </c>
      <c r="H2869" t="s">
        <v>29</v>
      </c>
      <c r="J2869" t="s">
        <v>16</v>
      </c>
      <c r="K2869">
        <v>486114.54266645201</v>
      </c>
      <c r="L2869" t="s">
        <v>17</v>
      </c>
      <c r="M2869">
        <v>18737.939017258501</v>
      </c>
      <c r="N2869">
        <v>0.348978178890339</v>
      </c>
    </row>
    <row r="2870" spans="2:14" x14ac:dyDescent="0.25">
      <c r="B2870" t="s">
        <v>14</v>
      </c>
      <c r="C2870" s="1">
        <v>46066.999988425923</v>
      </c>
      <c r="D2870">
        <v>25.153273310356798</v>
      </c>
      <c r="E2870">
        <v>169643.36783184801</v>
      </c>
      <c r="F2870" s="1">
        <v>46065.605474537035</v>
      </c>
      <c r="G2870">
        <v>52.873709816487299</v>
      </c>
      <c r="H2870" t="s">
        <v>29</v>
      </c>
      <c r="J2870" t="s">
        <v>16</v>
      </c>
      <c r="K2870">
        <v>486114.54266645201</v>
      </c>
      <c r="L2870" t="s">
        <v>17</v>
      </c>
      <c r="M2870">
        <v>0</v>
      </c>
      <c r="N2870">
        <v>0.348978178890339</v>
      </c>
    </row>
    <row r="2871" spans="2:14" x14ac:dyDescent="0.25">
      <c r="B2871" t="s">
        <v>14</v>
      </c>
      <c r="C2871" s="1">
        <v>46065.999988425923</v>
      </c>
      <c r="D2871">
        <v>25.153273310356798</v>
      </c>
      <c r="E2871">
        <v>169643.36783184801</v>
      </c>
      <c r="F2871" s="1">
        <v>46065.605474537035</v>
      </c>
      <c r="G2871">
        <v>52.873709816487299</v>
      </c>
      <c r="H2871" t="s">
        <v>29</v>
      </c>
      <c r="J2871" t="s">
        <v>16</v>
      </c>
      <c r="K2871">
        <v>486114.54266645201</v>
      </c>
      <c r="L2871" t="s">
        <v>17</v>
      </c>
      <c r="M2871">
        <v>0</v>
      </c>
      <c r="N2871">
        <v>0.348978178890339</v>
      </c>
    </row>
    <row r="2872" spans="2:14" x14ac:dyDescent="0.25">
      <c r="B2872" t="s">
        <v>14</v>
      </c>
      <c r="C2872" s="1">
        <v>46064.999988425923</v>
      </c>
      <c r="D2872">
        <v>25.153273310356798</v>
      </c>
      <c r="E2872">
        <v>472962.40668204002</v>
      </c>
      <c r="F2872" s="1">
        <v>46062.099814814814</v>
      </c>
      <c r="G2872">
        <v>52.873709816487299</v>
      </c>
      <c r="H2872" t="s">
        <v>29</v>
      </c>
      <c r="J2872" t="s">
        <v>16</v>
      </c>
      <c r="K2872">
        <v>486114.54266645201</v>
      </c>
      <c r="L2872" t="s">
        <v>17</v>
      </c>
      <c r="M2872">
        <v>303319.03885019198</v>
      </c>
      <c r="N2872">
        <v>0.97294436839459897</v>
      </c>
    </row>
    <row r="2873" spans="2:14" x14ac:dyDescent="0.25">
      <c r="B2873" t="s">
        <v>14</v>
      </c>
      <c r="C2873" s="1">
        <v>46063.999988425923</v>
      </c>
      <c r="D2873">
        <v>25.153273310356798</v>
      </c>
      <c r="E2873">
        <v>472962.40668204002</v>
      </c>
      <c r="F2873" s="1">
        <v>46062.099814814814</v>
      </c>
      <c r="G2873">
        <v>52.873709816487299</v>
      </c>
      <c r="H2873" t="s">
        <v>29</v>
      </c>
      <c r="J2873" t="s">
        <v>16</v>
      </c>
      <c r="K2873">
        <v>486114.54266645201</v>
      </c>
      <c r="L2873" t="s">
        <v>17</v>
      </c>
      <c r="M2873">
        <v>0</v>
      </c>
      <c r="N2873">
        <v>0.97294436839459897</v>
      </c>
    </row>
    <row r="2874" spans="2:14" x14ac:dyDescent="0.25">
      <c r="B2874" t="s">
        <v>14</v>
      </c>
      <c r="C2874" s="1">
        <v>46062.999988425923</v>
      </c>
      <c r="D2874">
        <v>25.153273310356798</v>
      </c>
      <c r="E2874">
        <v>472962.40668204002</v>
      </c>
      <c r="F2874" s="1">
        <v>46062.099814814814</v>
      </c>
      <c r="G2874">
        <v>52.873709816487299</v>
      </c>
      <c r="H2874" t="s">
        <v>29</v>
      </c>
      <c r="J2874" t="s">
        <v>16</v>
      </c>
      <c r="K2874">
        <v>486114.54266645201</v>
      </c>
      <c r="L2874" t="s">
        <v>17</v>
      </c>
      <c r="M2874">
        <v>0</v>
      </c>
      <c r="N2874">
        <v>0.97294436839459897</v>
      </c>
    </row>
    <row r="2875" spans="2:14" x14ac:dyDescent="0.25">
      <c r="B2875" t="s">
        <v>14</v>
      </c>
      <c r="C2875" s="1">
        <v>46061.999988425923</v>
      </c>
      <c r="D2875">
        <v>25.153273310356798</v>
      </c>
      <c r="E2875">
        <v>406358.15275455802</v>
      </c>
      <c r="F2875" s="1">
        <v>46059.606296296297</v>
      </c>
      <c r="G2875">
        <v>52.873709816487299</v>
      </c>
      <c r="H2875" t="s">
        <v>29</v>
      </c>
      <c r="J2875" t="s">
        <v>16</v>
      </c>
      <c r="K2875">
        <v>486114.54266645201</v>
      </c>
      <c r="L2875" t="s">
        <v>17</v>
      </c>
      <c r="M2875">
        <v>-66604.253927482103</v>
      </c>
      <c r="N2875">
        <v>0.83593087037797398</v>
      </c>
    </row>
    <row r="2876" spans="2:14" x14ac:dyDescent="0.25">
      <c r="B2876" t="s">
        <v>14</v>
      </c>
      <c r="C2876" s="1">
        <v>46060.999988425923</v>
      </c>
      <c r="D2876">
        <v>25.153273310356798</v>
      </c>
      <c r="E2876">
        <v>406358.15275455802</v>
      </c>
      <c r="F2876" s="1">
        <v>46059.606296296297</v>
      </c>
      <c r="G2876">
        <v>52.873709816487299</v>
      </c>
      <c r="H2876" t="s">
        <v>29</v>
      </c>
      <c r="J2876" t="s">
        <v>16</v>
      </c>
      <c r="K2876">
        <v>486114.54266645201</v>
      </c>
      <c r="L2876" t="s">
        <v>17</v>
      </c>
      <c r="M2876">
        <v>0</v>
      </c>
      <c r="N2876">
        <v>0.83593087037797398</v>
      </c>
    </row>
    <row r="2877" spans="2:14" x14ac:dyDescent="0.25">
      <c r="B2877" t="s">
        <v>14</v>
      </c>
      <c r="C2877" s="1">
        <v>46059.999988425923</v>
      </c>
      <c r="D2877">
        <v>25.153273310356798</v>
      </c>
      <c r="E2877">
        <v>406358.15275455802</v>
      </c>
      <c r="F2877" s="1">
        <v>46059.606296296297</v>
      </c>
      <c r="G2877">
        <v>52.873709816487299</v>
      </c>
      <c r="H2877" t="s">
        <v>29</v>
      </c>
      <c r="J2877" t="s">
        <v>16</v>
      </c>
      <c r="K2877">
        <v>486114.54266645201</v>
      </c>
      <c r="L2877" t="s">
        <v>17</v>
      </c>
      <c r="M2877">
        <v>0</v>
      </c>
      <c r="N2877">
        <v>0.83593087037797398</v>
      </c>
    </row>
    <row r="2878" spans="2:14" x14ac:dyDescent="0.25">
      <c r="B2878" t="s">
        <v>14</v>
      </c>
      <c r="C2878" s="1">
        <v>46058.999988425923</v>
      </c>
      <c r="D2878">
        <v>25.153273310356798</v>
      </c>
      <c r="E2878">
        <v>87575.776654634101</v>
      </c>
      <c r="F2878" s="1">
        <v>46056.099097222221</v>
      </c>
      <c r="G2878">
        <v>52.873709816487299</v>
      </c>
      <c r="H2878" t="s">
        <v>29</v>
      </c>
      <c r="J2878" t="s">
        <v>16</v>
      </c>
      <c r="K2878">
        <v>486114.54266645201</v>
      </c>
      <c r="L2878" t="s">
        <v>17</v>
      </c>
      <c r="M2878">
        <v>-318782.37609992397</v>
      </c>
      <c r="N2878">
        <v>0.18015461165646299</v>
      </c>
    </row>
    <row r="2879" spans="2:14" x14ac:dyDescent="0.25">
      <c r="B2879" t="s">
        <v>14</v>
      </c>
      <c r="C2879" s="1">
        <v>46057.999988425923</v>
      </c>
      <c r="D2879">
        <v>25.153273310356798</v>
      </c>
      <c r="E2879">
        <v>87575.776654634101</v>
      </c>
      <c r="F2879" s="1">
        <v>46056.099097222221</v>
      </c>
      <c r="G2879">
        <v>52.873709816487299</v>
      </c>
      <c r="H2879" t="s">
        <v>29</v>
      </c>
      <c r="J2879" t="s">
        <v>16</v>
      </c>
      <c r="K2879">
        <v>486114.54266645201</v>
      </c>
      <c r="L2879" t="s">
        <v>17</v>
      </c>
      <c r="M2879">
        <v>0</v>
      </c>
      <c r="N2879">
        <v>0.18015461165646299</v>
      </c>
    </row>
    <row r="2880" spans="2:14" x14ac:dyDescent="0.25">
      <c r="B2880" t="s">
        <v>14</v>
      </c>
      <c r="C2880" s="1">
        <v>46056.999988425923</v>
      </c>
      <c r="D2880">
        <v>25.153273310356798</v>
      </c>
      <c r="E2880">
        <v>87575.776654634101</v>
      </c>
      <c r="F2880" s="1">
        <v>46056.099097222221</v>
      </c>
      <c r="G2880">
        <v>52.873709816487299</v>
      </c>
      <c r="H2880" t="s">
        <v>29</v>
      </c>
      <c r="J2880" t="s">
        <v>16</v>
      </c>
      <c r="K2880">
        <v>486114.54266645201</v>
      </c>
      <c r="L2880" t="s">
        <v>17</v>
      </c>
      <c r="M2880">
        <v>0</v>
      </c>
      <c r="N2880">
        <v>0.18015461165646299</v>
      </c>
    </row>
    <row r="2881" spans="2:14" x14ac:dyDescent="0.25">
      <c r="B2881" t="s">
        <v>14</v>
      </c>
      <c r="C2881" s="1">
        <v>46055.999988425923</v>
      </c>
      <c r="D2881">
        <v>25.153273310356798</v>
      </c>
      <c r="E2881">
        <v>486114.54266645201</v>
      </c>
      <c r="F2881" s="1">
        <v>46053.605474537035</v>
      </c>
      <c r="G2881">
        <v>52.873709816487299</v>
      </c>
      <c r="H2881" t="s">
        <v>29</v>
      </c>
      <c r="J2881" t="s">
        <v>16</v>
      </c>
      <c r="K2881">
        <v>486114.54266645201</v>
      </c>
      <c r="L2881" t="s">
        <v>17</v>
      </c>
      <c r="M2881">
        <v>398538.76601181802</v>
      </c>
      <c r="N2881">
        <v>1</v>
      </c>
    </row>
    <row r="2882" spans="2:14" x14ac:dyDescent="0.25">
      <c r="B2882" t="s">
        <v>14</v>
      </c>
      <c r="C2882" s="1">
        <v>46054.999988425923</v>
      </c>
      <c r="D2882">
        <v>25.153273310356798</v>
      </c>
      <c r="E2882">
        <v>486114.54266645201</v>
      </c>
      <c r="F2882" s="1">
        <v>46053.605474537035</v>
      </c>
      <c r="G2882">
        <v>52.873709816487299</v>
      </c>
      <c r="H2882" t="s">
        <v>29</v>
      </c>
      <c r="J2882" t="s">
        <v>16</v>
      </c>
      <c r="K2882">
        <v>486114.54266645201</v>
      </c>
      <c r="L2882" t="s">
        <v>17</v>
      </c>
      <c r="M2882">
        <v>0</v>
      </c>
      <c r="N2882">
        <v>1</v>
      </c>
    </row>
    <row r="2883" spans="2:14" x14ac:dyDescent="0.25">
      <c r="B2883" t="s">
        <v>14</v>
      </c>
      <c r="C2883" s="1">
        <v>46053.999988425923</v>
      </c>
      <c r="D2883">
        <v>25.153273310356798</v>
      </c>
      <c r="E2883">
        <v>486114.54266645201</v>
      </c>
      <c r="F2883" s="1">
        <v>46053.605474537035</v>
      </c>
      <c r="G2883">
        <v>52.873709816487299</v>
      </c>
      <c r="H2883" t="s">
        <v>29</v>
      </c>
      <c r="J2883" t="s">
        <v>16</v>
      </c>
      <c r="K2883">
        <v>486114.54266645201</v>
      </c>
      <c r="L2883" t="s">
        <v>17</v>
      </c>
      <c r="M2883">
        <v>0</v>
      </c>
      <c r="N2883">
        <v>1</v>
      </c>
    </row>
    <row r="2884" spans="2:14" x14ac:dyDescent="0.25">
      <c r="B2884" t="s">
        <v>14</v>
      </c>
      <c r="C2884" s="1">
        <v>46052.999988425923</v>
      </c>
      <c r="D2884">
        <v>25.153273310356798</v>
      </c>
      <c r="E2884">
        <v>101480.86175464001</v>
      </c>
      <c r="F2884" s="1">
        <v>46050.099814814814</v>
      </c>
      <c r="G2884">
        <v>52.873709816487299</v>
      </c>
      <c r="H2884" t="s">
        <v>29</v>
      </c>
      <c r="J2884" t="s">
        <v>16</v>
      </c>
      <c r="K2884">
        <v>486114.54266645201</v>
      </c>
      <c r="L2884" t="s">
        <v>17</v>
      </c>
      <c r="M2884">
        <v>-384633.68091181101</v>
      </c>
      <c r="N2884">
        <v>0.20875915622271701</v>
      </c>
    </row>
    <row r="2885" spans="2:14" x14ac:dyDescent="0.25">
      <c r="B2885" t="s">
        <v>14</v>
      </c>
      <c r="C2885" s="1">
        <v>46051.999988425923</v>
      </c>
      <c r="D2885">
        <v>25.153273310356798</v>
      </c>
      <c r="E2885">
        <v>101480.86175464001</v>
      </c>
      <c r="F2885" s="1">
        <v>46050.099814814814</v>
      </c>
      <c r="G2885">
        <v>52.873709816487299</v>
      </c>
      <c r="H2885" t="s">
        <v>29</v>
      </c>
      <c r="J2885" t="s">
        <v>16</v>
      </c>
      <c r="K2885">
        <v>486114.54266645201</v>
      </c>
      <c r="L2885" t="s">
        <v>17</v>
      </c>
      <c r="M2885">
        <v>0</v>
      </c>
      <c r="N2885">
        <v>0.20875915622271701</v>
      </c>
    </row>
    <row r="2886" spans="2:14" x14ac:dyDescent="0.25">
      <c r="B2886" t="s">
        <v>14</v>
      </c>
      <c r="C2886" s="1">
        <v>46050.999988425923</v>
      </c>
      <c r="D2886">
        <v>25.153273310356798</v>
      </c>
      <c r="E2886">
        <v>101480.86175464001</v>
      </c>
      <c r="F2886" s="1">
        <v>46050.099814814814</v>
      </c>
      <c r="G2886">
        <v>52.873709816487299</v>
      </c>
      <c r="H2886" t="s">
        <v>29</v>
      </c>
      <c r="J2886" t="s">
        <v>16</v>
      </c>
      <c r="K2886">
        <v>486114.54266645201</v>
      </c>
      <c r="L2886" t="s">
        <v>17</v>
      </c>
      <c r="M2886">
        <v>0</v>
      </c>
      <c r="N2886">
        <v>0.20875915622271701</v>
      </c>
    </row>
    <row r="2887" spans="2:14" x14ac:dyDescent="0.25">
      <c r="B2887" t="s">
        <v>14</v>
      </c>
      <c r="C2887" s="1">
        <v>46049.999988425923</v>
      </c>
      <c r="D2887">
        <v>25.153273310356798</v>
      </c>
      <c r="E2887">
        <v>95461.476598406705</v>
      </c>
      <c r="F2887" s="1">
        <v>46047.606307870374</v>
      </c>
      <c r="G2887">
        <v>52.873709816487299</v>
      </c>
      <c r="H2887" t="s">
        <v>29</v>
      </c>
      <c r="J2887" t="s">
        <v>16</v>
      </c>
      <c r="K2887">
        <v>486114.54266645201</v>
      </c>
      <c r="L2887" t="s">
        <v>17</v>
      </c>
      <c r="M2887">
        <v>-6019.3851562338496</v>
      </c>
      <c r="N2887">
        <v>0.19637650845575999</v>
      </c>
    </row>
    <row r="2888" spans="2:14" x14ac:dyDescent="0.25">
      <c r="B2888" t="s">
        <v>14</v>
      </c>
      <c r="C2888" s="1">
        <v>46048.999988425923</v>
      </c>
      <c r="D2888">
        <v>25.153273310356798</v>
      </c>
      <c r="E2888">
        <v>95461.476598406705</v>
      </c>
      <c r="F2888" s="1">
        <v>46047.606307870374</v>
      </c>
      <c r="G2888">
        <v>52.873709816487299</v>
      </c>
      <c r="H2888" t="s">
        <v>29</v>
      </c>
      <c r="J2888" t="s">
        <v>16</v>
      </c>
      <c r="K2888">
        <v>486114.54266645201</v>
      </c>
      <c r="L2888" t="s">
        <v>17</v>
      </c>
      <c r="M2888">
        <v>0</v>
      </c>
      <c r="N2888">
        <v>0.19637650845575999</v>
      </c>
    </row>
    <row r="2889" spans="2:14" x14ac:dyDescent="0.25">
      <c r="B2889" t="s">
        <v>14</v>
      </c>
      <c r="C2889" s="1">
        <v>46047.999988425923</v>
      </c>
      <c r="D2889">
        <v>25.153273310356798</v>
      </c>
      <c r="E2889">
        <v>95461.476598406705</v>
      </c>
      <c r="F2889" s="1">
        <v>46047.606307870374</v>
      </c>
      <c r="G2889">
        <v>52.873709816487299</v>
      </c>
      <c r="H2889" t="s">
        <v>29</v>
      </c>
      <c r="J2889" t="s">
        <v>16</v>
      </c>
      <c r="K2889">
        <v>486114.54266645201</v>
      </c>
      <c r="L2889" t="s">
        <v>17</v>
      </c>
      <c r="M2889">
        <v>0</v>
      </c>
      <c r="N2889">
        <v>0.19637650845575999</v>
      </c>
    </row>
    <row r="2890" spans="2:14" x14ac:dyDescent="0.25">
      <c r="B2890" t="s">
        <v>14</v>
      </c>
      <c r="C2890" s="1">
        <v>46046.999988425923</v>
      </c>
      <c r="D2890">
        <v>25.153273310356798</v>
      </c>
      <c r="E2890">
        <v>486114.54266645201</v>
      </c>
      <c r="F2890" s="1">
        <v>46041.605486111112</v>
      </c>
      <c r="G2890">
        <v>52.873709816487299</v>
      </c>
      <c r="H2890" t="s">
        <v>29</v>
      </c>
      <c r="J2890" t="s">
        <v>16</v>
      </c>
      <c r="K2890">
        <v>486114.54266645201</v>
      </c>
      <c r="L2890" t="s">
        <v>17</v>
      </c>
      <c r="M2890">
        <v>390653.06606804498</v>
      </c>
      <c r="N2890">
        <v>1</v>
      </c>
    </row>
    <row r="2891" spans="2:14" x14ac:dyDescent="0.25">
      <c r="B2891" t="s">
        <v>14</v>
      </c>
      <c r="C2891" s="1">
        <v>46045.999988425923</v>
      </c>
      <c r="D2891">
        <v>25.153273310356798</v>
      </c>
      <c r="E2891">
        <v>486114.54266645201</v>
      </c>
      <c r="F2891" s="1">
        <v>46041.605486111112</v>
      </c>
      <c r="G2891">
        <v>52.873709816487299</v>
      </c>
      <c r="H2891" t="s">
        <v>29</v>
      </c>
      <c r="J2891" t="s">
        <v>16</v>
      </c>
      <c r="K2891">
        <v>486114.54266645201</v>
      </c>
      <c r="L2891" t="s">
        <v>17</v>
      </c>
      <c r="M2891">
        <v>0</v>
      </c>
      <c r="N2891">
        <v>1</v>
      </c>
    </row>
    <row r="2892" spans="2:14" x14ac:dyDescent="0.25">
      <c r="B2892" t="s">
        <v>14</v>
      </c>
      <c r="C2892" s="1">
        <v>46044.999988425923</v>
      </c>
      <c r="D2892">
        <v>25.153273310356798</v>
      </c>
      <c r="E2892">
        <v>486114.54266645201</v>
      </c>
      <c r="F2892" s="1">
        <v>46041.605486111112</v>
      </c>
      <c r="G2892">
        <v>52.873709816487299</v>
      </c>
      <c r="H2892" t="s">
        <v>29</v>
      </c>
      <c r="J2892" t="s">
        <v>16</v>
      </c>
      <c r="K2892">
        <v>486114.54266645201</v>
      </c>
      <c r="L2892" t="s">
        <v>17</v>
      </c>
      <c r="M2892">
        <v>0</v>
      </c>
      <c r="N2892">
        <v>1</v>
      </c>
    </row>
    <row r="2893" spans="2:14" x14ac:dyDescent="0.25">
      <c r="B2893" t="s">
        <v>14</v>
      </c>
      <c r="C2893" s="1">
        <v>46043.999988425923</v>
      </c>
      <c r="D2893">
        <v>25.153273310356798</v>
      </c>
      <c r="E2893">
        <v>486114.54266645201</v>
      </c>
      <c r="F2893" s="1">
        <v>46041.605486111112</v>
      </c>
      <c r="G2893">
        <v>52.873709816487299</v>
      </c>
      <c r="H2893" t="s">
        <v>29</v>
      </c>
      <c r="J2893" t="s">
        <v>16</v>
      </c>
      <c r="K2893">
        <v>486114.54266645201</v>
      </c>
      <c r="L2893" t="s">
        <v>17</v>
      </c>
      <c r="M2893">
        <v>0</v>
      </c>
      <c r="N2893">
        <v>1</v>
      </c>
    </row>
    <row r="2894" spans="2:14" x14ac:dyDescent="0.25">
      <c r="B2894" t="s">
        <v>14</v>
      </c>
      <c r="C2894" s="1">
        <v>46042.999988425923</v>
      </c>
      <c r="D2894">
        <v>25.153273310356798</v>
      </c>
      <c r="E2894">
        <v>486114.54266645201</v>
      </c>
      <c r="F2894" s="1">
        <v>46041.605486111112</v>
      </c>
      <c r="G2894">
        <v>52.873709816487299</v>
      </c>
      <c r="H2894" t="s">
        <v>29</v>
      </c>
      <c r="J2894" t="s">
        <v>16</v>
      </c>
      <c r="K2894">
        <v>486114.54266645201</v>
      </c>
      <c r="L2894" t="s">
        <v>17</v>
      </c>
      <c r="M2894">
        <v>0</v>
      </c>
      <c r="N2894">
        <v>1</v>
      </c>
    </row>
    <row r="2895" spans="2:14" x14ac:dyDescent="0.25">
      <c r="B2895" t="s">
        <v>14</v>
      </c>
      <c r="C2895" s="1">
        <v>46041.999988425923</v>
      </c>
      <c r="D2895">
        <v>25.153273310356798</v>
      </c>
      <c r="E2895">
        <v>486114.54266645201</v>
      </c>
      <c r="F2895" s="1">
        <v>46041.605486111112</v>
      </c>
      <c r="G2895">
        <v>52.873709816487299</v>
      </c>
      <c r="H2895" t="s">
        <v>29</v>
      </c>
      <c r="J2895" t="s">
        <v>16</v>
      </c>
      <c r="K2895">
        <v>486114.54266645201</v>
      </c>
      <c r="L2895" t="s">
        <v>17</v>
      </c>
      <c r="M2895">
        <v>0</v>
      </c>
      <c r="N2895">
        <v>1</v>
      </c>
    </row>
    <row r="2896" spans="2:14" x14ac:dyDescent="0.25">
      <c r="B2896" t="s">
        <v>14</v>
      </c>
      <c r="C2896" s="1">
        <v>46040.999988425923</v>
      </c>
      <c r="D2896">
        <v>25.153273310356798</v>
      </c>
      <c r="E2896">
        <v>346598.284217874</v>
      </c>
      <c r="F2896" s="1">
        <v>46038.099826388891</v>
      </c>
      <c r="G2896">
        <v>52.873709816487299</v>
      </c>
      <c r="H2896" t="s">
        <v>29</v>
      </c>
      <c r="J2896" t="s">
        <v>16</v>
      </c>
      <c r="K2896">
        <v>486114.54266645201</v>
      </c>
      <c r="L2896" t="s">
        <v>17</v>
      </c>
      <c r="M2896">
        <v>-139516.25844857801</v>
      </c>
      <c r="N2896">
        <v>0.71299715148759202</v>
      </c>
    </row>
    <row r="2897" spans="2:14" x14ac:dyDescent="0.25">
      <c r="B2897" t="s">
        <v>14</v>
      </c>
      <c r="C2897" s="1">
        <v>46039.999988425923</v>
      </c>
      <c r="D2897">
        <v>25.153273310356798</v>
      </c>
      <c r="E2897">
        <v>346598.284217874</v>
      </c>
      <c r="F2897" s="1">
        <v>46038.099826388891</v>
      </c>
      <c r="G2897">
        <v>52.873709816487299</v>
      </c>
      <c r="H2897" t="s">
        <v>29</v>
      </c>
      <c r="J2897" t="s">
        <v>16</v>
      </c>
      <c r="K2897">
        <v>486114.54266645201</v>
      </c>
      <c r="L2897" t="s">
        <v>17</v>
      </c>
      <c r="M2897">
        <v>0</v>
      </c>
      <c r="N2897">
        <v>0.71299715148759202</v>
      </c>
    </row>
    <row r="2898" spans="2:14" x14ac:dyDescent="0.25">
      <c r="B2898" t="s">
        <v>14</v>
      </c>
      <c r="C2898" s="1">
        <v>46038.999988425923</v>
      </c>
      <c r="D2898">
        <v>25.153273310356798</v>
      </c>
      <c r="E2898">
        <v>346598.284217874</v>
      </c>
      <c r="F2898" s="1">
        <v>46038.099826388891</v>
      </c>
      <c r="G2898">
        <v>52.873709816487299</v>
      </c>
      <c r="H2898" t="s">
        <v>29</v>
      </c>
      <c r="J2898" t="s">
        <v>16</v>
      </c>
      <c r="K2898">
        <v>486114.54266645201</v>
      </c>
      <c r="L2898" t="s">
        <v>17</v>
      </c>
      <c r="M2898">
        <v>0</v>
      </c>
      <c r="N2898">
        <v>0.71299715148759202</v>
      </c>
    </row>
    <row r="2899" spans="2:14" x14ac:dyDescent="0.25">
      <c r="B2899" t="s">
        <v>14</v>
      </c>
      <c r="C2899" s="1">
        <v>46037.999988425923</v>
      </c>
      <c r="D2899">
        <v>25.153273310356798</v>
      </c>
      <c r="E2899">
        <v>291379.789516758</v>
      </c>
      <c r="F2899" s="1">
        <v>46035.606319444443</v>
      </c>
      <c r="G2899">
        <v>52.873709816487299</v>
      </c>
      <c r="H2899" t="s">
        <v>29</v>
      </c>
      <c r="J2899" t="s">
        <v>16</v>
      </c>
      <c r="K2899">
        <v>486114.54266645201</v>
      </c>
      <c r="L2899" t="s">
        <v>17</v>
      </c>
      <c r="M2899">
        <v>-55218.494701115596</v>
      </c>
      <c r="N2899">
        <v>0.59940562139628994</v>
      </c>
    </row>
    <row r="2900" spans="2:14" x14ac:dyDescent="0.25">
      <c r="B2900" t="s">
        <v>14</v>
      </c>
      <c r="C2900" s="1">
        <v>46036.999988425923</v>
      </c>
      <c r="D2900">
        <v>25.153273310356798</v>
      </c>
      <c r="E2900">
        <v>291379.789516758</v>
      </c>
      <c r="F2900" s="1">
        <v>46035.606319444443</v>
      </c>
      <c r="G2900">
        <v>52.873709816487299</v>
      </c>
      <c r="H2900" t="s">
        <v>29</v>
      </c>
      <c r="J2900" t="s">
        <v>16</v>
      </c>
      <c r="K2900">
        <v>486114.54266645201</v>
      </c>
      <c r="L2900" t="s">
        <v>17</v>
      </c>
      <c r="M2900">
        <v>0</v>
      </c>
      <c r="N2900">
        <v>0.59940562139628994</v>
      </c>
    </row>
    <row r="2901" spans="2:14" x14ac:dyDescent="0.25">
      <c r="B2901" t="s">
        <v>14</v>
      </c>
      <c r="C2901" s="1">
        <v>46035.999988425923</v>
      </c>
      <c r="D2901">
        <v>25.153273310356798</v>
      </c>
      <c r="E2901">
        <v>291379.789516758</v>
      </c>
      <c r="F2901" s="1">
        <v>46035.606319444443</v>
      </c>
      <c r="G2901">
        <v>52.873709816487299</v>
      </c>
      <c r="H2901" t="s">
        <v>29</v>
      </c>
      <c r="J2901" t="s">
        <v>16</v>
      </c>
      <c r="K2901">
        <v>486114.54266645201</v>
      </c>
      <c r="L2901" t="s">
        <v>17</v>
      </c>
      <c r="M2901">
        <v>0</v>
      </c>
      <c r="N2901">
        <v>0.59940562139628994</v>
      </c>
    </row>
    <row r="2902" spans="2:14" x14ac:dyDescent="0.25">
      <c r="B2902" t="s">
        <v>14</v>
      </c>
      <c r="C2902" s="1">
        <v>46034.999988425923</v>
      </c>
      <c r="D2902">
        <v>25.153273310356798</v>
      </c>
      <c r="E2902">
        <v>327465.48124766699</v>
      </c>
      <c r="F2902" s="1">
        <v>46032.099108796298</v>
      </c>
      <c r="G2902">
        <v>52.873709816487299</v>
      </c>
      <c r="H2902" t="s">
        <v>29</v>
      </c>
      <c r="J2902" t="s">
        <v>16</v>
      </c>
      <c r="K2902">
        <v>486114.54266645201</v>
      </c>
      <c r="L2902" t="s">
        <v>17</v>
      </c>
      <c r="M2902">
        <v>36085.691730908897</v>
      </c>
      <c r="N2902">
        <v>0.67363852036074101</v>
      </c>
    </row>
    <row r="2903" spans="2:14" x14ac:dyDescent="0.25">
      <c r="B2903" t="s">
        <v>14</v>
      </c>
      <c r="C2903" s="1">
        <v>46033.999988425923</v>
      </c>
      <c r="D2903">
        <v>25.153273310356798</v>
      </c>
      <c r="E2903">
        <v>327465.48124766699</v>
      </c>
      <c r="F2903" s="1">
        <v>46032.099108796298</v>
      </c>
      <c r="G2903">
        <v>52.873709816487299</v>
      </c>
      <c r="H2903" t="s">
        <v>29</v>
      </c>
      <c r="J2903" t="s">
        <v>16</v>
      </c>
      <c r="K2903">
        <v>486114.54266645201</v>
      </c>
      <c r="L2903" t="s">
        <v>17</v>
      </c>
      <c r="M2903">
        <v>0</v>
      </c>
      <c r="N2903">
        <v>0.67363852036074101</v>
      </c>
    </row>
    <row r="2904" spans="2:14" x14ac:dyDescent="0.25">
      <c r="B2904" t="s">
        <v>14</v>
      </c>
      <c r="C2904" s="1">
        <v>46032.999988425923</v>
      </c>
      <c r="D2904">
        <v>25.153273310356798</v>
      </c>
      <c r="E2904">
        <v>327465.48124766699</v>
      </c>
      <c r="F2904" s="1">
        <v>46032.099108796298</v>
      </c>
      <c r="G2904">
        <v>52.873709816487299</v>
      </c>
      <c r="H2904" t="s">
        <v>29</v>
      </c>
      <c r="J2904" t="s">
        <v>16</v>
      </c>
      <c r="K2904">
        <v>486114.54266645201</v>
      </c>
      <c r="L2904" t="s">
        <v>17</v>
      </c>
      <c r="M2904">
        <v>0</v>
      </c>
      <c r="N2904">
        <v>0.67363852036074101</v>
      </c>
    </row>
    <row r="2905" spans="2:14" x14ac:dyDescent="0.25">
      <c r="B2905" t="s">
        <v>14</v>
      </c>
      <c r="C2905" s="1">
        <v>46031.999988425923</v>
      </c>
      <c r="D2905">
        <v>25.153273310356798</v>
      </c>
      <c r="E2905">
        <v>294804.39100661699</v>
      </c>
      <c r="F2905" s="1">
        <v>46029.605486111112</v>
      </c>
      <c r="G2905">
        <v>52.873709816487299</v>
      </c>
      <c r="H2905" t="s">
        <v>29</v>
      </c>
      <c r="J2905" t="s">
        <v>16</v>
      </c>
      <c r="K2905">
        <v>486114.54266645201</v>
      </c>
      <c r="L2905" t="s">
        <v>17</v>
      </c>
      <c r="M2905">
        <v>-32661.0902410503</v>
      </c>
      <c r="N2905">
        <v>0.60645046615874898</v>
      </c>
    </row>
    <row r="2906" spans="2:14" x14ac:dyDescent="0.25">
      <c r="B2906" t="s">
        <v>14</v>
      </c>
      <c r="C2906" s="1">
        <v>46030.999988425923</v>
      </c>
      <c r="D2906">
        <v>25.153273310356798</v>
      </c>
      <c r="E2906">
        <v>294804.39100661699</v>
      </c>
      <c r="F2906" s="1">
        <v>46029.605486111112</v>
      </c>
      <c r="G2906">
        <v>52.873709816487299</v>
      </c>
      <c r="H2906" t="s">
        <v>29</v>
      </c>
      <c r="J2906" t="s">
        <v>16</v>
      </c>
      <c r="K2906">
        <v>486114.54266645201</v>
      </c>
      <c r="L2906" t="s">
        <v>17</v>
      </c>
      <c r="M2906">
        <v>0</v>
      </c>
      <c r="N2906">
        <v>0.60645046615874898</v>
      </c>
    </row>
    <row r="2907" spans="2:14" x14ac:dyDescent="0.25">
      <c r="B2907" t="s">
        <v>14</v>
      </c>
      <c r="C2907" s="1">
        <v>46029.999988425923</v>
      </c>
      <c r="D2907">
        <v>25.153273310356798</v>
      </c>
      <c r="E2907">
        <v>294804.39100661699</v>
      </c>
      <c r="F2907" s="1">
        <v>46029.605486111112</v>
      </c>
      <c r="G2907">
        <v>52.873709816487299</v>
      </c>
      <c r="H2907" t="s">
        <v>29</v>
      </c>
      <c r="J2907" t="s">
        <v>16</v>
      </c>
      <c r="K2907">
        <v>486114.54266645201</v>
      </c>
      <c r="L2907" t="s">
        <v>17</v>
      </c>
      <c r="M2907">
        <v>0</v>
      </c>
      <c r="N2907">
        <v>0.60645046615874898</v>
      </c>
    </row>
    <row r="2908" spans="2:14" x14ac:dyDescent="0.25">
      <c r="B2908" t="s">
        <v>14</v>
      </c>
      <c r="C2908" s="1">
        <v>46028.999988425923</v>
      </c>
      <c r="D2908">
        <v>25.153273310356798</v>
      </c>
      <c r="E2908">
        <v>120165.20233714501</v>
      </c>
      <c r="F2908" s="1">
        <v>46026.09983796296</v>
      </c>
      <c r="G2908">
        <v>52.873709816487299</v>
      </c>
      <c r="H2908" t="s">
        <v>29</v>
      </c>
      <c r="J2908" t="s">
        <v>16</v>
      </c>
      <c r="K2908">
        <v>486114.54266645201</v>
      </c>
      <c r="L2908" t="s">
        <v>17</v>
      </c>
      <c r="M2908">
        <v>-174639.18866947101</v>
      </c>
      <c r="N2908">
        <v>0.24719524266443699</v>
      </c>
    </row>
    <row r="2909" spans="2:14" x14ac:dyDescent="0.25">
      <c r="B2909" t="s">
        <v>14</v>
      </c>
      <c r="C2909" s="1">
        <v>46027.999988425923</v>
      </c>
      <c r="D2909">
        <v>25.153273310356798</v>
      </c>
      <c r="E2909">
        <v>120165.20233714501</v>
      </c>
      <c r="F2909" s="1">
        <v>46026.09983796296</v>
      </c>
      <c r="G2909">
        <v>52.873709816487299</v>
      </c>
      <c r="H2909" t="s">
        <v>29</v>
      </c>
      <c r="J2909" t="s">
        <v>16</v>
      </c>
      <c r="K2909">
        <v>486114.54266645201</v>
      </c>
      <c r="L2909" t="s">
        <v>17</v>
      </c>
      <c r="M2909">
        <v>0</v>
      </c>
      <c r="N2909">
        <v>0.24719524266443699</v>
      </c>
    </row>
    <row r="2910" spans="2:14" x14ac:dyDescent="0.25">
      <c r="B2910" t="s">
        <v>14</v>
      </c>
      <c r="C2910" s="1">
        <v>46026.999988425923</v>
      </c>
      <c r="D2910">
        <v>25.153273310356798</v>
      </c>
      <c r="E2910">
        <v>120165.20233714501</v>
      </c>
      <c r="F2910" s="1">
        <v>46026.09983796296</v>
      </c>
      <c r="G2910">
        <v>52.873709816487299</v>
      </c>
      <c r="H2910" t="s">
        <v>29</v>
      </c>
      <c r="J2910" t="s">
        <v>16</v>
      </c>
      <c r="K2910">
        <v>486114.54266645201</v>
      </c>
      <c r="L2910" t="s">
        <v>17</v>
      </c>
      <c r="M2910">
        <v>0</v>
      </c>
      <c r="N2910">
        <v>0.24719524266443699</v>
      </c>
    </row>
    <row r="2911" spans="2:14" x14ac:dyDescent="0.25">
      <c r="B2911" t="s">
        <v>14</v>
      </c>
      <c r="C2911" s="1">
        <v>46025.999988425923</v>
      </c>
      <c r="D2911">
        <v>25.153273310356798</v>
      </c>
      <c r="E2911">
        <v>118670.050496756</v>
      </c>
      <c r="F2911" s="1">
        <v>46023.60633101852</v>
      </c>
      <c r="G2911">
        <v>52.873709816487299</v>
      </c>
      <c r="H2911" t="s">
        <v>29</v>
      </c>
      <c r="J2911" t="s">
        <v>16</v>
      </c>
      <c r="K2911">
        <v>486114.54266645201</v>
      </c>
      <c r="L2911" t="s">
        <v>17</v>
      </c>
      <c r="M2911">
        <v>-1495.1518403892901</v>
      </c>
      <c r="N2911">
        <v>0.24411952344775201</v>
      </c>
    </row>
    <row r="2912" spans="2:14" x14ac:dyDescent="0.25">
      <c r="B2912" t="s">
        <v>14</v>
      </c>
      <c r="C2912" s="1">
        <v>46024.999988425923</v>
      </c>
      <c r="D2912">
        <v>25.153273310356798</v>
      </c>
      <c r="E2912">
        <v>118670.050496756</v>
      </c>
      <c r="F2912" s="1">
        <v>46023.60633101852</v>
      </c>
      <c r="G2912">
        <v>52.873709816487299</v>
      </c>
      <c r="H2912" t="s">
        <v>29</v>
      </c>
      <c r="J2912" t="s">
        <v>16</v>
      </c>
      <c r="K2912">
        <v>486114.54266645201</v>
      </c>
      <c r="L2912" t="s">
        <v>17</v>
      </c>
      <c r="M2912">
        <v>0</v>
      </c>
      <c r="N2912">
        <v>0.24411952344775201</v>
      </c>
    </row>
    <row r="2913" spans="2:14" x14ac:dyDescent="0.25">
      <c r="B2913" t="s">
        <v>14</v>
      </c>
      <c r="C2913" s="1">
        <v>46023.999988425923</v>
      </c>
      <c r="D2913">
        <v>25.153273310356798</v>
      </c>
      <c r="E2913">
        <v>118670.050496756</v>
      </c>
      <c r="F2913" s="1">
        <v>46023.60633101852</v>
      </c>
      <c r="G2913">
        <v>52.873709816487299</v>
      </c>
      <c r="H2913" t="s">
        <v>29</v>
      </c>
      <c r="J2913" t="s">
        <v>16</v>
      </c>
      <c r="K2913">
        <v>486114.54266645201</v>
      </c>
      <c r="L2913" t="s">
        <v>17</v>
      </c>
      <c r="M2913">
        <v>0</v>
      </c>
      <c r="N2913">
        <v>0.24411952344775201</v>
      </c>
    </row>
    <row r="2914" spans="2:14" x14ac:dyDescent="0.25">
      <c r="B2914" t="s">
        <v>14</v>
      </c>
      <c r="C2914" s="1">
        <v>46246.999988425923</v>
      </c>
      <c r="D2914">
        <v>25.154513776839799</v>
      </c>
      <c r="E2914">
        <v>563633.63173412497</v>
      </c>
      <c r="F2914" s="1">
        <v>46246.605821759258</v>
      </c>
      <c r="G2914">
        <v>52.872672282217103</v>
      </c>
      <c r="H2914" t="s">
        <v>30</v>
      </c>
      <c r="J2914" t="s">
        <v>16</v>
      </c>
      <c r="K2914">
        <v>577007.90534456098</v>
      </c>
      <c r="L2914" t="s">
        <v>17</v>
      </c>
      <c r="M2914">
        <v>0</v>
      </c>
      <c r="N2914">
        <v>0.97682133383865799</v>
      </c>
    </row>
    <row r="2915" spans="2:14" x14ac:dyDescent="0.25">
      <c r="B2915" t="s">
        <v>14</v>
      </c>
      <c r="C2915" s="1">
        <v>46245.999988425923</v>
      </c>
      <c r="D2915">
        <v>25.154513776839799</v>
      </c>
      <c r="E2915">
        <v>72988.639630264996</v>
      </c>
      <c r="F2915" s="1">
        <v>46243.09915509259</v>
      </c>
      <c r="G2915">
        <v>52.872672282217103</v>
      </c>
      <c r="H2915" t="s">
        <v>30</v>
      </c>
      <c r="J2915" t="s">
        <v>16</v>
      </c>
      <c r="K2915">
        <v>577007.90534456098</v>
      </c>
      <c r="L2915" t="s">
        <v>17</v>
      </c>
      <c r="M2915">
        <v>-490644.99210385903</v>
      </c>
      <c r="N2915">
        <v>0.12649504270947501</v>
      </c>
    </row>
    <row r="2916" spans="2:14" x14ac:dyDescent="0.25">
      <c r="B2916" t="s">
        <v>14</v>
      </c>
      <c r="C2916" s="1">
        <v>46244.999988425923</v>
      </c>
      <c r="D2916">
        <v>25.154513776839799</v>
      </c>
      <c r="E2916">
        <v>72988.639630264996</v>
      </c>
      <c r="F2916" s="1">
        <v>46243.09915509259</v>
      </c>
      <c r="G2916">
        <v>52.872672282217103</v>
      </c>
      <c r="H2916" t="s">
        <v>30</v>
      </c>
      <c r="J2916" t="s">
        <v>16</v>
      </c>
      <c r="K2916">
        <v>577007.90534456098</v>
      </c>
      <c r="L2916" t="s">
        <v>17</v>
      </c>
      <c r="M2916">
        <v>0</v>
      </c>
      <c r="N2916">
        <v>0.12649504270947501</v>
      </c>
    </row>
    <row r="2917" spans="2:14" x14ac:dyDescent="0.25">
      <c r="B2917" t="s">
        <v>14</v>
      </c>
      <c r="C2917" s="1">
        <v>46243.999988425923</v>
      </c>
      <c r="D2917">
        <v>25.154513776839799</v>
      </c>
      <c r="E2917">
        <v>72988.639630264996</v>
      </c>
      <c r="F2917" s="1">
        <v>46243.09915509259</v>
      </c>
      <c r="G2917">
        <v>52.872672282217103</v>
      </c>
      <c r="H2917" t="s">
        <v>30</v>
      </c>
      <c r="J2917" t="s">
        <v>16</v>
      </c>
      <c r="K2917">
        <v>577007.90534456098</v>
      </c>
      <c r="L2917" t="s">
        <v>17</v>
      </c>
      <c r="M2917">
        <v>0</v>
      </c>
      <c r="N2917">
        <v>0.12649504270947501</v>
      </c>
    </row>
    <row r="2918" spans="2:14" x14ac:dyDescent="0.25">
      <c r="B2918" t="s">
        <v>14</v>
      </c>
      <c r="C2918" s="1">
        <v>46242.999988425923</v>
      </c>
      <c r="D2918">
        <v>25.154513776839799</v>
      </c>
      <c r="E2918">
        <v>85331.877683059996</v>
      </c>
      <c r="F2918" s="1">
        <v>46240.605520833335</v>
      </c>
      <c r="G2918">
        <v>52.872672282217103</v>
      </c>
      <c r="H2918" t="s">
        <v>30</v>
      </c>
      <c r="J2918" t="s">
        <v>16</v>
      </c>
      <c r="K2918">
        <v>577007.90534456098</v>
      </c>
      <c r="L2918" t="s">
        <v>17</v>
      </c>
      <c r="M2918">
        <v>12343.238052794901</v>
      </c>
      <c r="N2918">
        <v>0.14788684330434501</v>
      </c>
    </row>
    <row r="2919" spans="2:14" x14ac:dyDescent="0.25">
      <c r="B2919" t="s">
        <v>14</v>
      </c>
      <c r="C2919" s="1">
        <v>46241.999988425923</v>
      </c>
      <c r="D2919">
        <v>25.154513776839799</v>
      </c>
      <c r="E2919">
        <v>85331.877683059996</v>
      </c>
      <c r="F2919" s="1">
        <v>46240.605520833335</v>
      </c>
      <c r="G2919">
        <v>52.872672282217103</v>
      </c>
      <c r="H2919" t="s">
        <v>30</v>
      </c>
      <c r="J2919" t="s">
        <v>16</v>
      </c>
      <c r="K2919">
        <v>577007.90534456098</v>
      </c>
      <c r="L2919" t="s">
        <v>17</v>
      </c>
      <c r="M2919">
        <v>0</v>
      </c>
      <c r="N2919">
        <v>0.14788684330434501</v>
      </c>
    </row>
    <row r="2920" spans="2:14" x14ac:dyDescent="0.25">
      <c r="B2920" t="s">
        <v>14</v>
      </c>
      <c r="C2920" s="1">
        <v>46240.999988425923</v>
      </c>
      <c r="D2920">
        <v>25.154513776839799</v>
      </c>
      <c r="E2920">
        <v>85331.877683059996</v>
      </c>
      <c r="F2920" s="1">
        <v>46240.605520833335</v>
      </c>
      <c r="G2920">
        <v>52.872672282217103</v>
      </c>
      <c r="H2920" t="s">
        <v>30</v>
      </c>
      <c r="J2920" t="s">
        <v>16</v>
      </c>
      <c r="K2920">
        <v>577007.90534456098</v>
      </c>
      <c r="L2920" t="s">
        <v>17</v>
      </c>
      <c r="M2920">
        <v>0</v>
      </c>
      <c r="N2920">
        <v>0.14788684330434501</v>
      </c>
    </row>
    <row r="2921" spans="2:14" x14ac:dyDescent="0.25">
      <c r="B2921" t="s">
        <v>14</v>
      </c>
      <c r="C2921" s="1">
        <v>46239.999988425923</v>
      </c>
      <c r="D2921">
        <v>25.154513776839799</v>
      </c>
      <c r="E2921">
        <v>77100.850509790602</v>
      </c>
      <c r="F2921" s="1">
        <v>46237.099328703705</v>
      </c>
      <c r="G2921">
        <v>52.872672282217103</v>
      </c>
      <c r="H2921" t="s">
        <v>30</v>
      </c>
      <c r="J2921" t="s">
        <v>16</v>
      </c>
      <c r="K2921">
        <v>577007.90534456098</v>
      </c>
      <c r="L2921" t="s">
        <v>17</v>
      </c>
      <c r="M2921">
        <v>-8231.02717326936</v>
      </c>
      <c r="N2921">
        <v>0.133621827007291</v>
      </c>
    </row>
    <row r="2922" spans="2:14" x14ac:dyDescent="0.25">
      <c r="B2922" t="s">
        <v>14</v>
      </c>
      <c r="C2922" s="1">
        <v>46238.999988425923</v>
      </c>
      <c r="D2922">
        <v>25.154513776839799</v>
      </c>
      <c r="E2922">
        <v>77100.850509790602</v>
      </c>
      <c r="F2922" s="1">
        <v>46237.099328703705</v>
      </c>
      <c r="G2922">
        <v>52.872672282217103</v>
      </c>
      <c r="H2922" t="s">
        <v>30</v>
      </c>
      <c r="J2922" t="s">
        <v>16</v>
      </c>
      <c r="K2922">
        <v>577007.90534456098</v>
      </c>
      <c r="L2922" t="s">
        <v>17</v>
      </c>
      <c r="M2922">
        <v>0</v>
      </c>
      <c r="N2922">
        <v>0.133621827007291</v>
      </c>
    </row>
    <row r="2923" spans="2:14" x14ac:dyDescent="0.25">
      <c r="B2923" t="s">
        <v>14</v>
      </c>
      <c r="C2923" s="1">
        <v>46237.999988425923</v>
      </c>
      <c r="D2923">
        <v>25.154513776839799</v>
      </c>
      <c r="E2923">
        <v>77100.850509790602</v>
      </c>
      <c r="F2923" s="1">
        <v>46237.099328703705</v>
      </c>
      <c r="G2923">
        <v>52.872672282217103</v>
      </c>
      <c r="H2923" t="s">
        <v>30</v>
      </c>
      <c r="J2923" t="s">
        <v>16</v>
      </c>
      <c r="K2923">
        <v>577007.90534456098</v>
      </c>
      <c r="L2923" t="s">
        <v>17</v>
      </c>
      <c r="M2923">
        <v>0</v>
      </c>
      <c r="N2923">
        <v>0.133621827007291</v>
      </c>
    </row>
    <row r="2924" spans="2:14" x14ac:dyDescent="0.25">
      <c r="B2924" t="s">
        <v>14</v>
      </c>
      <c r="C2924" s="1">
        <v>46236.999988425923</v>
      </c>
      <c r="D2924">
        <v>25.154513776839799</v>
      </c>
      <c r="E2924">
        <v>436891.05411782803</v>
      </c>
      <c r="F2924" s="1">
        <v>46234.605810185189</v>
      </c>
      <c r="G2924">
        <v>52.872672282217103</v>
      </c>
      <c r="H2924" t="s">
        <v>30</v>
      </c>
      <c r="J2924" t="s">
        <v>16</v>
      </c>
      <c r="K2924">
        <v>577007.90534456098</v>
      </c>
      <c r="L2924" t="s">
        <v>17</v>
      </c>
      <c r="M2924">
        <v>359790.20360803697</v>
      </c>
      <c r="N2924">
        <v>0.75716649645716305</v>
      </c>
    </row>
    <row r="2925" spans="2:14" x14ac:dyDescent="0.25">
      <c r="B2925" t="s">
        <v>14</v>
      </c>
      <c r="C2925" s="1">
        <v>46235.999988425923</v>
      </c>
      <c r="D2925">
        <v>25.154513776839799</v>
      </c>
      <c r="E2925">
        <v>436891.05411782803</v>
      </c>
      <c r="F2925" s="1">
        <v>46234.605810185189</v>
      </c>
      <c r="G2925">
        <v>52.872672282217103</v>
      </c>
      <c r="H2925" t="s">
        <v>30</v>
      </c>
      <c r="J2925" t="s">
        <v>16</v>
      </c>
      <c r="K2925">
        <v>577007.90534456098</v>
      </c>
      <c r="L2925" t="s">
        <v>17</v>
      </c>
      <c r="M2925">
        <v>0</v>
      </c>
      <c r="N2925">
        <v>0.75716649645716305</v>
      </c>
    </row>
    <row r="2926" spans="2:14" x14ac:dyDescent="0.25">
      <c r="B2926" t="s">
        <v>14</v>
      </c>
      <c r="C2926" s="1">
        <v>46234.999988425923</v>
      </c>
      <c r="D2926">
        <v>25.154513776839799</v>
      </c>
      <c r="E2926">
        <v>436891.05411782803</v>
      </c>
      <c r="F2926" s="1">
        <v>46234.605810185189</v>
      </c>
      <c r="G2926">
        <v>52.872672282217103</v>
      </c>
      <c r="H2926" t="s">
        <v>30</v>
      </c>
      <c r="J2926" t="s">
        <v>16</v>
      </c>
      <c r="K2926">
        <v>577007.90534456098</v>
      </c>
      <c r="L2926" t="s">
        <v>17</v>
      </c>
      <c r="M2926">
        <v>0</v>
      </c>
      <c r="N2926">
        <v>0.75716649645716305</v>
      </c>
    </row>
    <row r="2927" spans="2:14" x14ac:dyDescent="0.25">
      <c r="B2927" t="s">
        <v>14</v>
      </c>
      <c r="C2927" s="1">
        <v>46233.999988425923</v>
      </c>
      <c r="D2927">
        <v>25.154513776839799</v>
      </c>
      <c r="E2927">
        <v>577007.90534456098</v>
      </c>
      <c r="F2927" s="1">
        <v>46231.09915509259</v>
      </c>
      <c r="G2927">
        <v>52.872672282217103</v>
      </c>
      <c r="H2927" t="s">
        <v>30</v>
      </c>
      <c r="J2927" t="s">
        <v>16</v>
      </c>
      <c r="K2927">
        <v>577007.90534456098</v>
      </c>
      <c r="L2927" t="s">
        <v>17</v>
      </c>
      <c r="M2927">
        <v>140116.85122673199</v>
      </c>
      <c r="N2927">
        <v>1</v>
      </c>
    </row>
    <row r="2928" spans="2:14" x14ac:dyDescent="0.25">
      <c r="B2928" t="s">
        <v>14</v>
      </c>
      <c r="C2928" s="1">
        <v>46232.999988425923</v>
      </c>
      <c r="D2928">
        <v>25.154513776839799</v>
      </c>
      <c r="E2928">
        <v>577007.90534456098</v>
      </c>
      <c r="F2928" s="1">
        <v>46231.09915509259</v>
      </c>
      <c r="G2928">
        <v>52.872672282217103</v>
      </c>
      <c r="H2928" t="s">
        <v>30</v>
      </c>
      <c r="J2928" t="s">
        <v>16</v>
      </c>
      <c r="K2928">
        <v>577007.90534456098</v>
      </c>
      <c r="L2928" t="s">
        <v>17</v>
      </c>
      <c r="M2928">
        <v>0</v>
      </c>
      <c r="N2928">
        <v>1</v>
      </c>
    </row>
    <row r="2929" spans="2:14" x14ac:dyDescent="0.25">
      <c r="B2929" t="s">
        <v>14</v>
      </c>
      <c r="C2929" s="1">
        <v>46231.999988425923</v>
      </c>
      <c r="D2929">
        <v>25.154513776839799</v>
      </c>
      <c r="E2929">
        <v>577007.90534456098</v>
      </c>
      <c r="F2929" s="1">
        <v>46231.09915509259</v>
      </c>
      <c r="G2929">
        <v>52.872672282217103</v>
      </c>
      <c r="H2929" t="s">
        <v>30</v>
      </c>
      <c r="J2929" t="s">
        <v>16</v>
      </c>
      <c r="K2929">
        <v>577007.90534456098</v>
      </c>
      <c r="L2929" t="s">
        <v>17</v>
      </c>
      <c r="M2929">
        <v>0</v>
      </c>
      <c r="N2929">
        <v>1</v>
      </c>
    </row>
    <row r="2930" spans="2:14" x14ac:dyDescent="0.25">
      <c r="B2930" t="s">
        <v>14</v>
      </c>
      <c r="C2930" s="1">
        <v>46230.999988425923</v>
      </c>
      <c r="D2930">
        <v>25.154513776839799</v>
      </c>
      <c r="E2930">
        <v>60235.367572487703</v>
      </c>
      <c r="F2930" s="1">
        <v>46228.605520833335</v>
      </c>
      <c r="G2930">
        <v>52.872672282217103</v>
      </c>
      <c r="H2930" t="s">
        <v>30</v>
      </c>
      <c r="J2930" t="s">
        <v>16</v>
      </c>
      <c r="K2930">
        <v>577007.90534456098</v>
      </c>
      <c r="L2930" t="s">
        <v>17</v>
      </c>
      <c r="M2930">
        <v>-516772.537772073</v>
      </c>
      <c r="N2930">
        <v>0.104392620992806</v>
      </c>
    </row>
    <row r="2931" spans="2:14" x14ac:dyDescent="0.25">
      <c r="B2931" t="s">
        <v>14</v>
      </c>
      <c r="C2931" s="1">
        <v>46229.999988425923</v>
      </c>
      <c r="D2931">
        <v>25.154513776839799</v>
      </c>
      <c r="E2931">
        <v>60235.367572487703</v>
      </c>
      <c r="F2931" s="1">
        <v>46228.605520833335</v>
      </c>
      <c r="G2931">
        <v>52.872672282217103</v>
      </c>
      <c r="H2931" t="s">
        <v>30</v>
      </c>
      <c r="J2931" t="s">
        <v>16</v>
      </c>
      <c r="K2931">
        <v>577007.90534456098</v>
      </c>
      <c r="L2931" t="s">
        <v>17</v>
      </c>
      <c r="M2931">
        <v>0</v>
      </c>
      <c r="N2931">
        <v>0.104392620992806</v>
      </c>
    </row>
    <row r="2932" spans="2:14" x14ac:dyDescent="0.25">
      <c r="B2932" t="s">
        <v>14</v>
      </c>
      <c r="C2932" s="1">
        <v>46228.999988425923</v>
      </c>
      <c r="D2932">
        <v>25.154513776839799</v>
      </c>
      <c r="E2932">
        <v>60235.367572487703</v>
      </c>
      <c r="F2932" s="1">
        <v>46228.605520833335</v>
      </c>
      <c r="G2932">
        <v>52.872672282217103</v>
      </c>
      <c r="H2932" t="s">
        <v>30</v>
      </c>
      <c r="J2932" t="s">
        <v>16</v>
      </c>
      <c r="K2932">
        <v>577007.90534456098</v>
      </c>
      <c r="L2932" t="s">
        <v>17</v>
      </c>
      <c r="M2932">
        <v>0</v>
      </c>
      <c r="N2932">
        <v>0.104392620992806</v>
      </c>
    </row>
    <row r="2933" spans="2:14" x14ac:dyDescent="0.25">
      <c r="B2933" t="s">
        <v>14</v>
      </c>
      <c r="C2933" s="1">
        <v>46227.999988425923</v>
      </c>
      <c r="D2933">
        <v>25.154513776839799</v>
      </c>
      <c r="E2933">
        <v>70798.906633995997</v>
      </c>
      <c r="F2933" s="1">
        <v>46225.099317129629</v>
      </c>
      <c r="G2933">
        <v>52.872672282217103</v>
      </c>
      <c r="H2933" t="s">
        <v>30</v>
      </c>
      <c r="J2933" t="s">
        <v>16</v>
      </c>
      <c r="K2933">
        <v>577007.90534456098</v>
      </c>
      <c r="L2933" t="s">
        <v>17</v>
      </c>
      <c r="M2933">
        <v>10563.5390615083</v>
      </c>
      <c r="N2933">
        <v>0.122700063514239</v>
      </c>
    </row>
    <row r="2934" spans="2:14" x14ac:dyDescent="0.25">
      <c r="B2934" t="s">
        <v>14</v>
      </c>
      <c r="C2934" s="1">
        <v>46226.999988425923</v>
      </c>
      <c r="D2934">
        <v>25.154513776839799</v>
      </c>
      <c r="E2934">
        <v>70798.906633995997</v>
      </c>
      <c r="F2934" s="1">
        <v>46225.099317129629</v>
      </c>
      <c r="G2934">
        <v>52.872672282217103</v>
      </c>
      <c r="H2934" t="s">
        <v>30</v>
      </c>
      <c r="J2934" t="s">
        <v>16</v>
      </c>
      <c r="K2934">
        <v>577007.90534456098</v>
      </c>
      <c r="L2934" t="s">
        <v>17</v>
      </c>
      <c r="M2934">
        <v>0</v>
      </c>
      <c r="N2934">
        <v>0.122700063514239</v>
      </c>
    </row>
    <row r="2935" spans="2:14" x14ac:dyDescent="0.25">
      <c r="B2935" t="s">
        <v>14</v>
      </c>
      <c r="C2935" s="1">
        <v>46225.999988425923</v>
      </c>
      <c r="D2935">
        <v>25.154513776839799</v>
      </c>
      <c r="E2935">
        <v>70798.906633995997</v>
      </c>
      <c r="F2935" s="1">
        <v>46225.099317129629</v>
      </c>
      <c r="G2935">
        <v>52.872672282217103</v>
      </c>
      <c r="H2935" t="s">
        <v>30</v>
      </c>
      <c r="J2935" t="s">
        <v>16</v>
      </c>
      <c r="K2935">
        <v>577007.90534456098</v>
      </c>
      <c r="L2935" t="s">
        <v>17</v>
      </c>
      <c r="M2935">
        <v>0</v>
      </c>
      <c r="N2935">
        <v>0.122700063514239</v>
      </c>
    </row>
    <row r="2936" spans="2:14" x14ac:dyDescent="0.25">
      <c r="B2936" t="s">
        <v>14</v>
      </c>
      <c r="C2936" s="1">
        <v>46224.999988425923</v>
      </c>
      <c r="D2936">
        <v>25.154513776839799</v>
      </c>
      <c r="E2936">
        <v>577007.90534456098</v>
      </c>
      <c r="F2936" s="1">
        <v>46222.605810185189</v>
      </c>
      <c r="G2936">
        <v>52.872672282217103</v>
      </c>
      <c r="H2936" t="s">
        <v>30</v>
      </c>
      <c r="J2936" t="s">
        <v>16</v>
      </c>
      <c r="K2936">
        <v>577007.90534456098</v>
      </c>
      <c r="L2936" t="s">
        <v>17</v>
      </c>
      <c r="M2936">
        <v>506208.99871056498</v>
      </c>
      <c r="N2936">
        <v>1</v>
      </c>
    </row>
    <row r="2937" spans="2:14" x14ac:dyDescent="0.25">
      <c r="B2937" t="s">
        <v>14</v>
      </c>
      <c r="C2937" s="1">
        <v>46223.999988425923</v>
      </c>
      <c r="D2937">
        <v>25.154513776839799</v>
      </c>
      <c r="E2937">
        <v>577007.90534456098</v>
      </c>
      <c r="F2937" s="1">
        <v>46222.605810185189</v>
      </c>
      <c r="G2937">
        <v>52.872672282217103</v>
      </c>
      <c r="H2937" t="s">
        <v>30</v>
      </c>
      <c r="J2937" t="s">
        <v>16</v>
      </c>
      <c r="K2937">
        <v>577007.90534456098</v>
      </c>
      <c r="L2937" t="s">
        <v>17</v>
      </c>
      <c r="M2937">
        <v>0</v>
      </c>
      <c r="N2937">
        <v>1</v>
      </c>
    </row>
    <row r="2938" spans="2:14" x14ac:dyDescent="0.25">
      <c r="B2938" t="s">
        <v>14</v>
      </c>
      <c r="C2938" s="1">
        <v>46222.999988425923</v>
      </c>
      <c r="D2938">
        <v>25.154513776839799</v>
      </c>
      <c r="E2938">
        <v>577007.90534456098</v>
      </c>
      <c r="F2938" s="1">
        <v>46222.605810185189</v>
      </c>
      <c r="G2938">
        <v>52.872672282217103</v>
      </c>
      <c r="H2938" t="s">
        <v>30</v>
      </c>
      <c r="J2938" t="s">
        <v>16</v>
      </c>
      <c r="K2938">
        <v>577007.90534456098</v>
      </c>
      <c r="L2938" t="s">
        <v>17</v>
      </c>
      <c r="M2938">
        <v>0</v>
      </c>
      <c r="N2938">
        <v>1</v>
      </c>
    </row>
    <row r="2939" spans="2:14" x14ac:dyDescent="0.25">
      <c r="B2939" t="s">
        <v>14</v>
      </c>
      <c r="C2939" s="1">
        <v>46221.999988425923</v>
      </c>
      <c r="D2939">
        <v>25.154513776839799</v>
      </c>
      <c r="E2939">
        <v>577007.90534456098</v>
      </c>
      <c r="F2939" s="1">
        <v>46219.099143518521</v>
      </c>
      <c r="G2939">
        <v>52.872672282217103</v>
      </c>
      <c r="H2939" t="s">
        <v>30</v>
      </c>
      <c r="J2939" t="s">
        <v>16</v>
      </c>
      <c r="K2939">
        <v>577007.90534456098</v>
      </c>
      <c r="L2939" t="s">
        <v>17</v>
      </c>
      <c r="M2939">
        <v>0</v>
      </c>
      <c r="N2939">
        <v>1</v>
      </c>
    </row>
    <row r="2940" spans="2:14" x14ac:dyDescent="0.25">
      <c r="B2940" t="s">
        <v>14</v>
      </c>
      <c r="C2940" s="1">
        <v>46220.999988425923</v>
      </c>
      <c r="D2940">
        <v>25.154513776839799</v>
      </c>
      <c r="E2940">
        <v>577007.90534456098</v>
      </c>
      <c r="F2940" s="1">
        <v>46219.099143518521</v>
      </c>
      <c r="G2940">
        <v>52.872672282217103</v>
      </c>
      <c r="H2940" t="s">
        <v>30</v>
      </c>
      <c r="J2940" t="s">
        <v>16</v>
      </c>
      <c r="K2940">
        <v>577007.90534456098</v>
      </c>
      <c r="L2940" t="s">
        <v>17</v>
      </c>
      <c r="M2940">
        <v>0</v>
      </c>
      <c r="N2940">
        <v>1</v>
      </c>
    </row>
    <row r="2941" spans="2:14" x14ac:dyDescent="0.25">
      <c r="B2941" t="s">
        <v>14</v>
      </c>
      <c r="C2941" s="1">
        <v>46219.999988425923</v>
      </c>
      <c r="D2941">
        <v>25.154513776839799</v>
      </c>
      <c r="E2941">
        <v>577007.90534456098</v>
      </c>
      <c r="F2941" s="1">
        <v>46219.099143518521</v>
      </c>
      <c r="G2941">
        <v>52.872672282217103</v>
      </c>
      <c r="H2941" t="s">
        <v>30</v>
      </c>
      <c r="J2941" t="s">
        <v>16</v>
      </c>
      <c r="K2941">
        <v>577007.90534456098</v>
      </c>
      <c r="L2941" t="s">
        <v>17</v>
      </c>
      <c r="M2941">
        <v>0</v>
      </c>
      <c r="N2941">
        <v>1</v>
      </c>
    </row>
    <row r="2942" spans="2:14" x14ac:dyDescent="0.25">
      <c r="B2942" t="s">
        <v>14</v>
      </c>
      <c r="C2942" s="1">
        <v>46218.999988425923</v>
      </c>
      <c r="D2942">
        <v>25.154513776839799</v>
      </c>
      <c r="E2942">
        <v>66179.277458117605</v>
      </c>
      <c r="F2942" s="1">
        <v>46216.605509259258</v>
      </c>
      <c r="G2942">
        <v>52.872672282217103</v>
      </c>
      <c r="H2942" t="s">
        <v>30</v>
      </c>
      <c r="J2942" t="s">
        <v>16</v>
      </c>
      <c r="K2942">
        <v>577007.90534456098</v>
      </c>
      <c r="L2942" t="s">
        <v>17</v>
      </c>
      <c r="M2942">
        <v>-510828.62788644299</v>
      </c>
      <c r="N2942">
        <v>0.114693883472183</v>
      </c>
    </row>
    <row r="2943" spans="2:14" x14ac:dyDescent="0.25">
      <c r="B2943" t="s">
        <v>14</v>
      </c>
      <c r="C2943" s="1">
        <v>46217.999988425923</v>
      </c>
      <c r="D2943">
        <v>25.154513776839799</v>
      </c>
      <c r="E2943">
        <v>66179.277458117605</v>
      </c>
      <c r="F2943" s="1">
        <v>46216.605509259258</v>
      </c>
      <c r="G2943">
        <v>52.872672282217103</v>
      </c>
      <c r="H2943" t="s">
        <v>30</v>
      </c>
      <c r="J2943" t="s">
        <v>16</v>
      </c>
      <c r="K2943">
        <v>577007.90534456098</v>
      </c>
      <c r="L2943" t="s">
        <v>17</v>
      </c>
      <c r="M2943">
        <v>0</v>
      </c>
      <c r="N2943">
        <v>0.114693883472183</v>
      </c>
    </row>
    <row r="2944" spans="2:14" x14ac:dyDescent="0.25">
      <c r="B2944" t="s">
        <v>14</v>
      </c>
      <c r="C2944" s="1">
        <v>46216.999988425923</v>
      </c>
      <c r="D2944">
        <v>25.154513776839799</v>
      </c>
      <c r="E2944">
        <v>66179.277458117605</v>
      </c>
      <c r="F2944" s="1">
        <v>46216.605509259258</v>
      </c>
      <c r="G2944">
        <v>52.872672282217103</v>
      </c>
      <c r="H2944" t="s">
        <v>30</v>
      </c>
      <c r="J2944" t="s">
        <v>16</v>
      </c>
      <c r="K2944">
        <v>577007.90534456098</v>
      </c>
      <c r="L2944" t="s">
        <v>17</v>
      </c>
      <c r="M2944">
        <v>0</v>
      </c>
      <c r="N2944">
        <v>0.114693883472183</v>
      </c>
    </row>
    <row r="2945" spans="2:14" x14ac:dyDescent="0.25">
      <c r="B2945" t="s">
        <v>14</v>
      </c>
      <c r="C2945" s="1">
        <v>46215.999988425923</v>
      </c>
      <c r="D2945">
        <v>25.154513776839799</v>
      </c>
      <c r="E2945">
        <v>577007.90534456098</v>
      </c>
      <c r="F2945" s="1">
        <v>46213.099305555559</v>
      </c>
      <c r="G2945">
        <v>52.872672282217103</v>
      </c>
      <c r="H2945" t="s">
        <v>30</v>
      </c>
      <c r="J2945" t="s">
        <v>16</v>
      </c>
      <c r="K2945">
        <v>577007.90534456098</v>
      </c>
      <c r="L2945" t="s">
        <v>17</v>
      </c>
      <c r="M2945">
        <v>510828.62788644299</v>
      </c>
      <c r="N2945">
        <v>1</v>
      </c>
    </row>
    <row r="2946" spans="2:14" x14ac:dyDescent="0.25">
      <c r="B2946" t="s">
        <v>14</v>
      </c>
      <c r="C2946" s="1">
        <v>46214.999988425923</v>
      </c>
      <c r="D2946">
        <v>25.154513776839799</v>
      </c>
      <c r="E2946">
        <v>577007.90534456098</v>
      </c>
      <c r="F2946" s="1">
        <v>46213.099305555559</v>
      </c>
      <c r="G2946">
        <v>52.872672282217103</v>
      </c>
      <c r="H2946" t="s">
        <v>30</v>
      </c>
      <c r="J2946" t="s">
        <v>16</v>
      </c>
      <c r="K2946">
        <v>577007.90534456098</v>
      </c>
      <c r="L2946" t="s">
        <v>17</v>
      </c>
      <c r="M2946">
        <v>0</v>
      </c>
      <c r="N2946">
        <v>1</v>
      </c>
    </row>
    <row r="2947" spans="2:14" x14ac:dyDescent="0.25">
      <c r="B2947" t="s">
        <v>14</v>
      </c>
      <c r="C2947" s="1">
        <v>46213.999988425923</v>
      </c>
      <c r="D2947">
        <v>25.154513776839799</v>
      </c>
      <c r="E2947">
        <v>577007.90534456098</v>
      </c>
      <c r="F2947" s="1">
        <v>46213.099305555559</v>
      </c>
      <c r="G2947">
        <v>52.872672282217103</v>
      </c>
      <c r="H2947" t="s">
        <v>30</v>
      </c>
      <c r="J2947" t="s">
        <v>16</v>
      </c>
      <c r="K2947">
        <v>577007.90534456098</v>
      </c>
      <c r="L2947" t="s">
        <v>17</v>
      </c>
      <c r="M2947">
        <v>0</v>
      </c>
      <c r="N2947">
        <v>1</v>
      </c>
    </row>
    <row r="2948" spans="2:14" x14ac:dyDescent="0.25">
      <c r="B2948" t="s">
        <v>14</v>
      </c>
      <c r="C2948" s="1">
        <v>46212.999988425923</v>
      </c>
      <c r="D2948">
        <v>25.154513776839799</v>
      </c>
      <c r="E2948">
        <v>127315.91290828399</v>
      </c>
      <c r="F2948" s="1">
        <v>46210.605798611112</v>
      </c>
      <c r="G2948">
        <v>52.872672282217103</v>
      </c>
      <c r="H2948" t="s">
        <v>30</v>
      </c>
      <c r="J2948" t="s">
        <v>16</v>
      </c>
      <c r="K2948">
        <v>577007.90534456098</v>
      </c>
      <c r="L2948" t="s">
        <v>17</v>
      </c>
      <c r="M2948">
        <v>-449691.99243627599</v>
      </c>
      <c r="N2948">
        <v>0.22064847245421701</v>
      </c>
    </row>
    <row r="2949" spans="2:14" x14ac:dyDescent="0.25">
      <c r="B2949" t="s">
        <v>14</v>
      </c>
      <c r="C2949" s="1">
        <v>46211.999988425923</v>
      </c>
      <c r="D2949">
        <v>25.154513776839799</v>
      </c>
      <c r="E2949">
        <v>127315.91290828399</v>
      </c>
      <c r="F2949" s="1">
        <v>46210.605798611112</v>
      </c>
      <c r="G2949">
        <v>52.872672282217103</v>
      </c>
      <c r="H2949" t="s">
        <v>30</v>
      </c>
      <c r="J2949" t="s">
        <v>16</v>
      </c>
      <c r="K2949">
        <v>577007.90534456098</v>
      </c>
      <c r="L2949" t="s">
        <v>17</v>
      </c>
      <c r="M2949">
        <v>0</v>
      </c>
      <c r="N2949">
        <v>0.22064847245421701</v>
      </c>
    </row>
    <row r="2950" spans="2:14" x14ac:dyDescent="0.25">
      <c r="B2950" t="s">
        <v>14</v>
      </c>
      <c r="C2950" s="1">
        <v>46210.999988425923</v>
      </c>
      <c r="D2950">
        <v>25.154513776839799</v>
      </c>
      <c r="E2950">
        <v>127315.91290828399</v>
      </c>
      <c r="F2950" s="1">
        <v>46210.605798611112</v>
      </c>
      <c r="G2950">
        <v>52.872672282217103</v>
      </c>
      <c r="H2950" t="s">
        <v>30</v>
      </c>
      <c r="J2950" t="s">
        <v>16</v>
      </c>
      <c r="K2950">
        <v>577007.90534456098</v>
      </c>
      <c r="L2950" t="s">
        <v>17</v>
      </c>
      <c r="M2950">
        <v>0</v>
      </c>
      <c r="N2950">
        <v>0.22064847245421701</v>
      </c>
    </row>
    <row r="2951" spans="2:14" x14ac:dyDescent="0.25">
      <c r="B2951" t="s">
        <v>14</v>
      </c>
      <c r="C2951" s="1">
        <v>46209.999988425923</v>
      </c>
      <c r="D2951">
        <v>25.154513776839799</v>
      </c>
      <c r="E2951">
        <v>243759.76257853099</v>
      </c>
      <c r="F2951" s="1">
        <v>46207.099131944444</v>
      </c>
      <c r="G2951">
        <v>52.872672282217103</v>
      </c>
      <c r="H2951" t="s">
        <v>30</v>
      </c>
      <c r="J2951" t="s">
        <v>16</v>
      </c>
      <c r="K2951">
        <v>577007.90534456098</v>
      </c>
      <c r="L2951" t="s">
        <v>17</v>
      </c>
      <c r="M2951">
        <v>116443.849670246</v>
      </c>
      <c r="N2951">
        <v>0.42245480576729599</v>
      </c>
    </row>
    <row r="2952" spans="2:14" x14ac:dyDescent="0.25">
      <c r="B2952" t="s">
        <v>14</v>
      </c>
      <c r="C2952" s="1">
        <v>46208.999988425923</v>
      </c>
      <c r="D2952">
        <v>25.154513776839799</v>
      </c>
      <c r="E2952">
        <v>243759.76257853099</v>
      </c>
      <c r="F2952" s="1">
        <v>46207.099131944444</v>
      </c>
      <c r="G2952">
        <v>52.872672282217103</v>
      </c>
      <c r="H2952" t="s">
        <v>30</v>
      </c>
      <c r="J2952" t="s">
        <v>16</v>
      </c>
      <c r="K2952">
        <v>577007.90534456098</v>
      </c>
      <c r="L2952" t="s">
        <v>17</v>
      </c>
      <c r="M2952">
        <v>0</v>
      </c>
      <c r="N2952">
        <v>0.42245480576729599</v>
      </c>
    </row>
    <row r="2953" spans="2:14" x14ac:dyDescent="0.25">
      <c r="B2953" t="s">
        <v>14</v>
      </c>
      <c r="C2953" s="1">
        <v>46207.999988425923</v>
      </c>
      <c r="D2953">
        <v>25.154513776839799</v>
      </c>
      <c r="E2953">
        <v>243759.76257853099</v>
      </c>
      <c r="F2953" s="1">
        <v>46207.099131944444</v>
      </c>
      <c r="G2953">
        <v>52.872672282217103</v>
      </c>
      <c r="H2953" t="s">
        <v>30</v>
      </c>
      <c r="J2953" t="s">
        <v>16</v>
      </c>
      <c r="K2953">
        <v>577007.90534456098</v>
      </c>
      <c r="L2953" t="s">
        <v>17</v>
      </c>
      <c r="M2953">
        <v>0</v>
      </c>
      <c r="N2953">
        <v>0.42245480576729599</v>
      </c>
    </row>
    <row r="2954" spans="2:14" x14ac:dyDescent="0.25">
      <c r="B2954" t="s">
        <v>14</v>
      </c>
      <c r="C2954" s="1">
        <v>46206.999988425923</v>
      </c>
      <c r="D2954">
        <v>25.154513776839799</v>
      </c>
      <c r="E2954">
        <v>39873.4017151398</v>
      </c>
      <c r="F2954" s="1">
        <v>46204.605509259258</v>
      </c>
      <c r="G2954">
        <v>52.872672282217103</v>
      </c>
      <c r="H2954" t="s">
        <v>30</v>
      </c>
      <c r="J2954" t="s">
        <v>16</v>
      </c>
      <c r="K2954">
        <v>577007.90534456098</v>
      </c>
      <c r="L2954" t="s">
        <v>17</v>
      </c>
      <c r="M2954">
        <v>-203886.36086339099</v>
      </c>
      <c r="N2954">
        <v>6.9103735574176206E-2</v>
      </c>
    </row>
    <row r="2955" spans="2:14" x14ac:dyDescent="0.25">
      <c r="B2955" t="s">
        <v>14</v>
      </c>
      <c r="C2955" s="1">
        <v>46205.999988425923</v>
      </c>
      <c r="D2955">
        <v>25.154513776839799</v>
      </c>
      <c r="E2955">
        <v>39873.4017151398</v>
      </c>
      <c r="F2955" s="1">
        <v>46204.605509259258</v>
      </c>
      <c r="G2955">
        <v>52.872672282217103</v>
      </c>
      <c r="H2955" t="s">
        <v>30</v>
      </c>
      <c r="J2955" t="s">
        <v>16</v>
      </c>
      <c r="K2955">
        <v>577007.90534456098</v>
      </c>
      <c r="L2955" t="s">
        <v>17</v>
      </c>
      <c r="M2955">
        <v>0</v>
      </c>
      <c r="N2955">
        <v>6.9103735574176206E-2</v>
      </c>
    </row>
    <row r="2956" spans="2:14" x14ac:dyDescent="0.25">
      <c r="B2956" t="s">
        <v>14</v>
      </c>
      <c r="C2956" s="1">
        <v>46204.999988425923</v>
      </c>
      <c r="D2956">
        <v>25.154513776839799</v>
      </c>
      <c r="E2956">
        <v>39873.4017151398</v>
      </c>
      <c r="F2956" s="1">
        <v>46204.605509259258</v>
      </c>
      <c r="G2956">
        <v>52.872672282217103</v>
      </c>
      <c r="H2956" t="s">
        <v>30</v>
      </c>
      <c r="J2956" t="s">
        <v>16</v>
      </c>
      <c r="K2956">
        <v>577007.90534456098</v>
      </c>
      <c r="L2956" t="s">
        <v>17</v>
      </c>
      <c r="M2956">
        <v>0</v>
      </c>
      <c r="N2956">
        <v>6.9103735574176206E-2</v>
      </c>
    </row>
    <row r="2957" spans="2:14" x14ac:dyDescent="0.25">
      <c r="B2957" t="s">
        <v>14</v>
      </c>
      <c r="C2957" s="1">
        <v>46203.999988425923</v>
      </c>
      <c r="D2957">
        <v>25.154513776839799</v>
      </c>
      <c r="E2957">
        <v>573577.250300757</v>
      </c>
      <c r="F2957" s="1">
        <v>46201.099305555559</v>
      </c>
      <c r="G2957">
        <v>52.872672282217103</v>
      </c>
      <c r="H2957" t="s">
        <v>30</v>
      </c>
      <c r="J2957" t="s">
        <v>16</v>
      </c>
      <c r="K2957">
        <v>577007.90534456098</v>
      </c>
      <c r="L2957" t="s">
        <v>17</v>
      </c>
      <c r="M2957">
        <v>533703.84858561703</v>
      </c>
      <c r="N2957">
        <v>0.99405440547343005</v>
      </c>
    </row>
    <row r="2958" spans="2:14" x14ac:dyDescent="0.25">
      <c r="B2958" t="s">
        <v>14</v>
      </c>
      <c r="C2958" s="1">
        <v>46202.999988425923</v>
      </c>
      <c r="D2958">
        <v>25.154513776839799</v>
      </c>
      <c r="E2958">
        <v>573577.250300757</v>
      </c>
      <c r="F2958" s="1">
        <v>46201.099305555559</v>
      </c>
      <c r="G2958">
        <v>52.872672282217103</v>
      </c>
      <c r="H2958" t="s">
        <v>30</v>
      </c>
      <c r="J2958" t="s">
        <v>16</v>
      </c>
      <c r="K2958">
        <v>577007.90534456098</v>
      </c>
      <c r="L2958" t="s">
        <v>17</v>
      </c>
      <c r="M2958">
        <v>0</v>
      </c>
      <c r="N2958">
        <v>0.99405440547343005</v>
      </c>
    </row>
    <row r="2959" spans="2:14" x14ac:dyDescent="0.25">
      <c r="B2959" t="s">
        <v>14</v>
      </c>
      <c r="C2959" s="1">
        <v>46201.999988425923</v>
      </c>
      <c r="D2959">
        <v>25.154513776839799</v>
      </c>
      <c r="E2959">
        <v>573577.250300757</v>
      </c>
      <c r="F2959" s="1">
        <v>46201.099305555559</v>
      </c>
      <c r="G2959">
        <v>52.872672282217103</v>
      </c>
      <c r="H2959" t="s">
        <v>30</v>
      </c>
      <c r="J2959" t="s">
        <v>16</v>
      </c>
      <c r="K2959">
        <v>577007.90534456098</v>
      </c>
      <c r="L2959" t="s">
        <v>17</v>
      </c>
      <c r="M2959">
        <v>0</v>
      </c>
      <c r="N2959">
        <v>0.99405440547343005</v>
      </c>
    </row>
    <row r="2960" spans="2:14" x14ac:dyDescent="0.25">
      <c r="B2960" t="s">
        <v>14</v>
      </c>
      <c r="C2960" s="1">
        <v>46200.999988425923</v>
      </c>
      <c r="D2960">
        <v>25.154513776839799</v>
      </c>
      <c r="E2960">
        <v>58158.1615183904</v>
      </c>
      <c r="F2960" s="1">
        <v>46198.605787037035</v>
      </c>
      <c r="G2960">
        <v>52.872672282217103</v>
      </c>
      <c r="H2960" t="s">
        <v>30</v>
      </c>
      <c r="J2960" t="s">
        <v>16</v>
      </c>
      <c r="K2960">
        <v>577007.90534456098</v>
      </c>
      <c r="L2960" t="s">
        <v>17</v>
      </c>
      <c r="M2960">
        <v>-515419.08878236602</v>
      </c>
      <c r="N2960">
        <v>0.100792659822678</v>
      </c>
    </row>
    <row r="2961" spans="2:14" x14ac:dyDescent="0.25">
      <c r="B2961" t="s">
        <v>14</v>
      </c>
      <c r="C2961" s="1">
        <v>46199.999988425923</v>
      </c>
      <c r="D2961">
        <v>25.154513776839799</v>
      </c>
      <c r="E2961">
        <v>58158.1615183904</v>
      </c>
      <c r="F2961" s="1">
        <v>46198.605787037035</v>
      </c>
      <c r="G2961">
        <v>52.872672282217103</v>
      </c>
      <c r="H2961" t="s">
        <v>30</v>
      </c>
      <c r="J2961" t="s">
        <v>16</v>
      </c>
      <c r="K2961">
        <v>577007.90534456098</v>
      </c>
      <c r="L2961" t="s">
        <v>17</v>
      </c>
      <c r="M2961">
        <v>0</v>
      </c>
      <c r="N2961">
        <v>0.100792659822678</v>
      </c>
    </row>
    <row r="2962" spans="2:14" x14ac:dyDescent="0.25">
      <c r="B2962" t="s">
        <v>14</v>
      </c>
      <c r="C2962" s="1">
        <v>46198.999988425923</v>
      </c>
      <c r="D2962">
        <v>25.154513776839799</v>
      </c>
      <c r="E2962">
        <v>58158.1615183904</v>
      </c>
      <c r="F2962" s="1">
        <v>46198.605787037035</v>
      </c>
      <c r="G2962">
        <v>52.872672282217103</v>
      </c>
      <c r="H2962" t="s">
        <v>30</v>
      </c>
      <c r="J2962" t="s">
        <v>16</v>
      </c>
      <c r="K2962">
        <v>577007.90534456098</v>
      </c>
      <c r="L2962" t="s">
        <v>17</v>
      </c>
      <c r="M2962">
        <v>0</v>
      </c>
      <c r="N2962">
        <v>0.100792659822678</v>
      </c>
    </row>
    <row r="2963" spans="2:14" x14ac:dyDescent="0.25">
      <c r="B2963" t="s">
        <v>14</v>
      </c>
      <c r="C2963" s="1">
        <v>46197.999988425923</v>
      </c>
      <c r="D2963">
        <v>25.154513776839799</v>
      </c>
      <c r="E2963">
        <v>67252.3560583582</v>
      </c>
      <c r="F2963" s="1">
        <v>46194.099780092591</v>
      </c>
      <c r="G2963">
        <v>52.872672282217103</v>
      </c>
      <c r="H2963" t="s">
        <v>30</v>
      </c>
      <c r="J2963" t="s">
        <v>16</v>
      </c>
      <c r="K2963">
        <v>577007.90534456098</v>
      </c>
      <c r="L2963" t="s">
        <v>17</v>
      </c>
      <c r="M2963">
        <v>9094.1945399678007</v>
      </c>
      <c r="N2963">
        <v>0.116553612932215</v>
      </c>
    </row>
    <row r="2964" spans="2:14" x14ac:dyDescent="0.25">
      <c r="B2964" t="s">
        <v>14</v>
      </c>
      <c r="C2964" s="1">
        <v>46196.999988425923</v>
      </c>
      <c r="D2964">
        <v>25.154513776839799</v>
      </c>
      <c r="E2964">
        <v>67252.3560583582</v>
      </c>
      <c r="F2964" s="1">
        <v>46194.099780092591</v>
      </c>
      <c r="G2964">
        <v>52.872672282217103</v>
      </c>
      <c r="H2964" t="s">
        <v>30</v>
      </c>
      <c r="J2964" t="s">
        <v>16</v>
      </c>
      <c r="K2964">
        <v>577007.90534456098</v>
      </c>
      <c r="L2964" t="s">
        <v>17</v>
      </c>
      <c r="M2964">
        <v>0</v>
      </c>
      <c r="N2964">
        <v>0.116553612932215</v>
      </c>
    </row>
    <row r="2965" spans="2:14" x14ac:dyDescent="0.25">
      <c r="B2965" t="s">
        <v>14</v>
      </c>
      <c r="C2965" s="1">
        <v>46195.999988425923</v>
      </c>
      <c r="D2965">
        <v>25.154513776839799</v>
      </c>
      <c r="E2965">
        <v>67252.3560583582</v>
      </c>
      <c r="F2965" s="1">
        <v>46194.099780092591</v>
      </c>
      <c r="G2965">
        <v>52.872672282217103</v>
      </c>
      <c r="H2965" t="s">
        <v>30</v>
      </c>
      <c r="J2965" t="s">
        <v>16</v>
      </c>
      <c r="K2965">
        <v>577007.90534456098</v>
      </c>
      <c r="L2965" t="s">
        <v>17</v>
      </c>
      <c r="M2965">
        <v>0</v>
      </c>
      <c r="N2965">
        <v>0.116553612932215</v>
      </c>
    </row>
    <row r="2966" spans="2:14" x14ac:dyDescent="0.25">
      <c r="B2966" t="s">
        <v>14</v>
      </c>
      <c r="C2966" s="1">
        <v>46194.999988425923</v>
      </c>
      <c r="D2966">
        <v>25.154513776839799</v>
      </c>
      <c r="E2966">
        <v>67252.3560583582</v>
      </c>
      <c r="F2966" s="1">
        <v>46194.099780092591</v>
      </c>
      <c r="G2966">
        <v>52.872672282217103</v>
      </c>
      <c r="H2966" t="s">
        <v>30</v>
      </c>
      <c r="J2966" t="s">
        <v>16</v>
      </c>
      <c r="K2966">
        <v>577007.90534456098</v>
      </c>
      <c r="L2966" t="s">
        <v>17</v>
      </c>
      <c r="M2966">
        <v>0</v>
      </c>
      <c r="N2966">
        <v>0.116553612932215</v>
      </c>
    </row>
    <row r="2967" spans="2:14" x14ac:dyDescent="0.25">
      <c r="B2967" t="s">
        <v>14</v>
      </c>
      <c r="C2967" s="1">
        <v>46193.999988425923</v>
      </c>
      <c r="D2967">
        <v>25.154513776839799</v>
      </c>
      <c r="E2967">
        <v>545883.15613047895</v>
      </c>
      <c r="F2967" s="1">
        <v>46191.606261574074</v>
      </c>
      <c r="G2967">
        <v>52.872672282217103</v>
      </c>
      <c r="H2967" t="s">
        <v>30</v>
      </c>
      <c r="J2967" t="s">
        <v>16</v>
      </c>
      <c r="K2967">
        <v>577007.90534456098</v>
      </c>
      <c r="L2967" t="s">
        <v>17</v>
      </c>
      <c r="M2967">
        <v>478630.80007212103</v>
      </c>
      <c r="N2967">
        <v>0.94605836605393501</v>
      </c>
    </row>
    <row r="2968" spans="2:14" x14ac:dyDescent="0.25">
      <c r="B2968" t="s">
        <v>14</v>
      </c>
      <c r="C2968" s="1">
        <v>46192.999988425923</v>
      </c>
      <c r="D2968">
        <v>25.154513776839799</v>
      </c>
      <c r="E2968">
        <v>545883.15613047895</v>
      </c>
      <c r="F2968" s="1">
        <v>46191.606261574074</v>
      </c>
      <c r="G2968">
        <v>52.872672282217103</v>
      </c>
      <c r="H2968" t="s">
        <v>30</v>
      </c>
      <c r="J2968" t="s">
        <v>16</v>
      </c>
      <c r="K2968">
        <v>577007.90534456098</v>
      </c>
      <c r="L2968" t="s">
        <v>17</v>
      </c>
      <c r="M2968">
        <v>0</v>
      </c>
      <c r="N2968">
        <v>0.94605836605393501</v>
      </c>
    </row>
    <row r="2969" spans="2:14" x14ac:dyDescent="0.25">
      <c r="B2969" t="s">
        <v>14</v>
      </c>
      <c r="C2969" s="1">
        <v>46191.999988425923</v>
      </c>
      <c r="D2969">
        <v>25.154513776839799</v>
      </c>
      <c r="E2969">
        <v>545883.15613047895</v>
      </c>
      <c r="F2969" s="1">
        <v>46191.606261574074</v>
      </c>
      <c r="G2969">
        <v>52.872672282217103</v>
      </c>
      <c r="H2969" t="s">
        <v>30</v>
      </c>
      <c r="J2969" t="s">
        <v>16</v>
      </c>
      <c r="K2969">
        <v>577007.90534456098</v>
      </c>
      <c r="L2969" t="s">
        <v>17</v>
      </c>
      <c r="M2969">
        <v>0</v>
      </c>
      <c r="N2969">
        <v>0.94605836605393501</v>
      </c>
    </row>
    <row r="2970" spans="2:14" x14ac:dyDescent="0.25">
      <c r="B2970" t="s">
        <v>14</v>
      </c>
      <c r="C2970" s="1">
        <v>46190.999988425923</v>
      </c>
      <c r="D2970">
        <v>25.154513776839799</v>
      </c>
      <c r="E2970">
        <v>577007.90534456098</v>
      </c>
      <c r="F2970" s="1">
        <v>46189.099270833336</v>
      </c>
      <c r="G2970">
        <v>52.872672282217103</v>
      </c>
      <c r="H2970" t="s">
        <v>30</v>
      </c>
      <c r="J2970" t="s">
        <v>16</v>
      </c>
      <c r="K2970">
        <v>577007.90534456098</v>
      </c>
      <c r="L2970" t="s">
        <v>17</v>
      </c>
      <c r="M2970">
        <v>31124.749214081901</v>
      </c>
      <c r="N2970">
        <v>1</v>
      </c>
    </row>
    <row r="2971" spans="2:14" x14ac:dyDescent="0.25">
      <c r="B2971" t="s">
        <v>14</v>
      </c>
      <c r="C2971" s="1">
        <v>46189.999988425923</v>
      </c>
      <c r="D2971">
        <v>25.154513776839799</v>
      </c>
      <c r="E2971">
        <v>577007.90534456098</v>
      </c>
      <c r="F2971" s="1">
        <v>46189.099270833336</v>
      </c>
      <c r="G2971">
        <v>52.872672282217103</v>
      </c>
      <c r="H2971" t="s">
        <v>30</v>
      </c>
      <c r="J2971" t="s">
        <v>16</v>
      </c>
      <c r="K2971">
        <v>577007.90534456098</v>
      </c>
      <c r="L2971" t="s">
        <v>17</v>
      </c>
      <c r="M2971">
        <v>0</v>
      </c>
      <c r="N2971">
        <v>1</v>
      </c>
    </row>
    <row r="2972" spans="2:14" x14ac:dyDescent="0.25">
      <c r="B2972" t="s">
        <v>14</v>
      </c>
      <c r="C2972" s="1">
        <v>46188.999988425923</v>
      </c>
      <c r="D2972">
        <v>25.154513776839799</v>
      </c>
      <c r="E2972">
        <v>60268.638008161201</v>
      </c>
      <c r="F2972" s="1">
        <v>46186.60564814815</v>
      </c>
      <c r="G2972">
        <v>52.872672282217103</v>
      </c>
      <c r="H2972" t="s">
        <v>30</v>
      </c>
      <c r="J2972" t="s">
        <v>16</v>
      </c>
      <c r="K2972">
        <v>577007.90534456098</v>
      </c>
      <c r="L2972" t="s">
        <v>17</v>
      </c>
      <c r="M2972">
        <v>-516739.26733639999</v>
      </c>
      <c r="N2972">
        <v>0.10445028126984</v>
      </c>
    </row>
    <row r="2973" spans="2:14" x14ac:dyDescent="0.25">
      <c r="B2973" t="s">
        <v>14</v>
      </c>
      <c r="C2973" s="1">
        <v>46187.999988425923</v>
      </c>
      <c r="D2973">
        <v>25.154513776839799</v>
      </c>
      <c r="E2973">
        <v>60268.638008161201</v>
      </c>
      <c r="F2973" s="1">
        <v>46186.60564814815</v>
      </c>
      <c r="G2973">
        <v>52.872672282217103</v>
      </c>
      <c r="H2973" t="s">
        <v>30</v>
      </c>
      <c r="J2973" t="s">
        <v>16</v>
      </c>
      <c r="K2973">
        <v>577007.90534456098</v>
      </c>
      <c r="L2973" t="s">
        <v>17</v>
      </c>
      <c r="M2973">
        <v>0</v>
      </c>
      <c r="N2973">
        <v>0.10445028126984</v>
      </c>
    </row>
    <row r="2974" spans="2:14" x14ac:dyDescent="0.25">
      <c r="B2974" t="s">
        <v>14</v>
      </c>
      <c r="C2974" s="1">
        <v>46186.999988425923</v>
      </c>
      <c r="D2974">
        <v>25.154513776839799</v>
      </c>
      <c r="E2974">
        <v>60268.638008161201</v>
      </c>
      <c r="F2974" s="1">
        <v>46186.60564814815</v>
      </c>
      <c r="G2974">
        <v>52.872672282217103</v>
      </c>
      <c r="H2974" t="s">
        <v>30</v>
      </c>
      <c r="J2974" t="s">
        <v>16</v>
      </c>
      <c r="K2974">
        <v>577007.90534456098</v>
      </c>
      <c r="L2974" t="s">
        <v>17</v>
      </c>
      <c r="M2974">
        <v>0</v>
      </c>
      <c r="N2974">
        <v>0.10445028126984</v>
      </c>
    </row>
    <row r="2975" spans="2:14" x14ac:dyDescent="0.25">
      <c r="B2975" t="s">
        <v>14</v>
      </c>
      <c r="C2975" s="1">
        <v>46185.999988425923</v>
      </c>
      <c r="D2975">
        <v>25.154513776839799</v>
      </c>
      <c r="E2975">
        <v>74698.191280677507</v>
      </c>
      <c r="F2975" s="1">
        <v>46182.099780092591</v>
      </c>
      <c r="G2975">
        <v>52.872672282217103</v>
      </c>
      <c r="H2975" t="s">
        <v>30</v>
      </c>
      <c r="J2975" t="s">
        <v>16</v>
      </c>
      <c r="K2975">
        <v>577007.90534456098</v>
      </c>
      <c r="L2975" t="s">
        <v>17</v>
      </c>
      <c r="M2975">
        <v>14429.553272516299</v>
      </c>
      <c r="N2975">
        <v>0.129457829934013</v>
      </c>
    </row>
    <row r="2976" spans="2:14" x14ac:dyDescent="0.25">
      <c r="B2976" t="s">
        <v>14</v>
      </c>
      <c r="C2976" s="1">
        <v>46184.999988425923</v>
      </c>
      <c r="D2976">
        <v>25.154513776839799</v>
      </c>
      <c r="E2976">
        <v>74698.191280677507</v>
      </c>
      <c r="F2976" s="1">
        <v>46182.099780092591</v>
      </c>
      <c r="G2976">
        <v>52.872672282217103</v>
      </c>
      <c r="H2976" t="s">
        <v>30</v>
      </c>
      <c r="J2976" t="s">
        <v>16</v>
      </c>
      <c r="K2976">
        <v>577007.90534456098</v>
      </c>
      <c r="L2976" t="s">
        <v>17</v>
      </c>
      <c r="M2976">
        <v>0</v>
      </c>
      <c r="N2976">
        <v>0.129457829934013</v>
      </c>
    </row>
    <row r="2977" spans="2:14" x14ac:dyDescent="0.25">
      <c r="B2977" t="s">
        <v>14</v>
      </c>
      <c r="C2977" s="1">
        <v>46183.999988425923</v>
      </c>
      <c r="D2977">
        <v>25.154513776839799</v>
      </c>
      <c r="E2977">
        <v>74698.191280677507</v>
      </c>
      <c r="F2977" s="1">
        <v>46182.099780092591</v>
      </c>
      <c r="G2977">
        <v>52.872672282217103</v>
      </c>
      <c r="H2977" t="s">
        <v>30</v>
      </c>
      <c r="J2977" t="s">
        <v>16</v>
      </c>
      <c r="K2977">
        <v>577007.90534456098</v>
      </c>
      <c r="L2977" t="s">
        <v>17</v>
      </c>
      <c r="M2977">
        <v>0</v>
      </c>
      <c r="N2977">
        <v>0.129457829934013</v>
      </c>
    </row>
    <row r="2978" spans="2:14" x14ac:dyDescent="0.25">
      <c r="B2978" t="s">
        <v>14</v>
      </c>
      <c r="C2978" s="1">
        <v>46182.999988425923</v>
      </c>
      <c r="D2978">
        <v>25.154513776839799</v>
      </c>
      <c r="E2978">
        <v>74698.191280677507</v>
      </c>
      <c r="F2978" s="1">
        <v>46182.099780092591</v>
      </c>
      <c r="G2978">
        <v>52.872672282217103</v>
      </c>
      <c r="H2978" t="s">
        <v>30</v>
      </c>
      <c r="J2978" t="s">
        <v>16</v>
      </c>
      <c r="K2978">
        <v>577007.90534456098</v>
      </c>
      <c r="L2978" t="s">
        <v>17</v>
      </c>
      <c r="M2978">
        <v>0</v>
      </c>
      <c r="N2978">
        <v>0.129457829934013</v>
      </c>
    </row>
    <row r="2979" spans="2:14" x14ac:dyDescent="0.25">
      <c r="B2979" t="s">
        <v>14</v>
      </c>
      <c r="C2979" s="1">
        <v>46181.999988425923</v>
      </c>
      <c r="D2979">
        <v>25.154513776839799</v>
      </c>
      <c r="E2979">
        <v>118995.97351028</v>
      </c>
      <c r="F2979" s="1">
        <v>46179.606273148151</v>
      </c>
      <c r="G2979">
        <v>52.872672282217103</v>
      </c>
      <c r="H2979" t="s">
        <v>30</v>
      </c>
      <c r="J2979" t="s">
        <v>16</v>
      </c>
      <c r="K2979">
        <v>577007.90534456098</v>
      </c>
      <c r="L2979" t="s">
        <v>17</v>
      </c>
      <c r="M2979">
        <v>44297.782229603203</v>
      </c>
      <c r="N2979">
        <v>0.20622936429132899</v>
      </c>
    </row>
    <row r="2980" spans="2:14" x14ac:dyDescent="0.25">
      <c r="B2980" t="s">
        <v>14</v>
      </c>
      <c r="C2980" s="1">
        <v>46180.999988425923</v>
      </c>
      <c r="D2980">
        <v>25.154513776839799</v>
      </c>
      <c r="E2980">
        <v>118995.97351028</v>
      </c>
      <c r="F2980" s="1">
        <v>46179.606273148151</v>
      </c>
      <c r="G2980">
        <v>52.872672282217103</v>
      </c>
      <c r="H2980" t="s">
        <v>30</v>
      </c>
      <c r="J2980" t="s">
        <v>16</v>
      </c>
      <c r="K2980">
        <v>577007.90534456098</v>
      </c>
      <c r="L2980" t="s">
        <v>17</v>
      </c>
      <c r="M2980">
        <v>0</v>
      </c>
      <c r="N2980">
        <v>0.20622936429132899</v>
      </c>
    </row>
    <row r="2981" spans="2:14" x14ac:dyDescent="0.25">
      <c r="B2981" t="s">
        <v>14</v>
      </c>
      <c r="C2981" s="1">
        <v>46179.999988425923</v>
      </c>
      <c r="D2981">
        <v>25.154513776839799</v>
      </c>
      <c r="E2981">
        <v>118995.97351028</v>
      </c>
      <c r="F2981" s="1">
        <v>46179.606273148151</v>
      </c>
      <c r="G2981">
        <v>52.872672282217103</v>
      </c>
      <c r="H2981" t="s">
        <v>30</v>
      </c>
      <c r="J2981" t="s">
        <v>16</v>
      </c>
      <c r="K2981">
        <v>577007.90534456098</v>
      </c>
      <c r="L2981" t="s">
        <v>17</v>
      </c>
      <c r="M2981">
        <v>0</v>
      </c>
      <c r="N2981">
        <v>0.20622936429132899</v>
      </c>
    </row>
    <row r="2982" spans="2:14" x14ac:dyDescent="0.25">
      <c r="B2982" t="s">
        <v>14</v>
      </c>
      <c r="C2982" s="1">
        <v>46178.999988425923</v>
      </c>
      <c r="D2982">
        <v>25.154513776839799</v>
      </c>
      <c r="E2982">
        <v>91029.685122976007</v>
      </c>
      <c r="F2982" s="1">
        <v>46177.099259259259</v>
      </c>
      <c r="G2982">
        <v>52.872672282217103</v>
      </c>
      <c r="H2982" t="s">
        <v>30</v>
      </c>
      <c r="J2982" t="s">
        <v>16</v>
      </c>
      <c r="K2982">
        <v>577007.90534456098</v>
      </c>
      <c r="L2982" t="s">
        <v>17</v>
      </c>
      <c r="M2982">
        <v>-27966.288387304699</v>
      </c>
      <c r="N2982">
        <v>0.157761590924161</v>
      </c>
    </row>
    <row r="2983" spans="2:14" x14ac:dyDescent="0.25">
      <c r="B2983" t="s">
        <v>14</v>
      </c>
      <c r="C2983" s="1">
        <v>46177.999988425923</v>
      </c>
      <c r="D2983">
        <v>25.154513776839799</v>
      </c>
      <c r="E2983">
        <v>91029.685122976007</v>
      </c>
      <c r="F2983" s="1">
        <v>46177.099259259259</v>
      </c>
      <c r="G2983">
        <v>52.872672282217103</v>
      </c>
      <c r="H2983" t="s">
        <v>30</v>
      </c>
      <c r="J2983" t="s">
        <v>16</v>
      </c>
      <c r="K2983">
        <v>577007.90534456098</v>
      </c>
      <c r="L2983" t="s">
        <v>17</v>
      </c>
      <c r="M2983">
        <v>0</v>
      </c>
      <c r="N2983">
        <v>0.157761590924161</v>
      </c>
    </row>
    <row r="2984" spans="2:14" x14ac:dyDescent="0.25">
      <c r="B2984" t="s">
        <v>14</v>
      </c>
      <c r="C2984" s="1">
        <v>46176.999988425923</v>
      </c>
      <c r="D2984">
        <v>25.154513776839799</v>
      </c>
      <c r="E2984">
        <v>66987.196490536502</v>
      </c>
      <c r="F2984" s="1">
        <v>46176.099143518521</v>
      </c>
      <c r="G2984">
        <v>52.872672282217103</v>
      </c>
      <c r="H2984" t="s">
        <v>30</v>
      </c>
      <c r="J2984" t="s">
        <v>16</v>
      </c>
      <c r="K2984">
        <v>577007.90534456098</v>
      </c>
      <c r="L2984" t="s">
        <v>17</v>
      </c>
      <c r="M2984">
        <v>-24042.488632439399</v>
      </c>
      <c r="N2984">
        <v>0.116094070583894</v>
      </c>
    </row>
    <row r="2985" spans="2:14" x14ac:dyDescent="0.25">
      <c r="B2985" t="s">
        <v>14</v>
      </c>
      <c r="C2985" s="1">
        <v>46175.999988425923</v>
      </c>
      <c r="D2985">
        <v>25.154513776839799</v>
      </c>
      <c r="E2985">
        <v>577007.90534456098</v>
      </c>
      <c r="F2985" s="1">
        <v>46173.605520833335</v>
      </c>
      <c r="G2985">
        <v>52.872672282217103</v>
      </c>
      <c r="H2985" t="s">
        <v>30</v>
      </c>
      <c r="J2985" t="s">
        <v>16</v>
      </c>
      <c r="K2985">
        <v>577007.90534456098</v>
      </c>
      <c r="L2985" t="s">
        <v>17</v>
      </c>
      <c r="M2985">
        <v>510020.70885402401</v>
      </c>
      <c r="N2985">
        <v>1</v>
      </c>
    </row>
    <row r="2986" spans="2:14" x14ac:dyDescent="0.25">
      <c r="B2986" t="s">
        <v>14</v>
      </c>
      <c r="C2986" s="1">
        <v>46174.999988425923</v>
      </c>
      <c r="D2986">
        <v>25.154513776839799</v>
      </c>
      <c r="E2986">
        <v>577007.90534456098</v>
      </c>
      <c r="F2986" s="1">
        <v>46173.605520833335</v>
      </c>
      <c r="G2986">
        <v>52.872672282217103</v>
      </c>
      <c r="H2986" t="s">
        <v>30</v>
      </c>
      <c r="J2986" t="s">
        <v>16</v>
      </c>
      <c r="K2986">
        <v>577007.90534456098</v>
      </c>
      <c r="L2986" t="s">
        <v>17</v>
      </c>
      <c r="M2986">
        <v>0</v>
      </c>
      <c r="N2986">
        <v>1</v>
      </c>
    </row>
    <row r="2987" spans="2:14" x14ac:dyDescent="0.25">
      <c r="B2987" t="s">
        <v>14</v>
      </c>
      <c r="C2987" s="1">
        <v>46173.999988425923</v>
      </c>
      <c r="D2987">
        <v>25.154513776839799</v>
      </c>
      <c r="E2987">
        <v>577007.90534456098</v>
      </c>
      <c r="F2987" s="1">
        <v>46173.605520833335</v>
      </c>
      <c r="G2987">
        <v>52.872672282217103</v>
      </c>
      <c r="H2987" t="s">
        <v>30</v>
      </c>
      <c r="J2987" t="s">
        <v>16</v>
      </c>
      <c r="K2987">
        <v>577007.90534456098</v>
      </c>
      <c r="L2987" t="s">
        <v>17</v>
      </c>
      <c r="M2987">
        <v>0</v>
      </c>
      <c r="N2987">
        <v>1</v>
      </c>
    </row>
    <row r="2988" spans="2:14" x14ac:dyDescent="0.25">
      <c r="B2988" t="s">
        <v>14</v>
      </c>
      <c r="C2988" s="1">
        <v>46172.999988425923</v>
      </c>
      <c r="D2988">
        <v>25.154513776839799</v>
      </c>
      <c r="E2988">
        <v>73318.539343179495</v>
      </c>
      <c r="F2988" s="1">
        <v>46170.099791666667</v>
      </c>
      <c r="G2988">
        <v>52.872672282217103</v>
      </c>
      <c r="H2988" t="s">
        <v>30</v>
      </c>
      <c r="J2988" t="s">
        <v>16</v>
      </c>
      <c r="K2988">
        <v>577007.90534456098</v>
      </c>
      <c r="L2988" t="s">
        <v>17</v>
      </c>
      <c r="M2988">
        <v>-503689.36600138101</v>
      </c>
      <c r="N2988">
        <v>0.12706678481189401</v>
      </c>
    </row>
    <row r="2989" spans="2:14" x14ac:dyDescent="0.25">
      <c r="B2989" t="s">
        <v>14</v>
      </c>
      <c r="C2989" s="1">
        <v>46171.999988425923</v>
      </c>
      <c r="D2989">
        <v>25.154513776839799</v>
      </c>
      <c r="E2989">
        <v>73318.539343179495</v>
      </c>
      <c r="F2989" s="1">
        <v>46170.099791666667</v>
      </c>
      <c r="G2989">
        <v>52.872672282217103</v>
      </c>
      <c r="H2989" t="s">
        <v>30</v>
      </c>
      <c r="J2989" t="s">
        <v>16</v>
      </c>
      <c r="K2989">
        <v>577007.90534456098</v>
      </c>
      <c r="L2989" t="s">
        <v>17</v>
      </c>
      <c r="M2989">
        <v>0</v>
      </c>
      <c r="N2989">
        <v>0.12706678481189401</v>
      </c>
    </row>
    <row r="2990" spans="2:14" x14ac:dyDescent="0.25">
      <c r="B2990" t="s">
        <v>14</v>
      </c>
      <c r="C2990" s="1">
        <v>46170.999988425923</v>
      </c>
      <c r="D2990">
        <v>25.154513776839799</v>
      </c>
      <c r="E2990">
        <v>73318.539343179495</v>
      </c>
      <c r="F2990" s="1">
        <v>46170.099791666667</v>
      </c>
      <c r="G2990">
        <v>52.872672282217103</v>
      </c>
      <c r="H2990" t="s">
        <v>30</v>
      </c>
      <c r="J2990" t="s">
        <v>16</v>
      </c>
      <c r="K2990">
        <v>577007.90534456098</v>
      </c>
      <c r="L2990" t="s">
        <v>17</v>
      </c>
      <c r="M2990">
        <v>0</v>
      </c>
      <c r="N2990">
        <v>0.12706678481189401</v>
      </c>
    </row>
    <row r="2991" spans="2:14" x14ac:dyDescent="0.25">
      <c r="B2991" t="s">
        <v>14</v>
      </c>
      <c r="C2991" s="1">
        <v>46169.999988425923</v>
      </c>
      <c r="D2991">
        <v>25.154513776839799</v>
      </c>
      <c r="E2991">
        <v>577007.90534456098</v>
      </c>
      <c r="F2991" s="1">
        <v>46167.60628472222</v>
      </c>
      <c r="G2991">
        <v>52.872672282217103</v>
      </c>
      <c r="H2991" t="s">
        <v>30</v>
      </c>
      <c r="J2991" t="s">
        <v>16</v>
      </c>
      <c r="K2991">
        <v>577007.90534456098</v>
      </c>
      <c r="L2991" t="s">
        <v>17</v>
      </c>
      <c r="M2991">
        <v>503689.36600138101</v>
      </c>
      <c r="N2991">
        <v>1</v>
      </c>
    </row>
    <row r="2992" spans="2:14" x14ac:dyDescent="0.25">
      <c r="B2992" t="s">
        <v>14</v>
      </c>
      <c r="C2992" s="1">
        <v>46168.999988425923</v>
      </c>
      <c r="D2992">
        <v>25.154513776839799</v>
      </c>
      <c r="E2992">
        <v>577007.90534456098</v>
      </c>
      <c r="F2992" s="1">
        <v>46167.60628472222</v>
      </c>
      <c r="G2992">
        <v>52.872672282217103</v>
      </c>
      <c r="H2992" t="s">
        <v>30</v>
      </c>
      <c r="J2992" t="s">
        <v>16</v>
      </c>
      <c r="K2992">
        <v>577007.90534456098</v>
      </c>
      <c r="L2992" t="s">
        <v>17</v>
      </c>
      <c r="M2992">
        <v>0</v>
      </c>
      <c r="N2992">
        <v>1</v>
      </c>
    </row>
    <row r="2993" spans="2:14" x14ac:dyDescent="0.25">
      <c r="B2993" t="s">
        <v>14</v>
      </c>
      <c r="C2993" s="1">
        <v>46167.999988425923</v>
      </c>
      <c r="D2993">
        <v>25.154513776839799</v>
      </c>
      <c r="E2993">
        <v>577007.90534456098</v>
      </c>
      <c r="F2993" s="1">
        <v>46167.60628472222</v>
      </c>
      <c r="G2993">
        <v>52.872672282217103</v>
      </c>
      <c r="H2993" t="s">
        <v>30</v>
      </c>
      <c r="J2993" t="s">
        <v>16</v>
      </c>
      <c r="K2993">
        <v>577007.90534456098</v>
      </c>
      <c r="L2993" t="s">
        <v>17</v>
      </c>
      <c r="M2993">
        <v>0</v>
      </c>
      <c r="N2993">
        <v>1</v>
      </c>
    </row>
    <row r="2994" spans="2:14" x14ac:dyDescent="0.25">
      <c r="B2994" t="s">
        <v>14</v>
      </c>
      <c r="C2994" s="1">
        <v>46166.999988425923</v>
      </c>
      <c r="D2994">
        <v>25.154513776839799</v>
      </c>
      <c r="E2994">
        <v>442564.70720190997</v>
      </c>
      <c r="F2994" s="1">
        <v>46165.099259259259</v>
      </c>
      <c r="G2994">
        <v>52.872672282217103</v>
      </c>
      <c r="H2994" t="s">
        <v>30</v>
      </c>
      <c r="J2994" t="s">
        <v>16</v>
      </c>
      <c r="K2994">
        <v>577007.90534456098</v>
      </c>
      <c r="L2994" t="s">
        <v>17</v>
      </c>
      <c r="M2994">
        <v>-134443.19814265001</v>
      </c>
      <c r="N2994">
        <v>0.76699938268199697</v>
      </c>
    </row>
    <row r="2995" spans="2:14" x14ac:dyDescent="0.25">
      <c r="B2995" t="s">
        <v>14</v>
      </c>
      <c r="C2995" s="1">
        <v>46165.999988425923</v>
      </c>
      <c r="D2995">
        <v>25.154513776839799</v>
      </c>
      <c r="E2995">
        <v>442564.70720190997</v>
      </c>
      <c r="F2995" s="1">
        <v>46165.099259259259</v>
      </c>
      <c r="G2995">
        <v>52.872672282217103</v>
      </c>
      <c r="H2995" t="s">
        <v>30</v>
      </c>
      <c r="J2995" t="s">
        <v>16</v>
      </c>
      <c r="K2995">
        <v>577007.90534456098</v>
      </c>
      <c r="L2995" t="s">
        <v>17</v>
      </c>
      <c r="M2995">
        <v>0</v>
      </c>
      <c r="N2995">
        <v>0.76699938268199697</v>
      </c>
    </row>
    <row r="2996" spans="2:14" x14ac:dyDescent="0.25">
      <c r="B2996" t="s">
        <v>14</v>
      </c>
      <c r="C2996" s="1">
        <v>46164.999988425923</v>
      </c>
      <c r="D2996">
        <v>25.154513776839799</v>
      </c>
      <c r="E2996">
        <v>577007.90534456098</v>
      </c>
      <c r="F2996" s="1">
        <v>46164.099143518521</v>
      </c>
      <c r="G2996">
        <v>52.872672282217103</v>
      </c>
      <c r="H2996" t="s">
        <v>30</v>
      </c>
      <c r="J2996" t="s">
        <v>16</v>
      </c>
      <c r="K2996">
        <v>577007.90534456098</v>
      </c>
      <c r="L2996" t="s">
        <v>17</v>
      </c>
      <c r="M2996">
        <v>134443.19814265001</v>
      </c>
      <c r="N2996">
        <v>1</v>
      </c>
    </row>
    <row r="2997" spans="2:14" x14ac:dyDescent="0.25">
      <c r="B2997" t="s">
        <v>14</v>
      </c>
      <c r="C2997" s="1">
        <v>46163.999988425923</v>
      </c>
      <c r="D2997">
        <v>25.154513776839799</v>
      </c>
      <c r="E2997">
        <v>112125.081628236</v>
      </c>
      <c r="F2997" s="1">
        <v>46162.605624999997</v>
      </c>
      <c r="G2997">
        <v>52.872672282217103</v>
      </c>
      <c r="H2997" t="s">
        <v>30</v>
      </c>
      <c r="J2997" t="s">
        <v>16</v>
      </c>
      <c r="K2997">
        <v>577007.90534456098</v>
      </c>
      <c r="L2997" t="s">
        <v>17</v>
      </c>
      <c r="M2997">
        <v>-464882.82371632499</v>
      </c>
      <c r="N2997">
        <v>0.19432156923617899</v>
      </c>
    </row>
    <row r="2998" spans="2:14" x14ac:dyDescent="0.25">
      <c r="B2998" t="s">
        <v>14</v>
      </c>
      <c r="C2998" s="1">
        <v>46162.999988425923</v>
      </c>
      <c r="D2998">
        <v>25.154513776839799</v>
      </c>
      <c r="E2998">
        <v>112125.081628236</v>
      </c>
      <c r="F2998" s="1">
        <v>46162.605624999997</v>
      </c>
      <c r="G2998">
        <v>52.872672282217103</v>
      </c>
      <c r="H2998" t="s">
        <v>30</v>
      </c>
      <c r="J2998" t="s">
        <v>16</v>
      </c>
      <c r="K2998">
        <v>577007.90534456098</v>
      </c>
      <c r="L2998" t="s">
        <v>17</v>
      </c>
      <c r="M2998">
        <v>0</v>
      </c>
      <c r="N2998">
        <v>0.19432156923617899</v>
      </c>
    </row>
    <row r="2999" spans="2:14" x14ac:dyDescent="0.25">
      <c r="B2999" t="s">
        <v>14</v>
      </c>
      <c r="C2999" s="1">
        <v>46161.999988425923</v>
      </c>
      <c r="D2999">
        <v>25.154513776839799</v>
      </c>
      <c r="E2999">
        <v>577007.90534456098</v>
      </c>
      <c r="F2999" s="1">
        <v>46161.605509259258</v>
      </c>
      <c r="G2999">
        <v>52.872672282217103</v>
      </c>
      <c r="H2999" t="s">
        <v>30</v>
      </c>
      <c r="J2999" t="s">
        <v>16</v>
      </c>
      <c r="K2999">
        <v>577007.90534456098</v>
      </c>
      <c r="L2999" t="s">
        <v>17</v>
      </c>
      <c r="M2999">
        <v>464882.82371632499</v>
      </c>
      <c r="N2999">
        <v>1</v>
      </c>
    </row>
    <row r="3000" spans="2:14" x14ac:dyDescent="0.25">
      <c r="B3000" t="s">
        <v>14</v>
      </c>
      <c r="C3000" s="1">
        <v>46160.999988425923</v>
      </c>
      <c r="D3000">
        <v>25.154513776839799</v>
      </c>
      <c r="E3000">
        <v>283347.42838520498</v>
      </c>
      <c r="F3000" s="1">
        <v>46158.099791666667</v>
      </c>
      <c r="G3000">
        <v>52.872672282217103</v>
      </c>
      <c r="H3000" t="s">
        <v>30</v>
      </c>
      <c r="J3000" t="s">
        <v>16</v>
      </c>
      <c r="K3000">
        <v>577007.90534456098</v>
      </c>
      <c r="L3000" t="s">
        <v>17</v>
      </c>
      <c r="M3000">
        <v>-293660.47695935599</v>
      </c>
      <c r="N3000">
        <v>0.49106333857939699</v>
      </c>
    </row>
    <row r="3001" spans="2:14" x14ac:dyDescent="0.25">
      <c r="B3001" t="s">
        <v>14</v>
      </c>
      <c r="C3001" s="1">
        <v>46159.999988425923</v>
      </c>
      <c r="D3001">
        <v>25.154513776839799</v>
      </c>
      <c r="E3001">
        <v>283347.42838520498</v>
      </c>
      <c r="F3001" s="1">
        <v>46158.099791666667</v>
      </c>
      <c r="G3001">
        <v>52.872672282217103</v>
      </c>
      <c r="H3001" t="s">
        <v>30</v>
      </c>
      <c r="J3001" t="s">
        <v>16</v>
      </c>
      <c r="K3001">
        <v>577007.90534456098</v>
      </c>
      <c r="L3001" t="s">
        <v>17</v>
      </c>
      <c r="M3001">
        <v>0</v>
      </c>
      <c r="N3001">
        <v>0.49106333857939699</v>
      </c>
    </row>
    <row r="3002" spans="2:14" x14ac:dyDescent="0.25">
      <c r="B3002" t="s">
        <v>14</v>
      </c>
      <c r="C3002" s="1">
        <v>46158.999988425923</v>
      </c>
      <c r="D3002">
        <v>25.154513776839799</v>
      </c>
      <c r="E3002">
        <v>283347.42838520498</v>
      </c>
      <c r="F3002" s="1">
        <v>46158.099791666667</v>
      </c>
      <c r="G3002">
        <v>52.872672282217103</v>
      </c>
      <c r="H3002" t="s">
        <v>30</v>
      </c>
      <c r="J3002" t="s">
        <v>16</v>
      </c>
      <c r="K3002">
        <v>577007.90534456098</v>
      </c>
      <c r="L3002" t="s">
        <v>17</v>
      </c>
      <c r="M3002">
        <v>0</v>
      </c>
      <c r="N3002">
        <v>0.49106333857939699</v>
      </c>
    </row>
    <row r="3003" spans="2:14" x14ac:dyDescent="0.25">
      <c r="B3003" t="s">
        <v>14</v>
      </c>
      <c r="C3003" s="1">
        <v>46157.999988425923</v>
      </c>
      <c r="D3003">
        <v>25.154513776839799</v>
      </c>
      <c r="E3003">
        <v>83568.400148180503</v>
      </c>
      <c r="F3003" s="1">
        <v>46155.60628472222</v>
      </c>
      <c r="G3003">
        <v>52.872672282217103</v>
      </c>
      <c r="H3003" t="s">
        <v>30</v>
      </c>
      <c r="J3003" t="s">
        <v>16</v>
      </c>
      <c r="K3003">
        <v>577007.90534456098</v>
      </c>
      <c r="L3003" t="s">
        <v>17</v>
      </c>
      <c r="M3003">
        <v>-199779.028237024</v>
      </c>
      <c r="N3003">
        <v>0.14483059828838399</v>
      </c>
    </row>
    <row r="3004" spans="2:14" x14ac:dyDescent="0.25">
      <c r="B3004" t="s">
        <v>14</v>
      </c>
      <c r="C3004" s="1">
        <v>46156.999988425923</v>
      </c>
      <c r="D3004">
        <v>25.154513776839799</v>
      </c>
      <c r="E3004">
        <v>83568.400148180503</v>
      </c>
      <c r="F3004" s="1">
        <v>46155.60628472222</v>
      </c>
      <c r="G3004">
        <v>52.872672282217103</v>
      </c>
      <c r="H3004" t="s">
        <v>30</v>
      </c>
      <c r="J3004" t="s">
        <v>16</v>
      </c>
      <c r="K3004">
        <v>577007.90534456098</v>
      </c>
      <c r="L3004" t="s">
        <v>17</v>
      </c>
      <c r="M3004">
        <v>0</v>
      </c>
      <c r="N3004">
        <v>0.14483059828838399</v>
      </c>
    </row>
    <row r="3005" spans="2:14" x14ac:dyDescent="0.25">
      <c r="B3005" t="s">
        <v>14</v>
      </c>
      <c r="C3005" s="1">
        <v>46155.999988425923</v>
      </c>
      <c r="D3005">
        <v>25.154513776839799</v>
      </c>
      <c r="E3005">
        <v>83568.400148180503</v>
      </c>
      <c r="F3005" s="1">
        <v>46155.60628472222</v>
      </c>
      <c r="G3005">
        <v>52.872672282217103</v>
      </c>
      <c r="H3005" t="s">
        <v>30</v>
      </c>
      <c r="J3005" t="s">
        <v>16</v>
      </c>
      <c r="K3005">
        <v>577007.90534456098</v>
      </c>
      <c r="L3005" t="s">
        <v>17</v>
      </c>
      <c r="M3005">
        <v>0</v>
      </c>
      <c r="N3005">
        <v>0.14483059828838399</v>
      </c>
    </row>
    <row r="3006" spans="2:14" x14ac:dyDescent="0.25">
      <c r="B3006" t="s">
        <v>14</v>
      </c>
      <c r="C3006" s="1">
        <v>46154.999988425923</v>
      </c>
      <c r="D3006">
        <v>25.154513776839799</v>
      </c>
      <c r="E3006">
        <v>61040.804737275801</v>
      </c>
      <c r="F3006" s="1">
        <v>46153.099247685182</v>
      </c>
      <c r="G3006">
        <v>52.872672282217103</v>
      </c>
      <c r="H3006" t="s">
        <v>30</v>
      </c>
      <c r="J3006" t="s">
        <v>16</v>
      </c>
      <c r="K3006">
        <v>577007.90534456098</v>
      </c>
      <c r="L3006" t="s">
        <v>17</v>
      </c>
      <c r="M3006">
        <v>-22527.595410904702</v>
      </c>
      <c r="N3006">
        <v>0.105788506833065</v>
      </c>
    </row>
    <row r="3007" spans="2:14" x14ac:dyDescent="0.25">
      <c r="B3007" t="s">
        <v>14</v>
      </c>
      <c r="C3007" s="1">
        <v>46153.999988425923</v>
      </c>
      <c r="D3007">
        <v>25.154513776839799</v>
      </c>
      <c r="E3007">
        <v>61040.804737275801</v>
      </c>
      <c r="F3007" s="1">
        <v>46153.099247685182</v>
      </c>
      <c r="G3007">
        <v>52.872672282217103</v>
      </c>
      <c r="H3007" t="s">
        <v>30</v>
      </c>
      <c r="J3007" t="s">
        <v>16</v>
      </c>
      <c r="K3007">
        <v>577007.90534456098</v>
      </c>
      <c r="L3007" t="s">
        <v>17</v>
      </c>
      <c r="M3007">
        <v>0</v>
      </c>
      <c r="N3007">
        <v>0.105788506833065</v>
      </c>
    </row>
    <row r="3008" spans="2:14" x14ac:dyDescent="0.25">
      <c r="B3008" t="s">
        <v>14</v>
      </c>
      <c r="C3008" s="1">
        <v>46152.999988425923</v>
      </c>
      <c r="D3008">
        <v>25.154513776839799</v>
      </c>
      <c r="E3008">
        <v>60730.632921206699</v>
      </c>
      <c r="F3008" s="1">
        <v>46150.605613425927</v>
      </c>
      <c r="G3008">
        <v>52.872672282217103</v>
      </c>
      <c r="H3008" t="s">
        <v>30</v>
      </c>
      <c r="J3008" t="s">
        <v>16</v>
      </c>
      <c r="K3008">
        <v>577007.90534456098</v>
      </c>
      <c r="L3008" t="s">
        <v>17</v>
      </c>
      <c r="M3008">
        <v>-310.17181606910799</v>
      </c>
      <c r="N3008">
        <v>0.105250954724686</v>
      </c>
    </row>
    <row r="3009" spans="2:14" x14ac:dyDescent="0.25">
      <c r="B3009" t="s">
        <v>14</v>
      </c>
      <c r="C3009" s="1">
        <v>46151.999988425923</v>
      </c>
      <c r="D3009">
        <v>25.154513776839799</v>
      </c>
      <c r="E3009">
        <v>60730.632921206699</v>
      </c>
      <c r="F3009" s="1">
        <v>46150.605613425927</v>
      </c>
      <c r="G3009">
        <v>52.872672282217103</v>
      </c>
      <c r="H3009" t="s">
        <v>30</v>
      </c>
      <c r="J3009" t="s">
        <v>16</v>
      </c>
      <c r="K3009">
        <v>577007.90534456098</v>
      </c>
      <c r="L3009" t="s">
        <v>17</v>
      </c>
      <c r="M3009">
        <v>0</v>
      </c>
      <c r="N3009">
        <v>0.105250954724686</v>
      </c>
    </row>
    <row r="3010" spans="2:14" x14ac:dyDescent="0.25">
      <c r="B3010" t="s">
        <v>14</v>
      </c>
      <c r="C3010" s="1">
        <v>46150.999988425923</v>
      </c>
      <c r="D3010">
        <v>25.154513776839799</v>
      </c>
      <c r="E3010">
        <v>60730.632921206699</v>
      </c>
      <c r="F3010" s="1">
        <v>46150.605613425927</v>
      </c>
      <c r="G3010">
        <v>52.872672282217103</v>
      </c>
      <c r="H3010" t="s">
        <v>30</v>
      </c>
      <c r="J3010" t="s">
        <v>16</v>
      </c>
      <c r="K3010">
        <v>577007.90534456098</v>
      </c>
      <c r="L3010" t="s">
        <v>17</v>
      </c>
      <c r="M3010">
        <v>0</v>
      </c>
      <c r="N3010">
        <v>0.105250954724686</v>
      </c>
    </row>
    <row r="3011" spans="2:14" x14ac:dyDescent="0.25">
      <c r="B3011" t="s">
        <v>14</v>
      </c>
      <c r="C3011" s="1">
        <v>46149.999988425923</v>
      </c>
      <c r="D3011">
        <v>25.154513776839799</v>
      </c>
      <c r="E3011">
        <v>60041.520983750001</v>
      </c>
      <c r="F3011" s="1">
        <v>46149.605497685188</v>
      </c>
      <c r="G3011">
        <v>52.872672282217103</v>
      </c>
      <c r="H3011" t="s">
        <v>30</v>
      </c>
      <c r="J3011" t="s">
        <v>16</v>
      </c>
      <c r="K3011">
        <v>577007.90534456098</v>
      </c>
      <c r="L3011" t="s">
        <v>17</v>
      </c>
      <c r="M3011">
        <v>-689.11193745670596</v>
      </c>
      <c r="N3011">
        <v>0.10405666963591401</v>
      </c>
    </row>
    <row r="3012" spans="2:14" x14ac:dyDescent="0.25">
      <c r="B3012" t="s">
        <v>14</v>
      </c>
      <c r="C3012" s="1">
        <v>46148.999988425923</v>
      </c>
      <c r="D3012">
        <v>25.154513776839799</v>
      </c>
      <c r="E3012">
        <v>56224.351146578898</v>
      </c>
      <c r="F3012" s="1">
        <v>46146.099803240744</v>
      </c>
      <c r="G3012">
        <v>52.872672282217103</v>
      </c>
      <c r="H3012" t="s">
        <v>30</v>
      </c>
      <c r="J3012" t="s">
        <v>16</v>
      </c>
      <c r="K3012">
        <v>577007.90534456098</v>
      </c>
      <c r="L3012" t="s">
        <v>17</v>
      </c>
      <c r="M3012">
        <v>-3817.16983717109</v>
      </c>
      <c r="N3012">
        <v>9.7441214627734404E-2</v>
      </c>
    </row>
    <row r="3013" spans="2:14" x14ac:dyDescent="0.25">
      <c r="B3013" t="s">
        <v>14</v>
      </c>
      <c r="C3013" s="1">
        <v>46147.999988425923</v>
      </c>
      <c r="D3013">
        <v>25.154513776839799</v>
      </c>
      <c r="E3013">
        <v>56224.351146578898</v>
      </c>
      <c r="F3013" s="1">
        <v>46146.099803240744</v>
      </c>
      <c r="G3013">
        <v>52.872672282217103</v>
      </c>
      <c r="H3013" t="s">
        <v>30</v>
      </c>
      <c r="J3013" t="s">
        <v>16</v>
      </c>
      <c r="K3013">
        <v>577007.90534456098</v>
      </c>
      <c r="L3013" t="s">
        <v>17</v>
      </c>
      <c r="M3013">
        <v>0</v>
      </c>
      <c r="N3013">
        <v>9.7441214627734404E-2</v>
      </c>
    </row>
    <row r="3014" spans="2:14" x14ac:dyDescent="0.25">
      <c r="B3014" t="s">
        <v>14</v>
      </c>
      <c r="C3014" s="1">
        <v>46146.999988425923</v>
      </c>
      <c r="D3014">
        <v>25.154513776839799</v>
      </c>
      <c r="E3014">
        <v>56224.351146578898</v>
      </c>
      <c r="F3014" s="1">
        <v>46146.099803240744</v>
      </c>
      <c r="G3014">
        <v>52.872672282217103</v>
      </c>
      <c r="H3014" t="s">
        <v>30</v>
      </c>
      <c r="J3014" t="s">
        <v>16</v>
      </c>
      <c r="K3014">
        <v>577007.90534456098</v>
      </c>
      <c r="L3014" t="s">
        <v>17</v>
      </c>
      <c r="M3014">
        <v>0</v>
      </c>
      <c r="N3014">
        <v>9.7441214627734404E-2</v>
      </c>
    </row>
    <row r="3015" spans="2:14" x14ac:dyDescent="0.25">
      <c r="B3015" t="s">
        <v>14</v>
      </c>
      <c r="C3015" s="1">
        <v>46145.999988425923</v>
      </c>
      <c r="D3015">
        <v>25.154513776839799</v>
      </c>
      <c r="E3015">
        <v>425033.71835623903</v>
      </c>
      <c r="F3015" s="1">
        <v>46143.606296296297</v>
      </c>
      <c r="G3015">
        <v>52.872672282217103</v>
      </c>
      <c r="H3015" t="s">
        <v>30</v>
      </c>
      <c r="J3015" t="s">
        <v>16</v>
      </c>
      <c r="K3015">
        <v>577007.90534456098</v>
      </c>
      <c r="L3015" t="s">
        <v>17</v>
      </c>
      <c r="M3015">
        <v>368809.367209661</v>
      </c>
      <c r="N3015">
        <v>0.73661680268042395</v>
      </c>
    </row>
    <row r="3016" spans="2:14" x14ac:dyDescent="0.25">
      <c r="B3016" t="s">
        <v>14</v>
      </c>
      <c r="C3016" s="1">
        <v>46144.999988425923</v>
      </c>
      <c r="D3016">
        <v>25.154513776839799</v>
      </c>
      <c r="E3016">
        <v>425033.71835623903</v>
      </c>
      <c r="F3016" s="1">
        <v>46143.606296296297</v>
      </c>
      <c r="G3016">
        <v>52.872672282217103</v>
      </c>
      <c r="H3016" t="s">
        <v>30</v>
      </c>
      <c r="J3016" t="s">
        <v>16</v>
      </c>
      <c r="K3016">
        <v>577007.90534456098</v>
      </c>
      <c r="L3016" t="s">
        <v>17</v>
      </c>
      <c r="M3016">
        <v>0</v>
      </c>
      <c r="N3016">
        <v>0.73661680268042395</v>
      </c>
    </row>
    <row r="3017" spans="2:14" x14ac:dyDescent="0.25">
      <c r="B3017" t="s">
        <v>14</v>
      </c>
      <c r="C3017" s="1">
        <v>46143.999988425923</v>
      </c>
      <c r="D3017">
        <v>25.154513776839799</v>
      </c>
      <c r="E3017">
        <v>425033.71835623903</v>
      </c>
      <c r="F3017" s="1">
        <v>46143.606296296297</v>
      </c>
      <c r="G3017">
        <v>52.872672282217103</v>
      </c>
      <c r="H3017" t="s">
        <v>30</v>
      </c>
      <c r="J3017" t="s">
        <v>16</v>
      </c>
      <c r="K3017">
        <v>577007.90534456098</v>
      </c>
      <c r="L3017" t="s">
        <v>17</v>
      </c>
      <c r="M3017">
        <v>0</v>
      </c>
      <c r="N3017">
        <v>0.73661680268042395</v>
      </c>
    </row>
    <row r="3018" spans="2:14" x14ac:dyDescent="0.25">
      <c r="B3018" t="s">
        <v>14</v>
      </c>
      <c r="C3018" s="1">
        <v>46142.999988425923</v>
      </c>
      <c r="D3018">
        <v>25.154513776839799</v>
      </c>
      <c r="E3018">
        <v>111883.893263976</v>
      </c>
      <c r="F3018" s="1">
        <v>46140.099120370367</v>
      </c>
      <c r="G3018">
        <v>52.872672282217103</v>
      </c>
      <c r="H3018" t="s">
        <v>30</v>
      </c>
      <c r="J3018" t="s">
        <v>16</v>
      </c>
      <c r="K3018">
        <v>577007.90534456098</v>
      </c>
      <c r="L3018" t="s">
        <v>17</v>
      </c>
      <c r="M3018">
        <v>-313149.825092263</v>
      </c>
      <c r="N3018">
        <v>0.193903570865574</v>
      </c>
    </row>
    <row r="3019" spans="2:14" x14ac:dyDescent="0.25">
      <c r="B3019" t="s">
        <v>14</v>
      </c>
      <c r="C3019" s="1">
        <v>46141.999988425923</v>
      </c>
      <c r="D3019">
        <v>25.154513776839799</v>
      </c>
      <c r="E3019">
        <v>111883.893263976</v>
      </c>
      <c r="F3019" s="1">
        <v>46140.099120370367</v>
      </c>
      <c r="G3019">
        <v>52.872672282217103</v>
      </c>
      <c r="H3019" t="s">
        <v>30</v>
      </c>
      <c r="J3019" t="s">
        <v>16</v>
      </c>
      <c r="K3019">
        <v>577007.90534456098</v>
      </c>
      <c r="L3019" t="s">
        <v>17</v>
      </c>
      <c r="M3019">
        <v>0</v>
      </c>
      <c r="N3019">
        <v>0.193903570865574</v>
      </c>
    </row>
    <row r="3020" spans="2:14" x14ac:dyDescent="0.25">
      <c r="B3020" t="s">
        <v>14</v>
      </c>
      <c r="C3020" s="1">
        <v>46140.999988425923</v>
      </c>
      <c r="D3020">
        <v>25.154513776839799</v>
      </c>
      <c r="E3020">
        <v>111883.893263976</v>
      </c>
      <c r="F3020" s="1">
        <v>46140.099120370367</v>
      </c>
      <c r="G3020">
        <v>52.872672282217103</v>
      </c>
      <c r="H3020" t="s">
        <v>30</v>
      </c>
      <c r="J3020" t="s">
        <v>16</v>
      </c>
      <c r="K3020">
        <v>577007.90534456098</v>
      </c>
      <c r="L3020" t="s">
        <v>17</v>
      </c>
      <c r="M3020">
        <v>0</v>
      </c>
      <c r="N3020">
        <v>0.193903570865574</v>
      </c>
    </row>
    <row r="3021" spans="2:14" x14ac:dyDescent="0.25">
      <c r="B3021" t="s">
        <v>14</v>
      </c>
      <c r="C3021" s="1">
        <v>46139.999988425923</v>
      </c>
      <c r="D3021">
        <v>25.154513776839799</v>
      </c>
      <c r="E3021">
        <v>117675.033366492</v>
      </c>
      <c r="F3021" s="1">
        <v>46137.605486111112</v>
      </c>
      <c r="G3021">
        <v>52.872672282217103</v>
      </c>
      <c r="H3021" t="s">
        <v>30</v>
      </c>
      <c r="J3021" t="s">
        <v>16</v>
      </c>
      <c r="K3021">
        <v>577007.90534456098</v>
      </c>
      <c r="L3021" t="s">
        <v>17</v>
      </c>
      <c r="M3021">
        <v>5791.1401025161604</v>
      </c>
      <c r="N3021">
        <v>0.203940071317085</v>
      </c>
    </row>
    <row r="3022" spans="2:14" x14ac:dyDescent="0.25">
      <c r="B3022" t="s">
        <v>14</v>
      </c>
      <c r="C3022" s="1">
        <v>46138.999988425923</v>
      </c>
      <c r="D3022">
        <v>25.154513776839799</v>
      </c>
      <c r="E3022">
        <v>117675.033366492</v>
      </c>
      <c r="F3022" s="1">
        <v>46137.605486111112</v>
      </c>
      <c r="G3022">
        <v>52.872672282217103</v>
      </c>
      <c r="H3022" t="s">
        <v>30</v>
      </c>
      <c r="J3022" t="s">
        <v>16</v>
      </c>
      <c r="K3022">
        <v>577007.90534456098</v>
      </c>
      <c r="L3022" t="s">
        <v>17</v>
      </c>
      <c r="M3022">
        <v>0</v>
      </c>
      <c r="N3022">
        <v>0.203940071317085</v>
      </c>
    </row>
    <row r="3023" spans="2:14" x14ac:dyDescent="0.25">
      <c r="B3023" t="s">
        <v>14</v>
      </c>
      <c r="C3023" s="1">
        <v>46137.999988425923</v>
      </c>
      <c r="D3023">
        <v>25.154513776839799</v>
      </c>
      <c r="E3023">
        <v>117675.033366492</v>
      </c>
      <c r="F3023" s="1">
        <v>46137.605486111112</v>
      </c>
      <c r="G3023">
        <v>52.872672282217103</v>
      </c>
      <c r="H3023" t="s">
        <v>30</v>
      </c>
      <c r="J3023" t="s">
        <v>16</v>
      </c>
      <c r="K3023">
        <v>577007.90534456098</v>
      </c>
      <c r="L3023" t="s">
        <v>17</v>
      </c>
      <c r="M3023">
        <v>0</v>
      </c>
      <c r="N3023">
        <v>0.203940071317085</v>
      </c>
    </row>
    <row r="3024" spans="2:14" x14ac:dyDescent="0.25">
      <c r="B3024" t="s">
        <v>14</v>
      </c>
      <c r="C3024" s="1">
        <v>46136.999988425923</v>
      </c>
      <c r="D3024">
        <v>25.154513776839799</v>
      </c>
      <c r="E3024">
        <v>57377.052613071901</v>
      </c>
      <c r="F3024" s="1">
        <v>46134.099803240744</v>
      </c>
      <c r="G3024">
        <v>52.872672282217103</v>
      </c>
      <c r="H3024" t="s">
        <v>30</v>
      </c>
      <c r="J3024" t="s">
        <v>16</v>
      </c>
      <c r="K3024">
        <v>577007.90534456098</v>
      </c>
      <c r="L3024" t="s">
        <v>17</v>
      </c>
      <c r="M3024">
        <v>-60297.980753420197</v>
      </c>
      <c r="N3024">
        <v>9.9438936766055405E-2</v>
      </c>
    </row>
    <row r="3025" spans="2:14" x14ac:dyDescent="0.25">
      <c r="B3025" t="s">
        <v>14</v>
      </c>
      <c r="C3025" s="1">
        <v>46135.999988425923</v>
      </c>
      <c r="D3025">
        <v>25.154513776839799</v>
      </c>
      <c r="E3025">
        <v>57377.052613071901</v>
      </c>
      <c r="F3025" s="1">
        <v>46134.099803240744</v>
      </c>
      <c r="G3025">
        <v>52.872672282217103</v>
      </c>
      <c r="H3025" t="s">
        <v>30</v>
      </c>
      <c r="J3025" t="s">
        <v>16</v>
      </c>
      <c r="K3025">
        <v>577007.90534456098</v>
      </c>
      <c r="L3025" t="s">
        <v>17</v>
      </c>
      <c r="M3025">
        <v>0</v>
      </c>
      <c r="N3025">
        <v>9.9438936766055405E-2</v>
      </c>
    </row>
    <row r="3026" spans="2:14" x14ac:dyDescent="0.25">
      <c r="B3026" t="s">
        <v>14</v>
      </c>
      <c r="C3026" s="1">
        <v>46134.999988425923</v>
      </c>
      <c r="D3026">
        <v>25.154513776839799</v>
      </c>
      <c r="E3026">
        <v>57377.052613071901</v>
      </c>
      <c r="F3026" s="1">
        <v>46134.099803240744</v>
      </c>
      <c r="G3026">
        <v>52.872672282217103</v>
      </c>
      <c r="H3026" t="s">
        <v>30</v>
      </c>
      <c r="J3026" t="s">
        <v>16</v>
      </c>
      <c r="K3026">
        <v>577007.90534456098</v>
      </c>
      <c r="L3026" t="s">
        <v>17</v>
      </c>
      <c r="M3026">
        <v>0</v>
      </c>
      <c r="N3026">
        <v>9.9438936766055405E-2</v>
      </c>
    </row>
    <row r="3027" spans="2:14" x14ac:dyDescent="0.25">
      <c r="B3027" t="s">
        <v>14</v>
      </c>
      <c r="C3027" s="1">
        <v>46133.999988425923</v>
      </c>
      <c r="D3027">
        <v>25.154513776839799</v>
      </c>
      <c r="E3027">
        <v>61399.490007808403</v>
      </c>
      <c r="F3027" s="1">
        <v>46131.606296296297</v>
      </c>
      <c r="G3027">
        <v>52.872672282217103</v>
      </c>
      <c r="H3027" t="s">
        <v>30</v>
      </c>
      <c r="J3027" t="s">
        <v>16</v>
      </c>
      <c r="K3027">
        <v>577007.90534456098</v>
      </c>
      <c r="L3027" t="s">
        <v>17</v>
      </c>
      <c r="M3027">
        <v>4022.4373947365002</v>
      </c>
      <c r="N3027">
        <v>0.106410136566748</v>
      </c>
    </row>
    <row r="3028" spans="2:14" x14ac:dyDescent="0.25">
      <c r="B3028" t="s">
        <v>14</v>
      </c>
      <c r="C3028" s="1">
        <v>46132.999988425923</v>
      </c>
      <c r="D3028">
        <v>25.154513776839799</v>
      </c>
      <c r="E3028">
        <v>61399.490007808403</v>
      </c>
      <c r="F3028" s="1">
        <v>46131.606296296297</v>
      </c>
      <c r="G3028">
        <v>52.872672282217103</v>
      </c>
      <c r="H3028" t="s">
        <v>30</v>
      </c>
      <c r="J3028" t="s">
        <v>16</v>
      </c>
      <c r="K3028">
        <v>577007.90534456098</v>
      </c>
      <c r="L3028" t="s">
        <v>17</v>
      </c>
      <c r="M3028">
        <v>0</v>
      </c>
      <c r="N3028">
        <v>0.106410136566748</v>
      </c>
    </row>
    <row r="3029" spans="2:14" x14ac:dyDescent="0.25">
      <c r="B3029" t="s">
        <v>14</v>
      </c>
      <c r="C3029" s="1">
        <v>46131.999988425923</v>
      </c>
      <c r="D3029">
        <v>25.154513776839799</v>
      </c>
      <c r="E3029">
        <v>61399.490007808403</v>
      </c>
      <c r="F3029" s="1">
        <v>46131.606296296297</v>
      </c>
      <c r="G3029">
        <v>52.872672282217103</v>
      </c>
      <c r="H3029" t="s">
        <v>30</v>
      </c>
      <c r="J3029" t="s">
        <v>16</v>
      </c>
      <c r="K3029">
        <v>577007.90534456098</v>
      </c>
      <c r="L3029" t="s">
        <v>17</v>
      </c>
      <c r="M3029">
        <v>0</v>
      </c>
      <c r="N3029">
        <v>0.106410136566748</v>
      </c>
    </row>
    <row r="3030" spans="2:14" x14ac:dyDescent="0.25">
      <c r="B3030" t="s">
        <v>14</v>
      </c>
      <c r="C3030" s="1">
        <v>46130.999988425923</v>
      </c>
      <c r="D3030">
        <v>25.154513776839799</v>
      </c>
      <c r="E3030">
        <v>64217.440808303203</v>
      </c>
      <c r="F3030" s="1">
        <v>46128.099108796298</v>
      </c>
      <c r="G3030">
        <v>52.872672282217103</v>
      </c>
      <c r="H3030" t="s">
        <v>30</v>
      </c>
      <c r="J3030" t="s">
        <v>16</v>
      </c>
      <c r="K3030">
        <v>577007.90534456098</v>
      </c>
      <c r="L3030" t="s">
        <v>17</v>
      </c>
      <c r="M3030">
        <v>2817.9508004948102</v>
      </c>
      <c r="N3030">
        <v>0.111293866537158</v>
      </c>
    </row>
    <row r="3031" spans="2:14" x14ac:dyDescent="0.25">
      <c r="B3031" t="s">
        <v>14</v>
      </c>
      <c r="C3031" s="1">
        <v>46129.999988425923</v>
      </c>
      <c r="D3031">
        <v>25.154513776839799</v>
      </c>
      <c r="E3031">
        <v>64217.440808303203</v>
      </c>
      <c r="F3031" s="1">
        <v>46128.099108796298</v>
      </c>
      <c r="G3031">
        <v>52.872672282217103</v>
      </c>
      <c r="H3031" t="s">
        <v>30</v>
      </c>
      <c r="J3031" t="s">
        <v>16</v>
      </c>
      <c r="K3031">
        <v>577007.90534456098</v>
      </c>
      <c r="L3031" t="s">
        <v>17</v>
      </c>
      <c r="M3031">
        <v>0</v>
      </c>
      <c r="N3031">
        <v>0.111293866537158</v>
      </c>
    </row>
    <row r="3032" spans="2:14" x14ac:dyDescent="0.25">
      <c r="B3032" t="s">
        <v>14</v>
      </c>
      <c r="C3032" s="1">
        <v>46128.999988425923</v>
      </c>
      <c r="D3032">
        <v>25.154513776839799</v>
      </c>
      <c r="E3032">
        <v>64217.440808303203</v>
      </c>
      <c r="F3032" s="1">
        <v>46128.099108796298</v>
      </c>
      <c r="G3032">
        <v>52.872672282217103</v>
      </c>
      <c r="H3032" t="s">
        <v>30</v>
      </c>
      <c r="J3032" t="s">
        <v>16</v>
      </c>
      <c r="K3032">
        <v>577007.90534456098</v>
      </c>
      <c r="L3032" t="s">
        <v>17</v>
      </c>
      <c r="M3032">
        <v>0</v>
      </c>
      <c r="N3032">
        <v>0.111293866537158</v>
      </c>
    </row>
    <row r="3033" spans="2:14" x14ac:dyDescent="0.25">
      <c r="B3033" t="s">
        <v>14</v>
      </c>
      <c r="C3033" s="1">
        <v>46127.999988425923</v>
      </c>
      <c r="D3033">
        <v>25.154513776839799</v>
      </c>
      <c r="E3033">
        <v>68862.690993382304</v>
      </c>
      <c r="F3033" s="1">
        <v>46125.605486111112</v>
      </c>
      <c r="G3033">
        <v>52.872672282217103</v>
      </c>
      <c r="H3033" t="s">
        <v>30</v>
      </c>
      <c r="J3033" t="s">
        <v>16</v>
      </c>
      <c r="K3033">
        <v>577007.90534456098</v>
      </c>
      <c r="L3033" t="s">
        <v>17</v>
      </c>
      <c r="M3033">
        <v>4645.2501850790504</v>
      </c>
      <c r="N3033">
        <v>0.11934444979962699</v>
      </c>
    </row>
    <row r="3034" spans="2:14" x14ac:dyDescent="0.25">
      <c r="B3034" t="s">
        <v>14</v>
      </c>
      <c r="C3034" s="1">
        <v>46126.999988425923</v>
      </c>
      <c r="D3034">
        <v>25.154513776839799</v>
      </c>
      <c r="E3034">
        <v>68862.690993382304</v>
      </c>
      <c r="F3034" s="1">
        <v>46125.605486111112</v>
      </c>
      <c r="G3034">
        <v>52.872672282217103</v>
      </c>
      <c r="H3034" t="s">
        <v>30</v>
      </c>
      <c r="J3034" t="s">
        <v>16</v>
      </c>
      <c r="K3034">
        <v>577007.90534456098</v>
      </c>
      <c r="L3034" t="s">
        <v>17</v>
      </c>
      <c r="M3034">
        <v>0</v>
      </c>
      <c r="N3034">
        <v>0.11934444979962699</v>
      </c>
    </row>
    <row r="3035" spans="2:14" x14ac:dyDescent="0.25">
      <c r="B3035" t="s">
        <v>14</v>
      </c>
      <c r="C3035" s="1">
        <v>46125.999988425923</v>
      </c>
      <c r="D3035">
        <v>25.154513776839799</v>
      </c>
      <c r="E3035">
        <v>68862.690993382304</v>
      </c>
      <c r="F3035" s="1">
        <v>46125.605486111112</v>
      </c>
      <c r="G3035">
        <v>52.872672282217103</v>
      </c>
      <c r="H3035" t="s">
        <v>30</v>
      </c>
      <c r="J3035" t="s">
        <v>16</v>
      </c>
      <c r="K3035">
        <v>577007.90534456098</v>
      </c>
      <c r="L3035" t="s">
        <v>17</v>
      </c>
      <c r="M3035">
        <v>0</v>
      </c>
      <c r="N3035">
        <v>0.11934444979962699</v>
      </c>
    </row>
    <row r="3036" spans="2:14" x14ac:dyDescent="0.25">
      <c r="B3036" t="s">
        <v>14</v>
      </c>
      <c r="C3036" s="1">
        <v>46124.999988425923</v>
      </c>
      <c r="D3036">
        <v>25.154513776839799</v>
      </c>
      <c r="E3036">
        <v>64518.062338576703</v>
      </c>
      <c r="F3036" s="1">
        <v>46122.099803240744</v>
      </c>
      <c r="G3036">
        <v>52.872672282217103</v>
      </c>
      <c r="H3036" t="s">
        <v>30</v>
      </c>
      <c r="J3036" t="s">
        <v>16</v>
      </c>
      <c r="K3036">
        <v>577007.90534456098</v>
      </c>
      <c r="L3036" t="s">
        <v>17</v>
      </c>
      <c r="M3036">
        <v>-4344.6286548055896</v>
      </c>
      <c r="N3036">
        <v>0.111814867250474</v>
      </c>
    </row>
    <row r="3037" spans="2:14" x14ac:dyDescent="0.25">
      <c r="B3037" t="s">
        <v>14</v>
      </c>
      <c r="C3037" s="1">
        <v>46123.999988425923</v>
      </c>
      <c r="D3037">
        <v>25.154513776839799</v>
      </c>
      <c r="E3037">
        <v>64518.062338576703</v>
      </c>
      <c r="F3037" s="1">
        <v>46122.099803240744</v>
      </c>
      <c r="G3037">
        <v>52.872672282217103</v>
      </c>
      <c r="H3037" t="s">
        <v>30</v>
      </c>
      <c r="J3037" t="s">
        <v>16</v>
      </c>
      <c r="K3037">
        <v>577007.90534456098</v>
      </c>
      <c r="L3037" t="s">
        <v>17</v>
      </c>
      <c r="M3037">
        <v>0</v>
      </c>
      <c r="N3037">
        <v>0.111814867250474</v>
      </c>
    </row>
    <row r="3038" spans="2:14" x14ac:dyDescent="0.25">
      <c r="B3038" t="s">
        <v>14</v>
      </c>
      <c r="C3038" s="1">
        <v>46122.999988425923</v>
      </c>
      <c r="D3038">
        <v>25.154513776839799</v>
      </c>
      <c r="E3038">
        <v>64518.062338576703</v>
      </c>
      <c r="F3038" s="1">
        <v>46122.099803240744</v>
      </c>
      <c r="G3038">
        <v>52.872672282217103</v>
      </c>
      <c r="H3038" t="s">
        <v>30</v>
      </c>
      <c r="J3038" t="s">
        <v>16</v>
      </c>
      <c r="K3038">
        <v>577007.90534456098</v>
      </c>
      <c r="L3038" t="s">
        <v>17</v>
      </c>
      <c r="M3038">
        <v>0</v>
      </c>
      <c r="N3038">
        <v>0.111814867250474</v>
      </c>
    </row>
    <row r="3039" spans="2:14" x14ac:dyDescent="0.25">
      <c r="B3039" t="s">
        <v>14</v>
      </c>
      <c r="C3039" s="1">
        <v>46121.999988425923</v>
      </c>
      <c r="D3039">
        <v>25.154513776839799</v>
      </c>
      <c r="E3039">
        <v>66189.478779187601</v>
      </c>
      <c r="F3039" s="1">
        <v>46119.606296296297</v>
      </c>
      <c r="G3039">
        <v>52.872672282217103</v>
      </c>
      <c r="H3039" t="s">
        <v>30</v>
      </c>
      <c r="J3039" t="s">
        <v>16</v>
      </c>
      <c r="K3039">
        <v>577007.90534456098</v>
      </c>
      <c r="L3039" t="s">
        <v>17</v>
      </c>
      <c r="M3039">
        <v>1671.41644061089</v>
      </c>
      <c r="N3039">
        <v>0.114711563162488</v>
      </c>
    </row>
    <row r="3040" spans="2:14" x14ac:dyDescent="0.25">
      <c r="B3040" t="s">
        <v>14</v>
      </c>
      <c r="C3040" s="1">
        <v>46120.999988425923</v>
      </c>
      <c r="D3040">
        <v>25.154513776839799</v>
      </c>
      <c r="E3040">
        <v>66189.478779187601</v>
      </c>
      <c r="F3040" s="1">
        <v>46119.606296296297</v>
      </c>
      <c r="G3040">
        <v>52.872672282217103</v>
      </c>
      <c r="H3040" t="s">
        <v>30</v>
      </c>
      <c r="J3040" t="s">
        <v>16</v>
      </c>
      <c r="K3040">
        <v>577007.90534456098</v>
      </c>
      <c r="L3040" t="s">
        <v>17</v>
      </c>
      <c r="M3040">
        <v>0</v>
      </c>
      <c r="N3040">
        <v>0.114711563162488</v>
      </c>
    </row>
    <row r="3041" spans="2:14" x14ac:dyDescent="0.25">
      <c r="B3041" t="s">
        <v>14</v>
      </c>
      <c r="C3041" s="1">
        <v>46119.999988425923</v>
      </c>
      <c r="D3041">
        <v>25.154513776839799</v>
      </c>
      <c r="E3041">
        <v>66189.478779187601</v>
      </c>
      <c r="F3041" s="1">
        <v>46119.606296296297</v>
      </c>
      <c r="G3041">
        <v>52.872672282217103</v>
      </c>
      <c r="H3041" t="s">
        <v>30</v>
      </c>
      <c r="J3041" t="s">
        <v>16</v>
      </c>
      <c r="K3041">
        <v>577007.90534456098</v>
      </c>
      <c r="L3041" t="s">
        <v>17</v>
      </c>
      <c r="M3041">
        <v>0</v>
      </c>
      <c r="N3041">
        <v>0.114711563162488</v>
      </c>
    </row>
    <row r="3042" spans="2:14" x14ac:dyDescent="0.25">
      <c r="B3042" t="s">
        <v>14</v>
      </c>
      <c r="C3042" s="1">
        <v>46118.999988425923</v>
      </c>
      <c r="D3042">
        <v>25.154513776839799</v>
      </c>
      <c r="E3042">
        <v>57416.205327100797</v>
      </c>
      <c r="F3042" s="1">
        <v>46116.099108796298</v>
      </c>
      <c r="G3042">
        <v>52.872672282217103</v>
      </c>
      <c r="H3042" t="s">
        <v>30</v>
      </c>
      <c r="J3042" t="s">
        <v>16</v>
      </c>
      <c r="K3042">
        <v>577007.90534456098</v>
      </c>
      <c r="L3042" t="s">
        <v>17</v>
      </c>
      <c r="M3042">
        <v>-8773.2734520867798</v>
      </c>
      <c r="N3042">
        <v>9.9506791493289198E-2</v>
      </c>
    </row>
    <row r="3043" spans="2:14" x14ac:dyDescent="0.25">
      <c r="B3043" t="s">
        <v>14</v>
      </c>
      <c r="C3043" s="1">
        <v>46117.999988425923</v>
      </c>
      <c r="D3043">
        <v>25.154513776839799</v>
      </c>
      <c r="E3043">
        <v>57416.205327100797</v>
      </c>
      <c r="F3043" s="1">
        <v>46116.099108796298</v>
      </c>
      <c r="G3043">
        <v>52.872672282217103</v>
      </c>
      <c r="H3043" t="s">
        <v>30</v>
      </c>
      <c r="J3043" t="s">
        <v>16</v>
      </c>
      <c r="K3043">
        <v>577007.90534456098</v>
      </c>
      <c r="L3043" t="s">
        <v>17</v>
      </c>
      <c r="M3043">
        <v>0</v>
      </c>
      <c r="N3043">
        <v>9.9506791493289198E-2</v>
      </c>
    </row>
    <row r="3044" spans="2:14" x14ac:dyDescent="0.25">
      <c r="B3044" t="s">
        <v>14</v>
      </c>
      <c r="C3044" s="1">
        <v>46116.999988425923</v>
      </c>
      <c r="D3044">
        <v>25.154513776839799</v>
      </c>
      <c r="E3044">
        <v>57416.205327100797</v>
      </c>
      <c r="F3044" s="1">
        <v>46116.099108796298</v>
      </c>
      <c r="G3044">
        <v>52.872672282217103</v>
      </c>
      <c r="H3044" t="s">
        <v>30</v>
      </c>
      <c r="J3044" t="s">
        <v>16</v>
      </c>
      <c r="K3044">
        <v>577007.90534456098</v>
      </c>
      <c r="L3044" t="s">
        <v>17</v>
      </c>
      <c r="M3044">
        <v>0</v>
      </c>
      <c r="N3044">
        <v>9.9506791493289198E-2</v>
      </c>
    </row>
    <row r="3045" spans="2:14" x14ac:dyDescent="0.25">
      <c r="B3045" t="s">
        <v>14</v>
      </c>
      <c r="C3045" s="1">
        <v>46115.999988425923</v>
      </c>
      <c r="D3045">
        <v>25.154513776839799</v>
      </c>
      <c r="E3045">
        <v>66822.618710519193</v>
      </c>
      <c r="F3045" s="1">
        <v>46113.605474537035</v>
      </c>
      <c r="G3045">
        <v>52.872672282217103</v>
      </c>
      <c r="H3045" t="s">
        <v>30</v>
      </c>
      <c r="J3045" t="s">
        <v>16</v>
      </c>
      <c r="K3045">
        <v>577007.90534456098</v>
      </c>
      <c r="L3045" t="s">
        <v>17</v>
      </c>
      <c r="M3045">
        <v>9406.4133834183995</v>
      </c>
      <c r="N3045">
        <v>0.115808844370366</v>
      </c>
    </row>
    <row r="3046" spans="2:14" x14ac:dyDescent="0.25">
      <c r="B3046" t="s">
        <v>14</v>
      </c>
      <c r="C3046" s="1">
        <v>46114.999988425923</v>
      </c>
      <c r="D3046">
        <v>25.154513776839799</v>
      </c>
      <c r="E3046">
        <v>66822.618710519193</v>
      </c>
      <c r="F3046" s="1">
        <v>46113.605474537035</v>
      </c>
      <c r="G3046">
        <v>52.872672282217103</v>
      </c>
      <c r="H3046" t="s">
        <v>30</v>
      </c>
      <c r="J3046" t="s">
        <v>16</v>
      </c>
      <c r="K3046">
        <v>577007.90534456098</v>
      </c>
      <c r="L3046" t="s">
        <v>17</v>
      </c>
      <c r="M3046">
        <v>0</v>
      </c>
      <c r="N3046">
        <v>0.115808844370366</v>
      </c>
    </row>
    <row r="3047" spans="2:14" x14ac:dyDescent="0.25">
      <c r="B3047" t="s">
        <v>14</v>
      </c>
      <c r="C3047" s="1">
        <v>46113.999988425923</v>
      </c>
      <c r="D3047">
        <v>25.154513776839799</v>
      </c>
      <c r="E3047">
        <v>66822.618710519193</v>
      </c>
      <c r="F3047" s="1">
        <v>46113.605474537035</v>
      </c>
      <c r="G3047">
        <v>52.872672282217103</v>
      </c>
      <c r="H3047" t="s">
        <v>30</v>
      </c>
      <c r="J3047" t="s">
        <v>16</v>
      </c>
      <c r="K3047">
        <v>577007.90534456098</v>
      </c>
      <c r="L3047" t="s">
        <v>17</v>
      </c>
      <c r="M3047">
        <v>0</v>
      </c>
      <c r="N3047">
        <v>0.115808844370366</v>
      </c>
    </row>
    <row r="3048" spans="2:14" x14ac:dyDescent="0.25">
      <c r="B3048" t="s">
        <v>14</v>
      </c>
      <c r="C3048" s="1">
        <v>46112.999988425923</v>
      </c>
      <c r="D3048">
        <v>25.154513776839799</v>
      </c>
      <c r="E3048">
        <v>61064.436693588701</v>
      </c>
      <c r="F3048" s="1">
        <v>46110.099803240744</v>
      </c>
      <c r="G3048">
        <v>52.872672282217103</v>
      </c>
      <c r="H3048" t="s">
        <v>30</v>
      </c>
      <c r="J3048" t="s">
        <v>16</v>
      </c>
      <c r="K3048">
        <v>577007.90534456098</v>
      </c>
      <c r="L3048" t="s">
        <v>17</v>
      </c>
      <c r="M3048">
        <v>-5758.1820169304801</v>
      </c>
      <c r="N3048">
        <v>0.105829462868665</v>
      </c>
    </row>
    <row r="3049" spans="2:14" x14ac:dyDescent="0.25">
      <c r="B3049" t="s">
        <v>14</v>
      </c>
      <c r="C3049" s="1">
        <v>46111.999988425923</v>
      </c>
      <c r="D3049">
        <v>25.154513776839799</v>
      </c>
      <c r="E3049">
        <v>61064.436693588701</v>
      </c>
      <c r="F3049" s="1">
        <v>46110.099803240744</v>
      </c>
      <c r="G3049">
        <v>52.872672282217103</v>
      </c>
      <c r="H3049" t="s">
        <v>30</v>
      </c>
      <c r="J3049" t="s">
        <v>16</v>
      </c>
      <c r="K3049">
        <v>577007.90534456098</v>
      </c>
      <c r="L3049" t="s">
        <v>17</v>
      </c>
      <c r="M3049">
        <v>0</v>
      </c>
      <c r="N3049">
        <v>0.105829462868665</v>
      </c>
    </row>
    <row r="3050" spans="2:14" x14ac:dyDescent="0.25">
      <c r="B3050" t="s">
        <v>14</v>
      </c>
      <c r="C3050" s="1">
        <v>46110.999988425923</v>
      </c>
      <c r="D3050">
        <v>25.154513776839799</v>
      </c>
      <c r="E3050">
        <v>61064.436693588701</v>
      </c>
      <c r="F3050" s="1">
        <v>46110.099803240744</v>
      </c>
      <c r="G3050">
        <v>52.872672282217103</v>
      </c>
      <c r="H3050" t="s">
        <v>30</v>
      </c>
      <c r="J3050" t="s">
        <v>16</v>
      </c>
      <c r="K3050">
        <v>577007.90534456098</v>
      </c>
      <c r="L3050" t="s">
        <v>17</v>
      </c>
      <c r="M3050">
        <v>0</v>
      </c>
      <c r="N3050">
        <v>0.105829462868665</v>
      </c>
    </row>
    <row r="3051" spans="2:14" x14ac:dyDescent="0.25">
      <c r="B3051" t="s">
        <v>14</v>
      </c>
      <c r="C3051" s="1">
        <v>46109.999988425923</v>
      </c>
      <c r="D3051">
        <v>25.154513776839799</v>
      </c>
      <c r="E3051">
        <v>66837.433178580497</v>
      </c>
      <c r="F3051" s="1">
        <v>46107.606296296297</v>
      </c>
      <c r="G3051">
        <v>52.872672282217103</v>
      </c>
      <c r="H3051" t="s">
        <v>30</v>
      </c>
      <c r="J3051" t="s">
        <v>16</v>
      </c>
      <c r="K3051">
        <v>577007.90534456098</v>
      </c>
      <c r="L3051" t="s">
        <v>17</v>
      </c>
      <c r="M3051">
        <v>5772.9964849917997</v>
      </c>
      <c r="N3051">
        <v>0.115834519006578</v>
      </c>
    </row>
    <row r="3052" spans="2:14" x14ac:dyDescent="0.25">
      <c r="B3052" t="s">
        <v>14</v>
      </c>
      <c r="C3052" s="1">
        <v>46108.999988425923</v>
      </c>
      <c r="D3052">
        <v>25.154513776839799</v>
      </c>
      <c r="E3052">
        <v>66837.433178580497</v>
      </c>
      <c r="F3052" s="1">
        <v>46107.606296296297</v>
      </c>
      <c r="G3052">
        <v>52.872672282217103</v>
      </c>
      <c r="H3052" t="s">
        <v>30</v>
      </c>
      <c r="J3052" t="s">
        <v>16</v>
      </c>
      <c r="K3052">
        <v>577007.90534456098</v>
      </c>
      <c r="L3052" t="s">
        <v>17</v>
      </c>
      <c r="M3052">
        <v>0</v>
      </c>
      <c r="N3052">
        <v>0.115834519006578</v>
      </c>
    </row>
    <row r="3053" spans="2:14" x14ac:dyDescent="0.25">
      <c r="B3053" t="s">
        <v>14</v>
      </c>
      <c r="C3053" s="1">
        <v>46107.999988425923</v>
      </c>
      <c r="D3053">
        <v>25.154513776839799</v>
      </c>
      <c r="E3053">
        <v>66837.433178580497</v>
      </c>
      <c r="F3053" s="1">
        <v>46107.606296296297</v>
      </c>
      <c r="G3053">
        <v>52.872672282217103</v>
      </c>
      <c r="H3053" t="s">
        <v>30</v>
      </c>
      <c r="J3053" t="s">
        <v>16</v>
      </c>
      <c r="K3053">
        <v>577007.90534456098</v>
      </c>
      <c r="L3053" t="s">
        <v>17</v>
      </c>
      <c r="M3053">
        <v>0</v>
      </c>
      <c r="N3053">
        <v>0.115834519006578</v>
      </c>
    </row>
    <row r="3054" spans="2:14" x14ac:dyDescent="0.25">
      <c r="B3054" t="s">
        <v>14</v>
      </c>
      <c r="C3054" s="1">
        <v>46106.999988425923</v>
      </c>
      <c r="D3054">
        <v>25.154513776839799</v>
      </c>
      <c r="E3054">
        <v>49603.307846760297</v>
      </c>
      <c r="F3054" s="1">
        <v>46104.099108796298</v>
      </c>
      <c r="G3054">
        <v>52.872672282217103</v>
      </c>
      <c r="H3054" t="s">
        <v>30</v>
      </c>
      <c r="J3054" t="s">
        <v>16</v>
      </c>
      <c r="K3054">
        <v>577007.90534456098</v>
      </c>
      <c r="L3054" t="s">
        <v>17</v>
      </c>
      <c r="M3054">
        <v>-17234.125331820102</v>
      </c>
      <c r="N3054">
        <v>8.5966426780824903E-2</v>
      </c>
    </row>
    <row r="3055" spans="2:14" x14ac:dyDescent="0.25">
      <c r="B3055" t="s">
        <v>14</v>
      </c>
      <c r="C3055" s="1">
        <v>46105.999988425923</v>
      </c>
      <c r="D3055">
        <v>25.154513776839799</v>
      </c>
      <c r="E3055">
        <v>49603.307846760297</v>
      </c>
      <c r="F3055" s="1">
        <v>46104.099108796298</v>
      </c>
      <c r="G3055">
        <v>52.872672282217103</v>
      </c>
      <c r="H3055" t="s">
        <v>30</v>
      </c>
      <c r="J3055" t="s">
        <v>16</v>
      </c>
      <c r="K3055">
        <v>577007.90534456098</v>
      </c>
      <c r="L3055" t="s">
        <v>17</v>
      </c>
      <c r="M3055">
        <v>0</v>
      </c>
      <c r="N3055">
        <v>8.5966426780824903E-2</v>
      </c>
    </row>
    <row r="3056" spans="2:14" x14ac:dyDescent="0.25">
      <c r="B3056" t="s">
        <v>14</v>
      </c>
      <c r="C3056" s="1">
        <v>46104.999988425923</v>
      </c>
      <c r="D3056">
        <v>25.154513776839799</v>
      </c>
      <c r="E3056">
        <v>49603.307846760297</v>
      </c>
      <c r="F3056" s="1">
        <v>46104.099108796298</v>
      </c>
      <c r="G3056">
        <v>52.872672282217103</v>
      </c>
      <c r="H3056" t="s">
        <v>30</v>
      </c>
      <c r="J3056" t="s">
        <v>16</v>
      </c>
      <c r="K3056">
        <v>577007.90534456098</v>
      </c>
      <c r="L3056" t="s">
        <v>17</v>
      </c>
      <c r="M3056">
        <v>0</v>
      </c>
      <c r="N3056">
        <v>8.5966426780824903E-2</v>
      </c>
    </row>
    <row r="3057" spans="2:14" x14ac:dyDescent="0.25">
      <c r="B3057" t="s">
        <v>14</v>
      </c>
      <c r="C3057" s="1">
        <v>46103.999988425923</v>
      </c>
      <c r="D3057">
        <v>25.154513776839799</v>
      </c>
      <c r="E3057">
        <v>54322.5905558253</v>
      </c>
      <c r="F3057" s="1">
        <v>46101.605474537035</v>
      </c>
      <c r="G3057">
        <v>52.872672282217103</v>
      </c>
      <c r="H3057" t="s">
        <v>30</v>
      </c>
      <c r="J3057" t="s">
        <v>16</v>
      </c>
      <c r="K3057">
        <v>577007.90534456098</v>
      </c>
      <c r="L3057" t="s">
        <v>17</v>
      </c>
      <c r="M3057">
        <v>4719.2827090650098</v>
      </c>
      <c r="N3057">
        <v>9.4145314219545306E-2</v>
      </c>
    </row>
    <row r="3058" spans="2:14" x14ac:dyDescent="0.25">
      <c r="B3058" t="s">
        <v>14</v>
      </c>
      <c r="C3058" s="1">
        <v>46102.999988425923</v>
      </c>
      <c r="D3058">
        <v>25.154513776839799</v>
      </c>
      <c r="E3058">
        <v>54322.5905558253</v>
      </c>
      <c r="F3058" s="1">
        <v>46101.605474537035</v>
      </c>
      <c r="G3058">
        <v>52.872672282217103</v>
      </c>
      <c r="H3058" t="s">
        <v>30</v>
      </c>
      <c r="J3058" t="s">
        <v>16</v>
      </c>
      <c r="K3058">
        <v>577007.90534456098</v>
      </c>
      <c r="L3058" t="s">
        <v>17</v>
      </c>
      <c r="M3058">
        <v>0</v>
      </c>
      <c r="N3058">
        <v>9.4145314219545306E-2</v>
      </c>
    </row>
    <row r="3059" spans="2:14" x14ac:dyDescent="0.25">
      <c r="B3059" t="s">
        <v>14</v>
      </c>
      <c r="C3059" s="1">
        <v>46101.999988425923</v>
      </c>
      <c r="D3059">
        <v>25.154513776839799</v>
      </c>
      <c r="E3059">
        <v>54322.5905558253</v>
      </c>
      <c r="F3059" s="1">
        <v>46101.605474537035</v>
      </c>
      <c r="G3059">
        <v>52.872672282217103</v>
      </c>
      <c r="H3059" t="s">
        <v>30</v>
      </c>
      <c r="J3059" t="s">
        <v>16</v>
      </c>
      <c r="K3059">
        <v>577007.90534456098</v>
      </c>
      <c r="L3059" t="s">
        <v>17</v>
      </c>
      <c r="M3059">
        <v>0</v>
      </c>
      <c r="N3059">
        <v>9.4145314219545306E-2</v>
      </c>
    </row>
    <row r="3060" spans="2:14" x14ac:dyDescent="0.25">
      <c r="B3060" t="s">
        <v>14</v>
      </c>
      <c r="C3060" s="1">
        <v>46100.999988425923</v>
      </c>
      <c r="D3060">
        <v>25.154513776839799</v>
      </c>
      <c r="E3060">
        <v>57827.7642150233</v>
      </c>
      <c r="F3060" s="1">
        <v>46098.099803240744</v>
      </c>
      <c r="G3060">
        <v>52.872672282217103</v>
      </c>
      <c r="H3060" t="s">
        <v>30</v>
      </c>
      <c r="J3060" t="s">
        <v>16</v>
      </c>
      <c r="K3060">
        <v>577007.90534456098</v>
      </c>
      <c r="L3060" t="s">
        <v>17</v>
      </c>
      <c r="M3060">
        <v>3505.1736591979202</v>
      </c>
      <c r="N3060">
        <v>0.100220055356938</v>
      </c>
    </row>
    <row r="3061" spans="2:14" x14ac:dyDescent="0.25">
      <c r="B3061" t="s">
        <v>14</v>
      </c>
      <c r="C3061" s="1">
        <v>46099.999988425923</v>
      </c>
      <c r="D3061">
        <v>25.154513776839799</v>
      </c>
      <c r="E3061">
        <v>57827.7642150233</v>
      </c>
      <c r="F3061" s="1">
        <v>46098.099803240744</v>
      </c>
      <c r="G3061">
        <v>52.872672282217103</v>
      </c>
      <c r="H3061" t="s">
        <v>30</v>
      </c>
      <c r="J3061" t="s">
        <v>16</v>
      </c>
      <c r="K3061">
        <v>577007.90534456098</v>
      </c>
      <c r="L3061" t="s">
        <v>17</v>
      </c>
      <c r="M3061">
        <v>0</v>
      </c>
      <c r="N3061">
        <v>0.100220055356938</v>
      </c>
    </row>
    <row r="3062" spans="2:14" x14ac:dyDescent="0.25">
      <c r="B3062" t="s">
        <v>14</v>
      </c>
      <c r="C3062" s="1">
        <v>46098.999988425923</v>
      </c>
      <c r="D3062">
        <v>25.154513776839799</v>
      </c>
      <c r="E3062">
        <v>57827.7642150233</v>
      </c>
      <c r="F3062" s="1">
        <v>46098.099803240744</v>
      </c>
      <c r="G3062">
        <v>52.872672282217103</v>
      </c>
      <c r="H3062" t="s">
        <v>30</v>
      </c>
      <c r="J3062" t="s">
        <v>16</v>
      </c>
      <c r="K3062">
        <v>577007.90534456098</v>
      </c>
      <c r="L3062" t="s">
        <v>17</v>
      </c>
      <c r="M3062">
        <v>0</v>
      </c>
      <c r="N3062">
        <v>0.100220055356938</v>
      </c>
    </row>
    <row r="3063" spans="2:14" x14ac:dyDescent="0.25">
      <c r="B3063" t="s">
        <v>14</v>
      </c>
      <c r="C3063" s="1">
        <v>46097.999988425923</v>
      </c>
      <c r="D3063">
        <v>25.154513776839799</v>
      </c>
      <c r="E3063">
        <v>126559.935810836</v>
      </c>
      <c r="F3063" s="1">
        <v>46095.606296296297</v>
      </c>
      <c r="G3063">
        <v>52.872672282217103</v>
      </c>
      <c r="H3063" t="s">
        <v>30</v>
      </c>
      <c r="J3063" t="s">
        <v>16</v>
      </c>
      <c r="K3063">
        <v>577007.90534456098</v>
      </c>
      <c r="L3063" t="s">
        <v>17</v>
      </c>
      <c r="M3063">
        <v>68732.171595813503</v>
      </c>
      <c r="N3063">
        <v>0.21933830479369501</v>
      </c>
    </row>
    <row r="3064" spans="2:14" x14ac:dyDescent="0.25">
      <c r="B3064" t="s">
        <v>14</v>
      </c>
      <c r="C3064" s="1">
        <v>46096.999988425923</v>
      </c>
      <c r="D3064">
        <v>25.154513776839799</v>
      </c>
      <c r="E3064">
        <v>126559.935810836</v>
      </c>
      <c r="F3064" s="1">
        <v>46095.606296296297</v>
      </c>
      <c r="G3064">
        <v>52.872672282217103</v>
      </c>
      <c r="H3064" t="s">
        <v>30</v>
      </c>
      <c r="J3064" t="s">
        <v>16</v>
      </c>
      <c r="K3064">
        <v>577007.90534456098</v>
      </c>
      <c r="L3064" t="s">
        <v>17</v>
      </c>
      <c r="M3064">
        <v>0</v>
      </c>
      <c r="N3064">
        <v>0.21933830479369501</v>
      </c>
    </row>
    <row r="3065" spans="2:14" x14ac:dyDescent="0.25">
      <c r="B3065" t="s">
        <v>14</v>
      </c>
      <c r="C3065" s="1">
        <v>46095.999988425923</v>
      </c>
      <c r="D3065">
        <v>25.154513776839799</v>
      </c>
      <c r="E3065">
        <v>126559.935810836</v>
      </c>
      <c r="F3065" s="1">
        <v>46095.606296296297</v>
      </c>
      <c r="G3065">
        <v>52.872672282217103</v>
      </c>
      <c r="H3065" t="s">
        <v>30</v>
      </c>
      <c r="J3065" t="s">
        <v>16</v>
      </c>
      <c r="K3065">
        <v>577007.90534456098</v>
      </c>
      <c r="L3065" t="s">
        <v>17</v>
      </c>
      <c r="M3065">
        <v>0</v>
      </c>
      <c r="N3065">
        <v>0.21933830479369501</v>
      </c>
    </row>
    <row r="3066" spans="2:14" x14ac:dyDescent="0.25">
      <c r="B3066" t="s">
        <v>14</v>
      </c>
      <c r="C3066" s="1">
        <v>46094.999988425923</v>
      </c>
      <c r="D3066">
        <v>25.154513776839799</v>
      </c>
      <c r="E3066">
        <v>577007.90534456098</v>
      </c>
      <c r="F3066" s="1">
        <v>46092.099097222221</v>
      </c>
      <c r="G3066">
        <v>52.872672282217103</v>
      </c>
      <c r="H3066" t="s">
        <v>30</v>
      </c>
      <c r="J3066" t="s">
        <v>16</v>
      </c>
      <c r="K3066">
        <v>577007.90534456098</v>
      </c>
      <c r="L3066" t="s">
        <v>17</v>
      </c>
      <c r="M3066">
        <v>450447.96953372401</v>
      </c>
      <c r="N3066">
        <v>1</v>
      </c>
    </row>
    <row r="3067" spans="2:14" x14ac:dyDescent="0.25">
      <c r="B3067" t="s">
        <v>14</v>
      </c>
      <c r="C3067" s="1">
        <v>46093.999988425923</v>
      </c>
      <c r="D3067">
        <v>25.154513776839799</v>
      </c>
      <c r="E3067">
        <v>577007.90534456098</v>
      </c>
      <c r="F3067" s="1">
        <v>46092.099097222221</v>
      </c>
      <c r="G3067">
        <v>52.872672282217103</v>
      </c>
      <c r="H3067" t="s">
        <v>30</v>
      </c>
      <c r="J3067" t="s">
        <v>16</v>
      </c>
      <c r="K3067">
        <v>577007.90534456098</v>
      </c>
      <c r="L3067" t="s">
        <v>17</v>
      </c>
      <c r="M3067">
        <v>0</v>
      </c>
      <c r="N3067">
        <v>1</v>
      </c>
    </row>
    <row r="3068" spans="2:14" x14ac:dyDescent="0.25">
      <c r="B3068" t="s">
        <v>14</v>
      </c>
      <c r="C3068" s="1">
        <v>46092.999988425923</v>
      </c>
      <c r="D3068">
        <v>25.154513776839799</v>
      </c>
      <c r="E3068">
        <v>577007.90534456098</v>
      </c>
      <c r="F3068" s="1">
        <v>46092.099097222221</v>
      </c>
      <c r="G3068">
        <v>52.872672282217103</v>
      </c>
      <c r="H3068" t="s">
        <v>30</v>
      </c>
      <c r="J3068" t="s">
        <v>16</v>
      </c>
      <c r="K3068">
        <v>577007.90534456098</v>
      </c>
      <c r="L3068" t="s">
        <v>17</v>
      </c>
      <c r="M3068">
        <v>0</v>
      </c>
      <c r="N3068">
        <v>1</v>
      </c>
    </row>
    <row r="3069" spans="2:14" x14ac:dyDescent="0.25">
      <c r="B3069" t="s">
        <v>14</v>
      </c>
      <c r="C3069" s="1">
        <v>46091.999988425923</v>
      </c>
      <c r="D3069">
        <v>25.154513776839799</v>
      </c>
      <c r="E3069">
        <v>296188.65947319102</v>
      </c>
      <c r="F3069" s="1">
        <v>46089.605474537035</v>
      </c>
      <c r="G3069">
        <v>52.872672282217103</v>
      </c>
      <c r="H3069" t="s">
        <v>30</v>
      </c>
      <c r="J3069" t="s">
        <v>16</v>
      </c>
      <c r="K3069">
        <v>577007.90534456098</v>
      </c>
      <c r="L3069" t="s">
        <v>17</v>
      </c>
      <c r="M3069">
        <v>-280819.24587136903</v>
      </c>
      <c r="N3069">
        <v>0.51331820020095198</v>
      </c>
    </row>
    <row r="3070" spans="2:14" x14ac:dyDescent="0.25">
      <c r="B3070" t="s">
        <v>14</v>
      </c>
      <c r="C3070" s="1">
        <v>46090.999988425923</v>
      </c>
      <c r="D3070">
        <v>25.154513776839799</v>
      </c>
      <c r="E3070">
        <v>296188.65947319102</v>
      </c>
      <c r="F3070" s="1">
        <v>46089.605474537035</v>
      </c>
      <c r="G3070">
        <v>52.872672282217103</v>
      </c>
      <c r="H3070" t="s">
        <v>30</v>
      </c>
      <c r="J3070" t="s">
        <v>16</v>
      </c>
      <c r="K3070">
        <v>577007.90534456098</v>
      </c>
      <c r="L3070" t="s">
        <v>17</v>
      </c>
      <c r="M3070">
        <v>0</v>
      </c>
      <c r="N3070">
        <v>0.51331820020095198</v>
      </c>
    </row>
    <row r="3071" spans="2:14" x14ac:dyDescent="0.25">
      <c r="B3071" t="s">
        <v>14</v>
      </c>
      <c r="C3071" s="1">
        <v>46089.999988425923</v>
      </c>
      <c r="D3071">
        <v>25.154513776839799</v>
      </c>
      <c r="E3071">
        <v>296188.65947319102</v>
      </c>
      <c r="F3071" s="1">
        <v>46089.605474537035</v>
      </c>
      <c r="G3071">
        <v>52.872672282217103</v>
      </c>
      <c r="H3071" t="s">
        <v>30</v>
      </c>
      <c r="J3071" t="s">
        <v>16</v>
      </c>
      <c r="K3071">
        <v>577007.90534456098</v>
      </c>
      <c r="L3071" t="s">
        <v>17</v>
      </c>
      <c r="M3071">
        <v>0</v>
      </c>
      <c r="N3071">
        <v>0.51331820020095198</v>
      </c>
    </row>
    <row r="3072" spans="2:14" x14ac:dyDescent="0.25">
      <c r="B3072" t="s">
        <v>14</v>
      </c>
      <c r="C3072" s="1">
        <v>46088.999988425923</v>
      </c>
      <c r="D3072">
        <v>25.154513776839799</v>
      </c>
      <c r="E3072">
        <v>577007.90534456098</v>
      </c>
      <c r="F3072" s="1">
        <v>46086.099803240744</v>
      </c>
      <c r="G3072">
        <v>52.872672282217103</v>
      </c>
      <c r="H3072" t="s">
        <v>30</v>
      </c>
      <c r="J3072" t="s">
        <v>16</v>
      </c>
      <c r="K3072">
        <v>577007.90534456098</v>
      </c>
      <c r="L3072" t="s">
        <v>17</v>
      </c>
      <c r="M3072">
        <v>280819.24587136903</v>
      </c>
      <c r="N3072">
        <v>1</v>
      </c>
    </row>
    <row r="3073" spans="2:14" x14ac:dyDescent="0.25">
      <c r="B3073" t="s">
        <v>14</v>
      </c>
      <c r="C3073" s="1">
        <v>46087.999988425923</v>
      </c>
      <c r="D3073">
        <v>25.154513776839799</v>
      </c>
      <c r="E3073">
        <v>577007.90534456098</v>
      </c>
      <c r="F3073" s="1">
        <v>46086.099803240744</v>
      </c>
      <c r="G3073">
        <v>52.872672282217103</v>
      </c>
      <c r="H3073" t="s">
        <v>30</v>
      </c>
      <c r="J3073" t="s">
        <v>16</v>
      </c>
      <c r="K3073">
        <v>577007.90534456098</v>
      </c>
      <c r="L3073" t="s">
        <v>17</v>
      </c>
      <c r="M3073">
        <v>0</v>
      </c>
      <c r="N3073">
        <v>1</v>
      </c>
    </row>
    <row r="3074" spans="2:14" x14ac:dyDescent="0.25">
      <c r="B3074" t="s">
        <v>14</v>
      </c>
      <c r="C3074" s="1">
        <v>46086.999988425923</v>
      </c>
      <c r="D3074">
        <v>25.154513776839799</v>
      </c>
      <c r="E3074">
        <v>577007.90534456098</v>
      </c>
      <c r="F3074" s="1">
        <v>46086.099803240744</v>
      </c>
      <c r="G3074">
        <v>52.872672282217103</v>
      </c>
      <c r="H3074" t="s">
        <v>30</v>
      </c>
      <c r="J3074" t="s">
        <v>16</v>
      </c>
      <c r="K3074">
        <v>577007.90534456098</v>
      </c>
      <c r="L3074" t="s">
        <v>17</v>
      </c>
      <c r="M3074">
        <v>0</v>
      </c>
      <c r="N3074">
        <v>1</v>
      </c>
    </row>
    <row r="3075" spans="2:14" x14ac:dyDescent="0.25">
      <c r="B3075" t="s">
        <v>14</v>
      </c>
      <c r="C3075" s="1">
        <v>46085.999988425923</v>
      </c>
      <c r="D3075">
        <v>25.154513776839799</v>
      </c>
      <c r="E3075">
        <v>447932.10916280001</v>
      </c>
      <c r="F3075" s="1">
        <v>46083.60628472222</v>
      </c>
      <c r="G3075">
        <v>52.872672282217103</v>
      </c>
      <c r="H3075" t="s">
        <v>30</v>
      </c>
      <c r="J3075" t="s">
        <v>16</v>
      </c>
      <c r="K3075">
        <v>577007.90534456098</v>
      </c>
      <c r="L3075" t="s">
        <v>17</v>
      </c>
      <c r="M3075">
        <v>-129075.796181761</v>
      </c>
      <c r="N3075">
        <v>0.776301511667013</v>
      </c>
    </row>
    <row r="3076" spans="2:14" x14ac:dyDescent="0.25">
      <c r="B3076" t="s">
        <v>14</v>
      </c>
      <c r="C3076" s="1">
        <v>46084.999988425923</v>
      </c>
      <c r="D3076">
        <v>25.154513776839799</v>
      </c>
      <c r="E3076">
        <v>447932.10916280001</v>
      </c>
      <c r="F3076" s="1">
        <v>46083.60628472222</v>
      </c>
      <c r="G3076">
        <v>52.872672282217103</v>
      </c>
      <c r="H3076" t="s">
        <v>30</v>
      </c>
      <c r="J3076" t="s">
        <v>16</v>
      </c>
      <c r="K3076">
        <v>577007.90534456098</v>
      </c>
      <c r="L3076" t="s">
        <v>17</v>
      </c>
      <c r="M3076">
        <v>0</v>
      </c>
      <c r="N3076">
        <v>0.776301511667013</v>
      </c>
    </row>
    <row r="3077" spans="2:14" x14ac:dyDescent="0.25">
      <c r="B3077" t="s">
        <v>14</v>
      </c>
      <c r="C3077" s="1">
        <v>46083.999988425923</v>
      </c>
      <c r="D3077">
        <v>25.154513776839799</v>
      </c>
      <c r="E3077">
        <v>447932.10916280001</v>
      </c>
      <c r="F3077" s="1">
        <v>46083.60628472222</v>
      </c>
      <c r="G3077">
        <v>52.872672282217103</v>
      </c>
      <c r="H3077" t="s">
        <v>30</v>
      </c>
      <c r="J3077" t="s">
        <v>16</v>
      </c>
      <c r="K3077">
        <v>577007.90534456098</v>
      </c>
      <c r="L3077" t="s">
        <v>17</v>
      </c>
      <c r="M3077">
        <v>0</v>
      </c>
      <c r="N3077">
        <v>0.776301511667013</v>
      </c>
    </row>
    <row r="3078" spans="2:14" x14ac:dyDescent="0.25">
      <c r="B3078" t="s">
        <v>14</v>
      </c>
      <c r="C3078" s="1">
        <v>46082.999988425923</v>
      </c>
      <c r="D3078">
        <v>25.154513776839799</v>
      </c>
      <c r="E3078">
        <v>577007.90534456098</v>
      </c>
      <c r="F3078" s="1">
        <v>46080.099097222221</v>
      </c>
      <c r="G3078">
        <v>52.872672282217103</v>
      </c>
      <c r="H3078" t="s">
        <v>30</v>
      </c>
      <c r="J3078" t="s">
        <v>16</v>
      </c>
      <c r="K3078">
        <v>577007.90534456098</v>
      </c>
      <c r="L3078" t="s">
        <v>17</v>
      </c>
      <c r="M3078">
        <v>129075.796181761</v>
      </c>
      <c r="N3078">
        <v>1</v>
      </c>
    </row>
    <row r="3079" spans="2:14" x14ac:dyDescent="0.25">
      <c r="B3079" t="s">
        <v>14</v>
      </c>
      <c r="C3079" s="1">
        <v>46081.999988425923</v>
      </c>
      <c r="D3079">
        <v>25.154513776839799</v>
      </c>
      <c r="E3079">
        <v>577007.90534456098</v>
      </c>
      <c r="F3079" s="1">
        <v>46080.099097222221</v>
      </c>
      <c r="G3079">
        <v>52.872672282217103</v>
      </c>
      <c r="H3079" t="s">
        <v>30</v>
      </c>
      <c r="J3079" t="s">
        <v>16</v>
      </c>
      <c r="K3079">
        <v>577007.90534456098</v>
      </c>
      <c r="L3079" t="s">
        <v>17</v>
      </c>
      <c r="M3079">
        <v>0</v>
      </c>
      <c r="N3079">
        <v>1</v>
      </c>
    </row>
    <row r="3080" spans="2:14" x14ac:dyDescent="0.25">
      <c r="B3080" t="s">
        <v>14</v>
      </c>
      <c r="C3080" s="1">
        <v>46080.999988425923</v>
      </c>
      <c r="D3080">
        <v>25.154513776839799</v>
      </c>
      <c r="E3080">
        <v>577007.90534456098</v>
      </c>
      <c r="F3080" s="1">
        <v>46080.099097222221</v>
      </c>
      <c r="G3080">
        <v>52.872672282217103</v>
      </c>
      <c r="H3080" t="s">
        <v>30</v>
      </c>
      <c r="J3080" t="s">
        <v>16</v>
      </c>
      <c r="K3080">
        <v>577007.90534456098</v>
      </c>
      <c r="L3080" t="s">
        <v>17</v>
      </c>
      <c r="M3080">
        <v>0</v>
      </c>
      <c r="N3080">
        <v>1</v>
      </c>
    </row>
    <row r="3081" spans="2:14" x14ac:dyDescent="0.25">
      <c r="B3081" t="s">
        <v>14</v>
      </c>
      <c r="C3081" s="1">
        <v>46079.999988425923</v>
      </c>
      <c r="D3081">
        <v>25.154513776839799</v>
      </c>
      <c r="E3081">
        <v>100348.07011934899</v>
      </c>
      <c r="F3081" s="1">
        <v>46077.605474537035</v>
      </c>
      <c r="G3081">
        <v>52.872672282217103</v>
      </c>
      <c r="H3081" t="s">
        <v>30</v>
      </c>
      <c r="J3081" t="s">
        <v>16</v>
      </c>
      <c r="K3081">
        <v>577007.90534456098</v>
      </c>
      <c r="L3081" t="s">
        <v>17</v>
      </c>
      <c r="M3081">
        <v>-476659.83522521099</v>
      </c>
      <c r="N3081">
        <v>0.173911083695511</v>
      </c>
    </row>
    <row r="3082" spans="2:14" x14ac:dyDescent="0.25">
      <c r="B3082" t="s">
        <v>14</v>
      </c>
      <c r="C3082" s="1">
        <v>46078.999988425923</v>
      </c>
      <c r="D3082">
        <v>25.154513776839799</v>
      </c>
      <c r="E3082">
        <v>100348.07011934899</v>
      </c>
      <c r="F3082" s="1">
        <v>46077.605474537035</v>
      </c>
      <c r="G3082">
        <v>52.872672282217103</v>
      </c>
      <c r="H3082" t="s">
        <v>30</v>
      </c>
      <c r="J3082" t="s">
        <v>16</v>
      </c>
      <c r="K3082">
        <v>577007.90534456098</v>
      </c>
      <c r="L3082" t="s">
        <v>17</v>
      </c>
      <c r="M3082">
        <v>0</v>
      </c>
      <c r="N3082">
        <v>0.173911083695511</v>
      </c>
    </row>
    <row r="3083" spans="2:14" x14ac:dyDescent="0.25">
      <c r="B3083" t="s">
        <v>14</v>
      </c>
      <c r="C3083" s="1">
        <v>46077.999988425923</v>
      </c>
      <c r="D3083">
        <v>25.154513776839799</v>
      </c>
      <c r="E3083">
        <v>100348.07011934899</v>
      </c>
      <c r="F3083" s="1">
        <v>46077.605474537035</v>
      </c>
      <c r="G3083">
        <v>52.872672282217103</v>
      </c>
      <c r="H3083" t="s">
        <v>30</v>
      </c>
      <c r="J3083" t="s">
        <v>16</v>
      </c>
      <c r="K3083">
        <v>577007.90534456098</v>
      </c>
      <c r="L3083" t="s">
        <v>17</v>
      </c>
      <c r="M3083">
        <v>0</v>
      </c>
      <c r="N3083">
        <v>0.173911083695511</v>
      </c>
    </row>
    <row r="3084" spans="2:14" x14ac:dyDescent="0.25">
      <c r="B3084" t="s">
        <v>14</v>
      </c>
      <c r="C3084" s="1">
        <v>46076.999988425923</v>
      </c>
      <c r="D3084">
        <v>25.154513776839799</v>
      </c>
      <c r="E3084">
        <v>74004.997707484406</v>
      </c>
      <c r="F3084" s="1">
        <v>46074.099803240744</v>
      </c>
      <c r="G3084">
        <v>52.872672282217103</v>
      </c>
      <c r="H3084" t="s">
        <v>30</v>
      </c>
      <c r="J3084" t="s">
        <v>16</v>
      </c>
      <c r="K3084">
        <v>577007.90534456098</v>
      </c>
      <c r="L3084" t="s">
        <v>17</v>
      </c>
      <c r="M3084">
        <v>-26343.072411865101</v>
      </c>
      <c r="N3084">
        <v>0.12825647105006599</v>
      </c>
    </row>
    <row r="3085" spans="2:14" x14ac:dyDescent="0.25">
      <c r="B3085" t="s">
        <v>14</v>
      </c>
      <c r="C3085" s="1">
        <v>46075.999988425923</v>
      </c>
      <c r="D3085">
        <v>25.154513776839799</v>
      </c>
      <c r="E3085">
        <v>74004.997707484406</v>
      </c>
      <c r="F3085" s="1">
        <v>46074.099803240744</v>
      </c>
      <c r="G3085">
        <v>52.872672282217103</v>
      </c>
      <c r="H3085" t="s">
        <v>30</v>
      </c>
      <c r="J3085" t="s">
        <v>16</v>
      </c>
      <c r="K3085">
        <v>577007.90534456098</v>
      </c>
      <c r="L3085" t="s">
        <v>17</v>
      </c>
      <c r="M3085">
        <v>0</v>
      </c>
      <c r="N3085">
        <v>0.12825647105006599</v>
      </c>
    </row>
    <row r="3086" spans="2:14" x14ac:dyDescent="0.25">
      <c r="B3086" t="s">
        <v>14</v>
      </c>
      <c r="C3086" s="1">
        <v>46074.999988425923</v>
      </c>
      <c r="D3086">
        <v>25.154513776839799</v>
      </c>
      <c r="E3086">
        <v>74004.997707484406</v>
      </c>
      <c r="F3086" s="1">
        <v>46074.099803240744</v>
      </c>
      <c r="G3086">
        <v>52.872672282217103</v>
      </c>
      <c r="H3086" t="s">
        <v>30</v>
      </c>
      <c r="J3086" t="s">
        <v>16</v>
      </c>
      <c r="K3086">
        <v>577007.90534456098</v>
      </c>
      <c r="L3086" t="s">
        <v>17</v>
      </c>
      <c r="M3086">
        <v>0</v>
      </c>
      <c r="N3086">
        <v>0.12825647105006599</v>
      </c>
    </row>
    <row r="3087" spans="2:14" x14ac:dyDescent="0.25">
      <c r="B3087" t="s">
        <v>14</v>
      </c>
      <c r="C3087" s="1">
        <v>46073.999988425923</v>
      </c>
      <c r="D3087">
        <v>25.154513776839799</v>
      </c>
      <c r="E3087">
        <v>114180.99504617701</v>
      </c>
      <c r="F3087" s="1">
        <v>46071.606296296297</v>
      </c>
      <c r="G3087">
        <v>52.872672282217103</v>
      </c>
      <c r="H3087" t="s">
        <v>30</v>
      </c>
      <c r="J3087" t="s">
        <v>16</v>
      </c>
      <c r="K3087">
        <v>577007.90534456098</v>
      </c>
      <c r="L3087" t="s">
        <v>17</v>
      </c>
      <c r="M3087">
        <v>40175.997338692599</v>
      </c>
      <c r="N3087">
        <v>0.19788462859619499</v>
      </c>
    </row>
    <row r="3088" spans="2:14" x14ac:dyDescent="0.25">
      <c r="B3088" t="s">
        <v>14</v>
      </c>
      <c r="C3088" s="1">
        <v>46072.999988425923</v>
      </c>
      <c r="D3088">
        <v>25.154513776839799</v>
      </c>
      <c r="E3088">
        <v>114180.99504617701</v>
      </c>
      <c r="F3088" s="1">
        <v>46071.606296296297</v>
      </c>
      <c r="G3088">
        <v>52.872672282217103</v>
      </c>
      <c r="H3088" t="s">
        <v>30</v>
      </c>
      <c r="J3088" t="s">
        <v>16</v>
      </c>
      <c r="K3088">
        <v>577007.90534456098</v>
      </c>
      <c r="L3088" t="s">
        <v>17</v>
      </c>
      <c r="M3088">
        <v>0</v>
      </c>
      <c r="N3088">
        <v>0.19788462859619499</v>
      </c>
    </row>
    <row r="3089" spans="2:14" x14ac:dyDescent="0.25">
      <c r="B3089" t="s">
        <v>14</v>
      </c>
      <c r="C3089" s="1">
        <v>46071.999988425923</v>
      </c>
      <c r="D3089">
        <v>25.154513776839799</v>
      </c>
      <c r="E3089">
        <v>114180.99504617701</v>
      </c>
      <c r="F3089" s="1">
        <v>46071.606296296297</v>
      </c>
      <c r="G3089">
        <v>52.872672282217103</v>
      </c>
      <c r="H3089" t="s">
        <v>30</v>
      </c>
      <c r="J3089" t="s">
        <v>16</v>
      </c>
      <c r="K3089">
        <v>577007.90534456098</v>
      </c>
      <c r="L3089" t="s">
        <v>17</v>
      </c>
      <c r="M3089">
        <v>0</v>
      </c>
      <c r="N3089">
        <v>0.19788462859619499</v>
      </c>
    </row>
    <row r="3090" spans="2:14" x14ac:dyDescent="0.25">
      <c r="B3090" t="s">
        <v>14</v>
      </c>
      <c r="C3090" s="1">
        <v>46070.999988425923</v>
      </c>
      <c r="D3090">
        <v>25.154513776839799</v>
      </c>
      <c r="E3090">
        <v>577007.90534456098</v>
      </c>
      <c r="F3090" s="1">
        <v>46068.099097222221</v>
      </c>
      <c r="G3090">
        <v>52.872672282217103</v>
      </c>
      <c r="H3090" t="s">
        <v>30</v>
      </c>
      <c r="J3090" t="s">
        <v>16</v>
      </c>
      <c r="K3090">
        <v>577007.90534456098</v>
      </c>
      <c r="L3090" t="s">
        <v>17</v>
      </c>
      <c r="M3090">
        <v>462826.91029838403</v>
      </c>
      <c r="N3090">
        <v>1</v>
      </c>
    </row>
    <row r="3091" spans="2:14" x14ac:dyDescent="0.25">
      <c r="B3091" t="s">
        <v>14</v>
      </c>
      <c r="C3091" s="1">
        <v>46069.999988425923</v>
      </c>
      <c r="D3091">
        <v>25.154513776839799</v>
      </c>
      <c r="E3091">
        <v>577007.90534456098</v>
      </c>
      <c r="F3091" s="1">
        <v>46068.099097222221</v>
      </c>
      <c r="G3091">
        <v>52.872672282217103</v>
      </c>
      <c r="H3091" t="s">
        <v>30</v>
      </c>
      <c r="J3091" t="s">
        <v>16</v>
      </c>
      <c r="K3091">
        <v>577007.90534456098</v>
      </c>
      <c r="L3091" t="s">
        <v>17</v>
      </c>
      <c r="M3091">
        <v>0</v>
      </c>
      <c r="N3091">
        <v>1</v>
      </c>
    </row>
    <row r="3092" spans="2:14" x14ac:dyDescent="0.25">
      <c r="B3092" t="s">
        <v>14</v>
      </c>
      <c r="C3092" s="1">
        <v>46068.999988425923</v>
      </c>
      <c r="D3092">
        <v>25.154513776839799</v>
      </c>
      <c r="E3092">
        <v>577007.90534456098</v>
      </c>
      <c r="F3092" s="1">
        <v>46068.099097222221</v>
      </c>
      <c r="G3092">
        <v>52.872672282217103</v>
      </c>
      <c r="H3092" t="s">
        <v>30</v>
      </c>
      <c r="J3092" t="s">
        <v>16</v>
      </c>
      <c r="K3092">
        <v>577007.90534456098</v>
      </c>
      <c r="L3092" t="s">
        <v>17</v>
      </c>
      <c r="M3092">
        <v>0</v>
      </c>
      <c r="N3092">
        <v>1</v>
      </c>
    </row>
    <row r="3093" spans="2:14" x14ac:dyDescent="0.25">
      <c r="B3093" t="s">
        <v>14</v>
      </c>
      <c r="C3093" s="1">
        <v>46067.999988425923</v>
      </c>
      <c r="D3093">
        <v>25.154513776839799</v>
      </c>
      <c r="E3093">
        <v>283781.002262339</v>
      </c>
      <c r="F3093" s="1">
        <v>46065.605474537035</v>
      </c>
      <c r="G3093">
        <v>52.872672282217103</v>
      </c>
      <c r="H3093" t="s">
        <v>30</v>
      </c>
      <c r="J3093" t="s">
        <v>16</v>
      </c>
      <c r="K3093">
        <v>577007.90534456098</v>
      </c>
      <c r="L3093" t="s">
        <v>17</v>
      </c>
      <c r="M3093">
        <v>-293226.90308222099</v>
      </c>
      <c r="N3093">
        <v>0.49181475614771503</v>
      </c>
    </row>
    <row r="3094" spans="2:14" x14ac:dyDescent="0.25">
      <c r="B3094" t="s">
        <v>14</v>
      </c>
      <c r="C3094" s="1">
        <v>46066.999988425923</v>
      </c>
      <c r="D3094">
        <v>25.154513776839799</v>
      </c>
      <c r="E3094">
        <v>283781.002262339</v>
      </c>
      <c r="F3094" s="1">
        <v>46065.605474537035</v>
      </c>
      <c r="G3094">
        <v>52.872672282217103</v>
      </c>
      <c r="H3094" t="s">
        <v>30</v>
      </c>
      <c r="J3094" t="s">
        <v>16</v>
      </c>
      <c r="K3094">
        <v>577007.90534456098</v>
      </c>
      <c r="L3094" t="s">
        <v>17</v>
      </c>
      <c r="M3094">
        <v>0</v>
      </c>
      <c r="N3094">
        <v>0.49181475614771503</v>
      </c>
    </row>
    <row r="3095" spans="2:14" x14ac:dyDescent="0.25">
      <c r="B3095" t="s">
        <v>14</v>
      </c>
      <c r="C3095" s="1">
        <v>46065.999988425923</v>
      </c>
      <c r="D3095">
        <v>25.154513776839799</v>
      </c>
      <c r="E3095">
        <v>283781.002262339</v>
      </c>
      <c r="F3095" s="1">
        <v>46065.605474537035</v>
      </c>
      <c r="G3095">
        <v>52.872672282217103</v>
      </c>
      <c r="H3095" t="s">
        <v>30</v>
      </c>
      <c r="J3095" t="s">
        <v>16</v>
      </c>
      <c r="K3095">
        <v>577007.90534456098</v>
      </c>
      <c r="L3095" t="s">
        <v>17</v>
      </c>
      <c r="M3095">
        <v>0</v>
      </c>
      <c r="N3095">
        <v>0.49181475614771503</v>
      </c>
    </row>
    <row r="3096" spans="2:14" x14ac:dyDescent="0.25">
      <c r="B3096" t="s">
        <v>14</v>
      </c>
      <c r="C3096" s="1">
        <v>46064.999988425923</v>
      </c>
      <c r="D3096">
        <v>25.154513776839799</v>
      </c>
      <c r="E3096">
        <v>54597.724733552197</v>
      </c>
      <c r="F3096" s="1">
        <v>46062.099814814814</v>
      </c>
      <c r="G3096">
        <v>52.872672282217103</v>
      </c>
      <c r="H3096" t="s">
        <v>30</v>
      </c>
      <c r="J3096" t="s">
        <v>16</v>
      </c>
      <c r="K3096">
        <v>577007.90534456098</v>
      </c>
      <c r="L3096" t="s">
        <v>17</v>
      </c>
      <c r="M3096">
        <v>-229183.277528787</v>
      </c>
      <c r="N3096">
        <v>9.4622143349923499E-2</v>
      </c>
    </row>
    <row r="3097" spans="2:14" x14ac:dyDescent="0.25">
      <c r="B3097" t="s">
        <v>14</v>
      </c>
      <c r="C3097" s="1">
        <v>46063.999988425923</v>
      </c>
      <c r="D3097">
        <v>25.154513776839799</v>
      </c>
      <c r="E3097">
        <v>54597.724733552197</v>
      </c>
      <c r="F3097" s="1">
        <v>46062.099814814814</v>
      </c>
      <c r="G3097">
        <v>52.872672282217103</v>
      </c>
      <c r="H3097" t="s">
        <v>30</v>
      </c>
      <c r="J3097" t="s">
        <v>16</v>
      </c>
      <c r="K3097">
        <v>577007.90534456098</v>
      </c>
      <c r="L3097" t="s">
        <v>17</v>
      </c>
      <c r="M3097">
        <v>0</v>
      </c>
      <c r="N3097">
        <v>9.4622143349923499E-2</v>
      </c>
    </row>
    <row r="3098" spans="2:14" x14ac:dyDescent="0.25">
      <c r="B3098" t="s">
        <v>14</v>
      </c>
      <c r="C3098" s="1">
        <v>46062.999988425923</v>
      </c>
      <c r="D3098">
        <v>25.154513776839799</v>
      </c>
      <c r="E3098">
        <v>54597.724733552197</v>
      </c>
      <c r="F3098" s="1">
        <v>46062.099814814814</v>
      </c>
      <c r="G3098">
        <v>52.872672282217103</v>
      </c>
      <c r="H3098" t="s">
        <v>30</v>
      </c>
      <c r="J3098" t="s">
        <v>16</v>
      </c>
      <c r="K3098">
        <v>577007.90534456098</v>
      </c>
      <c r="L3098" t="s">
        <v>17</v>
      </c>
      <c r="M3098">
        <v>0</v>
      </c>
      <c r="N3098">
        <v>9.4622143349923499E-2</v>
      </c>
    </row>
    <row r="3099" spans="2:14" x14ac:dyDescent="0.25">
      <c r="B3099" t="s">
        <v>14</v>
      </c>
      <c r="C3099" s="1">
        <v>46061.999988425923</v>
      </c>
      <c r="D3099">
        <v>25.154513776839799</v>
      </c>
      <c r="E3099">
        <v>130278.714835665</v>
      </c>
      <c r="F3099" s="1">
        <v>46059.606296296297</v>
      </c>
      <c r="G3099">
        <v>52.872672282217103</v>
      </c>
      <c r="H3099" t="s">
        <v>30</v>
      </c>
      <c r="J3099" t="s">
        <v>16</v>
      </c>
      <c r="K3099">
        <v>577007.90534456098</v>
      </c>
      <c r="L3099" t="s">
        <v>17</v>
      </c>
      <c r="M3099">
        <v>75680.990102113006</v>
      </c>
      <c r="N3099">
        <v>0.22578324079956699</v>
      </c>
    </row>
    <row r="3100" spans="2:14" x14ac:dyDescent="0.25">
      <c r="B3100" t="s">
        <v>14</v>
      </c>
      <c r="C3100" s="1">
        <v>46060.999988425923</v>
      </c>
      <c r="D3100">
        <v>25.154513776839799</v>
      </c>
      <c r="E3100">
        <v>130278.714835665</v>
      </c>
      <c r="F3100" s="1">
        <v>46059.606296296297</v>
      </c>
      <c r="G3100">
        <v>52.872672282217103</v>
      </c>
      <c r="H3100" t="s">
        <v>30</v>
      </c>
      <c r="J3100" t="s">
        <v>16</v>
      </c>
      <c r="K3100">
        <v>577007.90534456098</v>
      </c>
      <c r="L3100" t="s">
        <v>17</v>
      </c>
      <c r="M3100">
        <v>0</v>
      </c>
      <c r="N3100">
        <v>0.22578324079956699</v>
      </c>
    </row>
    <row r="3101" spans="2:14" x14ac:dyDescent="0.25">
      <c r="B3101" t="s">
        <v>14</v>
      </c>
      <c r="C3101" s="1">
        <v>46059.999988425923</v>
      </c>
      <c r="D3101">
        <v>25.154513776839799</v>
      </c>
      <c r="E3101">
        <v>130278.714835665</v>
      </c>
      <c r="F3101" s="1">
        <v>46059.606296296297</v>
      </c>
      <c r="G3101">
        <v>52.872672282217103</v>
      </c>
      <c r="H3101" t="s">
        <v>30</v>
      </c>
      <c r="J3101" t="s">
        <v>16</v>
      </c>
      <c r="K3101">
        <v>577007.90534456098</v>
      </c>
      <c r="L3101" t="s">
        <v>17</v>
      </c>
      <c r="M3101">
        <v>0</v>
      </c>
      <c r="N3101">
        <v>0.22578324079956699</v>
      </c>
    </row>
    <row r="3102" spans="2:14" x14ac:dyDescent="0.25">
      <c r="B3102" t="s">
        <v>14</v>
      </c>
      <c r="C3102" s="1">
        <v>46058.999988425923</v>
      </c>
      <c r="D3102">
        <v>25.154513776839799</v>
      </c>
      <c r="E3102">
        <v>494931.063005562</v>
      </c>
      <c r="F3102" s="1">
        <v>46056.099097222221</v>
      </c>
      <c r="G3102">
        <v>52.872672282217103</v>
      </c>
      <c r="H3102" t="s">
        <v>30</v>
      </c>
      <c r="J3102" t="s">
        <v>16</v>
      </c>
      <c r="K3102">
        <v>577007.90534456098</v>
      </c>
      <c r="L3102" t="s">
        <v>17</v>
      </c>
      <c r="M3102">
        <v>364652.34816989599</v>
      </c>
      <c r="N3102">
        <v>0.85775438849492502</v>
      </c>
    </row>
    <row r="3103" spans="2:14" x14ac:dyDescent="0.25">
      <c r="B3103" t="s">
        <v>14</v>
      </c>
      <c r="C3103" s="1">
        <v>46057.999988425923</v>
      </c>
      <c r="D3103">
        <v>25.154513776839799</v>
      </c>
      <c r="E3103">
        <v>494931.063005562</v>
      </c>
      <c r="F3103" s="1">
        <v>46056.099097222221</v>
      </c>
      <c r="G3103">
        <v>52.872672282217103</v>
      </c>
      <c r="H3103" t="s">
        <v>30</v>
      </c>
      <c r="J3103" t="s">
        <v>16</v>
      </c>
      <c r="K3103">
        <v>577007.90534456098</v>
      </c>
      <c r="L3103" t="s">
        <v>17</v>
      </c>
      <c r="M3103">
        <v>0</v>
      </c>
      <c r="N3103">
        <v>0.85775438849492502</v>
      </c>
    </row>
    <row r="3104" spans="2:14" x14ac:dyDescent="0.25">
      <c r="B3104" t="s">
        <v>14</v>
      </c>
      <c r="C3104" s="1">
        <v>46056.999988425923</v>
      </c>
      <c r="D3104">
        <v>25.154513776839799</v>
      </c>
      <c r="E3104">
        <v>494931.063005562</v>
      </c>
      <c r="F3104" s="1">
        <v>46056.099097222221</v>
      </c>
      <c r="G3104">
        <v>52.872672282217103</v>
      </c>
      <c r="H3104" t="s">
        <v>30</v>
      </c>
      <c r="J3104" t="s">
        <v>16</v>
      </c>
      <c r="K3104">
        <v>577007.90534456098</v>
      </c>
      <c r="L3104" t="s">
        <v>17</v>
      </c>
      <c r="M3104">
        <v>0</v>
      </c>
      <c r="N3104">
        <v>0.85775438849492502</v>
      </c>
    </row>
    <row r="3105" spans="2:14" x14ac:dyDescent="0.25">
      <c r="B3105" t="s">
        <v>14</v>
      </c>
      <c r="C3105" s="1">
        <v>46055.999988425923</v>
      </c>
      <c r="D3105">
        <v>25.154513776839799</v>
      </c>
      <c r="E3105">
        <v>72993.231797959394</v>
      </c>
      <c r="F3105" s="1">
        <v>46053.605474537035</v>
      </c>
      <c r="G3105">
        <v>52.872672282217103</v>
      </c>
      <c r="H3105" t="s">
        <v>30</v>
      </c>
      <c r="J3105" t="s">
        <v>16</v>
      </c>
      <c r="K3105">
        <v>577007.90534456098</v>
      </c>
      <c r="L3105" t="s">
        <v>17</v>
      </c>
      <c r="M3105">
        <v>-421937.83120760199</v>
      </c>
      <c r="N3105">
        <v>0.12650300129661299</v>
      </c>
    </row>
    <row r="3106" spans="2:14" x14ac:dyDescent="0.25">
      <c r="B3106" t="s">
        <v>14</v>
      </c>
      <c r="C3106" s="1">
        <v>46054.999988425923</v>
      </c>
      <c r="D3106">
        <v>25.154513776839799</v>
      </c>
      <c r="E3106">
        <v>72993.231797959394</v>
      </c>
      <c r="F3106" s="1">
        <v>46053.605474537035</v>
      </c>
      <c r="G3106">
        <v>52.872672282217103</v>
      </c>
      <c r="H3106" t="s">
        <v>30</v>
      </c>
      <c r="J3106" t="s">
        <v>16</v>
      </c>
      <c r="K3106">
        <v>577007.90534456098</v>
      </c>
      <c r="L3106" t="s">
        <v>17</v>
      </c>
      <c r="M3106">
        <v>0</v>
      </c>
      <c r="N3106">
        <v>0.12650300129661299</v>
      </c>
    </row>
    <row r="3107" spans="2:14" x14ac:dyDescent="0.25">
      <c r="B3107" t="s">
        <v>14</v>
      </c>
      <c r="C3107" s="1">
        <v>46053.999988425923</v>
      </c>
      <c r="D3107">
        <v>25.154513776839799</v>
      </c>
      <c r="E3107">
        <v>72993.231797959394</v>
      </c>
      <c r="F3107" s="1">
        <v>46053.605474537035</v>
      </c>
      <c r="G3107">
        <v>52.872672282217103</v>
      </c>
      <c r="H3107" t="s">
        <v>30</v>
      </c>
      <c r="J3107" t="s">
        <v>16</v>
      </c>
      <c r="K3107">
        <v>577007.90534456098</v>
      </c>
      <c r="L3107" t="s">
        <v>17</v>
      </c>
      <c r="M3107">
        <v>0</v>
      </c>
      <c r="N3107">
        <v>0.12650300129661299</v>
      </c>
    </row>
    <row r="3108" spans="2:14" x14ac:dyDescent="0.25">
      <c r="B3108" t="s">
        <v>14</v>
      </c>
      <c r="C3108" s="1">
        <v>46052.999988425923</v>
      </c>
      <c r="D3108">
        <v>25.154513776839799</v>
      </c>
      <c r="E3108">
        <v>577007.90534456098</v>
      </c>
      <c r="F3108" s="1">
        <v>46050.099814814814</v>
      </c>
      <c r="G3108">
        <v>52.872672282217103</v>
      </c>
      <c r="H3108" t="s">
        <v>30</v>
      </c>
      <c r="J3108" t="s">
        <v>16</v>
      </c>
      <c r="K3108">
        <v>577007.90534456098</v>
      </c>
      <c r="L3108" t="s">
        <v>17</v>
      </c>
      <c r="M3108">
        <v>504014.67354660103</v>
      </c>
      <c r="N3108">
        <v>1</v>
      </c>
    </row>
    <row r="3109" spans="2:14" x14ac:dyDescent="0.25">
      <c r="B3109" t="s">
        <v>14</v>
      </c>
      <c r="C3109" s="1">
        <v>46051.999988425923</v>
      </c>
      <c r="D3109">
        <v>25.154513776839799</v>
      </c>
      <c r="E3109">
        <v>577007.90534456098</v>
      </c>
      <c r="F3109" s="1">
        <v>46050.099814814814</v>
      </c>
      <c r="G3109">
        <v>52.872672282217103</v>
      </c>
      <c r="H3109" t="s">
        <v>30</v>
      </c>
      <c r="J3109" t="s">
        <v>16</v>
      </c>
      <c r="K3109">
        <v>577007.90534456098</v>
      </c>
      <c r="L3109" t="s">
        <v>17</v>
      </c>
      <c r="M3109">
        <v>0</v>
      </c>
      <c r="N3109">
        <v>1</v>
      </c>
    </row>
    <row r="3110" spans="2:14" x14ac:dyDescent="0.25">
      <c r="B3110" t="s">
        <v>14</v>
      </c>
      <c r="C3110" s="1">
        <v>46050.999988425923</v>
      </c>
      <c r="D3110">
        <v>25.154513776839799</v>
      </c>
      <c r="E3110">
        <v>577007.90534456098</v>
      </c>
      <c r="F3110" s="1">
        <v>46050.099814814814</v>
      </c>
      <c r="G3110">
        <v>52.872672282217103</v>
      </c>
      <c r="H3110" t="s">
        <v>30</v>
      </c>
      <c r="J3110" t="s">
        <v>16</v>
      </c>
      <c r="K3110">
        <v>577007.90534456098</v>
      </c>
      <c r="L3110" t="s">
        <v>17</v>
      </c>
      <c r="M3110">
        <v>0</v>
      </c>
      <c r="N3110">
        <v>1</v>
      </c>
    </row>
    <row r="3111" spans="2:14" x14ac:dyDescent="0.25">
      <c r="B3111" t="s">
        <v>14</v>
      </c>
      <c r="C3111" s="1">
        <v>46049.999988425923</v>
      </c>
      <c r="D3111">
        <v>25.154513776839799</v>
      </c>
      <c r="E3111">
        <v>508151.62247433898</v>
      </c>
      <c r="F3111" s="1">
        <v>46047.606307870374</v>
      </c>
      <c r="G3111">
        <v>52.872672282217103</v>
      </c>
      <c r="H3111" t="s">
        <v>30</v>
      </c>
      <c r="J3111" t="s">
        <v>16</v>
      </c>
      <c r="K3111">
        <v>577007.90534456098</v>
      </c>
      <c r="L3111" t="s">
        <v>17</v>
      </c>
      <c r="M3111">
        <v>-68856.282870221505</v>
      </c>
      <c r="N3111">
        <v>0.88066665598090199</v>
      </c>
    </row>
    <row r="3112" spans="2:14" x14ac:dyDescent="0.25">
      <c r="B3112" t="s">
        <v>14</v>
      </c>
      <c r="C3112" s="1">
        <v>46048.999988425923</v>
      </c>
      <c r="D3112">
        <v>25.154513776839799</v>
      </c>
      <c r="E3112">
        <v>508151.62247433898</v>
      </c>
      <c r="F3112" s="1">
        <v>46047.606307870374</v>
      </c>
      <c r="G3112">
        <v>52.872672282217103</v>
      </c>
      <c r="H3112" t="s">
        <v>30</v>
      </c>
      <c r="J3112" t="s">
        <v>16</v>
      </c>
      <c r="K3112">
        <v>577007.90534456098</v>
      </c>
      <c r="L3112" t="s">
        <v>17</v>
      </c>
      <c r="M3112">
        <v>0</v>
      </c>
      <c r="N3112">
        <v>0.88066665598090199</v>
      </c>
    </row>
    <row r="3113" spans="2:14" x14ac:dyDescent="0.25">
      <c r="B3113" t="s">
        <v>14</v>
      </c>
      <c r="C3113" s="1">
        <v>46047.999988425923</v>
      </c>
      <c r="D3113">
        <v>25.154513776839799</v>
      </c>
      <c r="E3113">
        <v>508151.62247433898</v>
      </c>
      <c r="F3113" s="1">
        <v>46047.606307870374</v>
      </c>
      <c r="G3113">
        <v>52.872672282217103</v>
      </c>
      <c r="H3113" t="s">
        <v>30</v>
      </c>
      <c r="J3113" t="s">
        <v>16</v>
      </c>
      <c r="K3113">
        <v>577007.90534456098</v>
      </c>
      <c r="L3113" t="s">
        <v>17</v>
      </c>
      <c r="M3113">
        <v>0</v>
      </c>
      <c r="N3113">
        <v>0.88066665598090199</v>
      </c>
    </row>
    <row r="3114" spans="2:14" x14ac:dyDescent="0.25">
      <c r="B3114" t="s">
        <v>14</v>
      </c>
      <c r="C3114" s="1">
        <v>46046.999988425923</v>
      </c>
      <c r="D3114">
        <v>25.154513776839799</v>
      </c>
      <c r="E3114">
        <v>552142.57225899701</v>
      </c>
      <c r="F3114" s="1">
        <v>46041.605486111112</v>
      </c>
      <c r="G3114">
        <v>52.872672282217103</v>
      </c>
      <c r="H3114" t="s">
        <v>30</v>
      </c>
      <c r="J3114" t="s">
        <v>16</v>
      </c>
      <c r="K3114">
        <v>577007.90534456098</v>
      </c>
      <c r="L3114" t="s">
        <v>17</v>
      </c>
      <c r="M3114">
        <v>43990.949784657503</v>
      </c>
      <c r="N3114">
        <v>0.95690642562216599</v>
      </c>
    </row>
    <row r="3115" spans="2:14" x14ac:dyDescent="0.25">
      <c r="B3115" t="s">
        <v>14</v>
      </c>
      <c r="C3115" s="1">
        <v>46045.999988425923</v>
      </c>
      <c r="D3115">
        <v>25.154513776839799</v>
      </c>
      <c r="E3115">
        <v>552142.57225899701</v>
      </c>
      <c r="F3115" s="1">
        <v>46041.605486111112</v>
      </c>
      <c r="G3115">
        <v>52.872672282217103</v>
      </c>
      <c r="H3115" t="s">
        <v>30</v>
      </c>
      <c r="J3115" t="s">
        <v>16</v>
      </c>
      <c r="K3115">
        <v>577007.90534456098</v>
      </c>
      <c r="L3115" t="s">
        <v>17</v>
      </c>
      <c r="M3115">
        <v>0</v>
      </c>
      <c r="N3115">
        <v>0.95690642562216599</v>
      </c>
    </row>
    <row r="3116" spans="2:14" x14ac:dyDescent="0.25">
      <c r="B3116" t="s">
        <v>14</v>
      </c>
      <c r="C3116" s="1">
        <v>46044.999988425923</v>
      </c>
      <c r="D3116">
        <v>25.154513776839799</v>
      </c>
      <c r="E3116">
        <v>552142.57225899701</v>
      </c>
      <c r="F3116" s="1">
        <v>46041.605486111112</v>
      </c>
      <c r="G3116">
        <v>52.872672282217103</v>
      </c>
      <c r="H3116" t="s">
        <v>30</v>
      </c>
      <c r="J3116" t="s">
        <v>16</v>
      </c>
      <c r="K3116">
        <v>577007.90534456098</v>
      </c>
      <c r="L3116" t="s">
        <v>17</v>
      </c>
      <c r="M3116">
        <v>0</v>
      </c>
      <c r="N3116">
        <v>0.95690642562216599</v>
      </c>
    </row>
    <row r="3117" spans="2:14" x14ac:dyDescent="0.25">
      <c r="B3117" t="s">
        <v>14</v>
      </c>
      <c r="C3117" s="1">
        <v>46043.999988425923</v>
      </c>
      <c r="D3117">
        <v>25.154513776839799</v>
      </c>
      <c r="E3117">
        <v>552142.57225899701</v>
      </c>
      <c r="F3117" s="1">
        <v>46041.605486111112</v>
      </c>
      <c r="G3117">
        <v>52.872672282217103</v>
      </c>
      <c r="H3117" t="s">
        <v>30</v>
      </c>
      <c r="J3117" t="s">
        <v>16</v>
      </c>
      <c r="K3117">
        <v>577007.90534456098</v>
      </c>
      <c r="L3117" t="s">
        <v>17</v>
      </c>
      <c r="M3117">
        <v>0</v>
      </c>
      <c r="N3117">
        <v>0.95690642562216599</v>
      </c>
    </row>
    <row r="3118" spans="2:14" x14ac:dyDescent="0.25">
      <c r="B3118" t="s">
        <v>14</v>
      </c>
      <c r="C3118" s="1">
        <v>46042.999988425923</v>
      </c>
      <c r="D3118">
        <v>25.154513776839799</v>
      </c>
      <c r="E3118">
        <v>552142.57225899701</v>
      </c>
      <c r="F3118" s="1">
        <v>46041.605486111112</v>
      </c>
      <c r="G3118">
        <v>52.872672282217103</v>
      </c>
      <c r="H3118" t="s">
        <v>30</v>
      </c>
      <c r="J3118" t="s">
        <v>16</v>
      </c>
      <c r="K3118">
        <v>577007.90534456098</v>
      </c>
      <c r="L3118" t="s">
        <v>17</v>
      </c>
      <c r="M3118">
        <v>0</v>
      </c>
      <c r="N3118">
        <v>0.95690642562216599</v>
      </c>
    </row>
    <row r="3119" spans="2:14" x14ac:dyDescent="0.25">
      <c r="B3119" t="s">
        <v>14</v>
      </c>
      <c r="C3119" s="1">
        <v>46041.999988425923</v>
      </c>
      <c r="D3119">
        <v>25.154513776839799</v>
      </c>
      <c r="E3119">
        <v>552142.57225899701</v>
      </c>
      <c r="F3119" s="1">
        <v>46041.605486111112</v>
      </c>
      <c r="G3119">
        <v>52.872672282217103</v>
      </c>
      <c r="H3119" t="s">
        <v>30</v>
      </c>
      <c r="J3119" t="s">
        <v>16</v>
      </c>
      <c r="K3119">
        <v>577007.90534456098</v>
      </c>
      <c r="L3119" t="s">
        <v>17</v>
      </c>
      <c r="M3119">
        <v>0</v>
      </c>
      <c r="N3119">
        <v>0.95690642562216599</v>
      </c>
    </row>
    <row r="3120" spans="2:14" x14ac:dyDescent="0.25">
      <c r="B3120" t="s">
        <v>14</v>
      </c>
      <c r="C3120" s="1">
        <v>46040.999988425923</v>
      </c>
      <c r="D3120">
        <v>25.154513776839799</v>
      </c>
      <c r="E3120">
        <v>79071.444056714696</v>
      </c>
      <c r="F3120" s="1">
        <v>46038.099826388891</v>
      </c>
      <c r="G3120">
        <v>52.872672282217103</v>
      </c>
      <c r="H3120" t="s">
        <v>30</v>
      </c>
      <c r="J3120" t="s">
        <v>16</v>
      </c>
      <c r="K3120">
        <v>577007.90534456098</v>
      </c>
      <c r="L3120" t="s">
        <v>17</v>
      </c>
      <c r="M3120">
        <v>-473071.12820228201</v>
      </c>
      <c r="N3120">
        <v>0.13703702033249701</v>
      </c>
    </row>
    <row r="3121" spans="2:14" x14ac:dyDescent="0.25">
      <c r="B3121" t="s">
        <v>14</v>
      </c>
      <c r="C3121" s="1">
        <v>46039.999988425923</v>
      </c>
      <c r="D3121">
        <v>25.154513776839799</v>
      </c>
      <c r="E3121">
        <v>79071.444056714696</v>
      </c>
      <c r="F3121" s="1">
        <v>46038.099826388891</v>
      </c>
      <c r="G3121">
        <v>52.872672282217103</v>
      </c>
      <c r="H3121" t="s">
        <v>30</v>
      </c>
      <c r="J3121" t="s">
        <v>16</v>
      </c>
      <c r="K3121">
        <v>577007.90534456098</v>
      </c>
      <c r="L3121" t="s">
        <v>17</v>
      </c>
      <c r="M3121">
        <v>0</v>
      </c>
      <c r="N3121">
        <v>0.13703702033249701</v>
      </c>
    </row>
    <row r="3122" spans="2:14" x14ac:dyDescent="0.25">
      <c r="B3122" t="s">
        <v>14</v>
      </c>
      <c r="C3122" s="1">
        <v>46038.999988425923</v>
      </c>
      <c r="D3122">
        <v>25.154513776839799</v>
      </c>
      <c r="E3122">
        <v>79071.444056714696</v>
      </c>
      <c r="F3122" s="1">
        <v>46038.099826388891</v>
      </c>
      <c r="G3122">
        <v>52.872672282217103</v>
      </c>
      <c r="H3122" t="s">
        <v>30</v>
      </c>
      <c r="J3122" t="s">
        <v>16</v>
      </c>
      <c r="K3122">
        <v>577007.90534456098</v>
      </c>
      <c r="L3122" t="s">
        <v>17</v>
      </c>
      <c r="M3122">
        <v>0</v>
      </c>
      <c r="N3122">
        <v>0.13703702033249701</v>
      </c>
    </row>
    <row r="3123" spans="2:14" x14ac:dyDescent="0.25">
      <c r="B3123" t="s">
        <v>14</v>
      </c>
      <c r="C3123" s="1">
        <v>46037.999988425923</v>
      </c>
      <c r="D3123">
        <v>25.154513776839799</v>
      </c>
      <c r="E3123">
        <v>396525.82169874199</v>
      </c>
      <c r="F3123" s="1">
        <v>46035.606319444443</v>
      </c>
      <c r="G3123">
        <v>52.872672282217103</v>
      </c>
      <c r="H3123" t="s">
        <v>30</v>
      </c>
      <c r="J3123" t="s">
        <v>16</v>
      </c>
      <c r="K3123">
        <v>577007.90534456098</v>
      </c>
      <c r="L3123" t="s">
        <v>17</v>
      </c>
      <c r="M3123">
        <v>317454.37764202699</v>
      </c>
      <c r="N3123">
        <v>0.68721037966014697</v>
      </c>
    </row>
    <row r="3124" spans="2:14" x14ac:dyDescent="0.25">
      <c r="B3124" t="s">
        <v>14</v>
      </c>
      <c r="C3124" s="1">
        <v>46036.999988425923</v>
      </c>
      <c r="D3124">
        <v>25.154513776839799</v>
      </c>
      <c r="E3124">
        <v>396525.82169874199</v>
      </c>
      <c r="F3124" s="1">
        <v>46035.606319444443</v>
      </c>
      <c r="G3124">
        <v>52.872672282217103</v>
      </c>
      <c r="H3124" t="s">
        <v>30</v>
      </c>
      <c r="J3124" t="s">
        <v>16</v>
      </c>
      <c r="K3124">
        <v>577007.90534456098</v>
      </c>
      <c r="L3124" t="s">
        <v>17</v>
      </c>
      <c r="M3124">
        <v>0</v>
      </c>
      <c r="N3124">
        <v>0.68721037966014697</v>
      </c>
    </row>
    <row r="3125" spans="2:14" x14ac:dyDescent="0.25">
      <c r="B3125" t="s">
        <v>14</v>
      </c>
      <c r="C3125" s="1">
        <v>46035.999988425923</v>
      </c>
      <c r="D3125">
        <v>25.154513776839799</v>
      </c>
      <c r="E3125">
        <v>396525.82169874199</v>
      </c>
      <c r="F3125" s="1">
        <v>46035.606319444443</v>
      </c>
      <c r="G3125">
        <v>52.872672282217103</v>
      </c>
      <c r="H3125" t="s">
        <v>30</v>
      </c>
      <c r="J3125" t="s">
        <v>16</v>
      </c>
      <c r="K3125">
        <v>577007.90534456098</v>
      </c>
      <c r="L3125" t="s">
        <v>17</v>
      </c>
      <c r="M3125">
        <v>0</v>
      </c>
      <c r="N3125">
        <v>0.68721037966014697</v>
      </c>
    </row>
    <row r="3126" spans="2:14" x14ac:dyDescent="0.25">
      <c r="B3126" t="s">
        <v>14</v>
      </c>
      <c r="C3126" s="1">
        <v>46034.999988425923</v>
      </c>
      <c r="D3126">
        <v>25.154513776839799</v>
      </c>
      <c r="E3126">
        <v>509804.00642399199</v>
      </c>
      <c r="F3126" s="1">
        <v>46032.099108796298</v>
      </c>
      <c r="G3126">
        <v>52.872672282217103</v>
      </c>
      <c r="H3126" t="s">
        <v>30</v>
      </c>
      <c r="J3126" t="s">
        <v>16</v>
      </c>
      <c r="K3126">
        <v>577007.90534456098</v>
      </c>
      <c r="L3126" t="s">
        <v>17</v>
      </c>
      <c r="M3126">
        <v>113278.184725249</v>
      </c>
      <c r="N3126">
        <v>0.88353036709187205</v>
      </c>
    </row>
    <row r="3127" spans="2:14" x14ac:dyDescent="0.25">
      <c r="B3127" t="s">
        <v>14</v>
      </c>
      <c r="C3127" s="1">
        <v>46033.999988425923</v>
      </c>
      <c r="D3127">
        <v>25.154513776839799</v>
      </c>
      <c r="E3127">
        <v>509804.00642399199</v>
      </c>
      <c r="F3127" s="1">
        <v>46032.099108796298</v>
      </c>
      <c r="G3127">
        <v>52.872672282217103</v>
      </c>
      <c r="H3127" t="s">
        <v>30</v>
      </c>
      <c r="J3127" t="s">
        <v>16</v>
      </c>
      <c r="K3127">
        <v>577007.90534456098</v>
      </c>
      <c r="L3127" t="s">
        <v>17</v>
      </c>
      <c r="M3127">
        <v>0</v>
      </c>
      <c r="N3127">
        <v>0.88353036709187205</v>
      </c>
    </row>
    <row r="3128" spans="2:14" x14ac:dyDescent="0.25">
      <c r="B3128" t="s">
        <v>14</v>
      </c>
      <c r="C3128" s="1">
        <v>46032.999988425923</v>
      </c>
      <c r="D3128">
        <v>25.154513776839799</v>
      </c>
      <c r="E3128">
        <v>509804.00642399199</v>
      </c>
      <c r="F3128" s="1">
        <v>46032.099108796298</v>
      </c>
      <c r="G3128">
        <v>52.872672282217103</v>
      </c>
      <c r="H3128" t="s">
        <v>30</v>
      </c>
      <c r="J3128" t="s">
        <v>16</v>
      </c>
      <c r="K3128">
        <v>577007.90534456098</v>
      </c>
      <c r="L3128" t="s">
        <v>17</v>
      </c>
      <c r="M3128">
        <v>0</v>
      </c>
      <c r="N3128">
        <v>0.88353036709187205</v>
      </c>
    </row>
    <row r="3129" spans="2:14" x14ac:dyDescent="0.25">
      <c r="B3129" t="s">
        <v>14</v>
      </c>
      <c r="C3129" s="1">
        <v>46031.999988425923</v>
      </c>
      <c r="D3129">
        <v>25.154513776839799</v>
      </c>
      <c r="E3129">
        <v>538518.79168650601</v>
      </c>
      <c r="F3129" s="1">
        <v>46029.605486111112</v>
      </c>
      <c r="G3129">
        <v>52.872672282217103</v>
      </c>
      <c r="H3129" t="s">
        <v>30</v>
      </c>
      <c r="J3129" t="s">
        <v>16</v>
      </c>
      <c r="K3129">
        <v>577007.90534456098</v>
      </c>
      <c r="L3129" t="s">
        <v>17</v>
      </c>
      <c r="M3129">
        <v>28714.7852625138</v>
      </c>
      <c r="N3129">
        <v>0.93329534430716099</v>
      </c>
    </row>
    <row r="3130" spans="2:14" x14ac:dyDescent="0.25">
      <c r="B3130" t="s">
        <v>14</v>
      </c>
      <c r="C3130" s="1">
        <v>46030.999988425923</v>
      </c>
      <c r="D3130">
        <v>25.154513776839799</v>
      </c>
      <c r="E3130">
        <v>538518.79168650601</v>
      </c>
      <c r="F3130" s="1">
        <v>46029.605486111112</v>
      </c>
      <c r="G3130">
        <v>52.872672282217103</v>
      </c>
      <c r="H3130" t="s">
        <v>30</v>
      </c>
      <c r="J3130" t="s">
        <v>16</v>
      </c>
      <c r="K3130">
        <v>577007.90534456098</v>
      </c>
      <c r="L3130" t="s">
        <v>17</v>
      </c>
      <c r="M3130">
        <v>0</v>
      </c>
      <c r="N3130">
        <v>0.93329534430716099</v>
      </c>
    </row>
    <row r="3131" spans="2:14" x14ac:dyDescent="0.25">
      <c r="B3131" t="s">
        <v>14</v>
      </c>
      <c r="C3131" s="1">
        <v>46029.999988425923</v>
      </c>
      <c r="D3131">
        <v>25.154513776839799</v>
      </c>
      <c r="E3131">
        <v>538518.79168650601</v>
      </c>
      <c r="F3131" s="1">
        <v>46029.605486111112</v>
      </c>
      <c r="G3131">
        <v>52.872672282217103</v>
      </c>
      <c r="H3131" t="s">
        <v>30</v>
      </c>
      <c r="J3131" t="s">
        <v>16</v>
      </c>
      <c r="K3131">
        <v>577007.90534456098</v>
      </c>
      <c r="L3131" t="s">
        <v>17</v>
      </c>
      <c r="M3131">
        <v>0</v>
      </c>
      <c r="N3131">
        <v>0.93329534430716099</v>
      </c>
    </row>
    <row r="3132" spans="2:14" x14ac:dyDescent="0.25">
      <c r="B3132" t="s">
        <v>14</v>
      </c>
      <c r="C3132" s="1">
        <v>46028.999988425923</v>
      </c>
      <c r="D3132">
        <v>25.154513776839799</v>
      </c>
      <c r="E3132">
        <v>65440.0296277874</v>
      </c>
      <c r="F3132" s="1">
        <v>46026.09983796296</v>
      </c>
      <c r="G3132">
        <v>52.872672282217103</v>
      </c>
      <c r="H3132" t="s">
        <v>30</v>
      </c>
      <c r="J3132" t="s">
        <v>16</v>
      </c>
      <c r="K3132">
        <v>577007.90534456098</v>
      </c>
      <c r="L3132" t="s">
        <v>17</v>
      </c>
      <c r="M3132">
        <v>-473078.76205871801</v>
      </c>
      <c r="N3132">
        <v>0.113412708944966</v>
      </c>
    </row>
    <row r="3133" spans="2:14" x14ac:dyDescent="0.25">
      <c r="B3133" t="s">
        <v>14</v>
      </c>
      <c r="C3133" s="1">
        <v>46027.999988425923</v>
      </c>
      <c r="D3133">
        <v>25.154513776839799</v>
      </c>
      <c r="E3133">
        <v>65440.0296277874</v>
      </c>
      <c r="F3133" s="1">
        <v>46026.09983796296</v>
      </c>
      <c r="G3133">
        <v>52.872672282217103</v>
      </c>
      <c r="H3133" t="s">
        <v>30</v>
      </c>
      <c r="J3133" t="s">
        <v>16</v>
      </c>
      <c r="K3133">
        <v>577007.90534456098</v>
      </c>
      <c r="L3133" t="s">
        <v>17</v>
      </c>
      <c r="M3133">
        <v>0</v>
      </c>
      <c r="N3133">
        <v>0.113412708944966</v>
      </c>
    </row>
    <row r="3134" spans="2:14" x14ac:dyDescent="0.25">
      <c r="B3134" t="s">
        <v>14</v>
      </c>
      <c r="C3134" s="1">
        <v>46026.999988425923</v>
      </c>
      <c r="D3134">
        <v>25.154513776839799</v>
      </c>
      <c r="E3134">
        <v>65440.0296277874</v>
      </c>
      <c r="F3134" s="1">
        <v>46026.09983796296</v>
      </c>
      <c r="G3134">
        <v>52.872672282217103</v>
      </c>
      <c r="H3134" t="s">
        <v>30</v>
      </c>
      <c r="J3134" t="s">
        <v>16</v>
      </c>
      <c r="K3134">
        <v>577007.90534456098</v>
      </c>
      <c r="L3134" t="s">
        <v>17</v>
      </c>
      <c r="M3134">
        <v>0</v>
      </c>
      <c r="N3134">
        <v>0.113412708944966</v>
      </c>
    </row>
    <row r="3135" spans="2:14" x14ac:dyDescent="0.25">
      <c r="B3135" t="s">
        <v>14</v>
      </c>
      <c r="C3135" s="1">
        <v>46025.999988425923</v>
      </c>
      <c r="D3135">
        <v>25.154513776839799</v>
      </c>
      <c r="E3135">
        <v>59417.646028755502</v>
      </c>
      <c r="F3135" s="1">
        <v>46023.60633101852</v>
      </c>
      <c r="G3135">
        <v>52.872672282217103</v>
      </c>
      <c r="H3135" t="s">
        <v>30</v>
      </c>
      <c r="J3135" t="s">
        <v>16</v>
      </c>
      <c r="K3135">
        <v>577007.90534456098</v>
      </c>
      <c r="L3135" t="s">
        <v>17</v>
      </c>
      <c r="M3135">
        <v>-6022.3835990318903</v>
      </c>
      <c r="N3135">
        <v>0.102975445359408</v>
      </c>
    </row>
    <row r="3136" spans="2:14" x14ac:dyDescent="0.25">
      <c r="B3136" t="s">
        <v>14</v>
      </c>
      <c r="C3136" s="1">
        <v>46024.999988425923</v>
      </c>
      <c r="D3136">
        <v>25.154513776839799</v>
      </c>
      <c r="E3136">
        <v>59417.646028755502</v>
      </c>
      <c r="F3136" s="1">
        <v>46023.60633101852</v>
      </c>
      <c r="G3136">
        <v>52.872672282217103</v>
      </c>
      <c r="H3136" t="s">
        <v>30</v>
      </c>
      <c r="J3136" t="s">
        <v>16</v>
      </c>
      <c r="K3136">
        <v>577007.90534456098</v>
      </c>
      <c r="L3136" t="s">
        <v>17</v>
      </c>
      <c r="M3136">
        <v>0</v>
      </c>
      <c r="N3136">
        <v>0.102975445359408</v>
      </c>
    </row>
    <row r="3137" spans="2:14" x14ac:dyDescent="0.25">
      <c r="B3137" t="s">
        <v>14</v>
      </c>
      <c r="C3137" s="1">
        <v>46023.999988425923</v>
      </c>
      <c r="D3137">
        <v>25.154513776839799</v>
      </c>
      <c r="E3137">
        <v>59417.646028755502</v>
      </c>
      <c r="F3137" s="1">
        <v>46023.60633101852</v>
      </c>
      <c r="G3137">
        <v>52.872672282217103</v>
      </c>
      <c r="H3137" t="s">
        <v>30</v>
      </c>
      <c r="J3137" t="s">
        <v>16</v>
      </c>
      <c r="K3137">
        <v>577007.90534456098</v>
      </c>
      <c r="L3137" t="s">
        <v>17</v>
      </c>
      <c r="M3137">
        <v>0</v>
      </c>
      <c r="N3137">
        <v>0.102975445359408</v>
      </c>
    </row>
    <row r="3138" spans="2:14" x14ac:dyDescent="0.25">
      <c r="B3138" t="s">
        <v>14</v>
      </c>
      <c r="C3138" s="1">
        <v>46246.999988425923</v>
      </c>
      <c r="D3138">
        <v>25.154517263662001</v>
      </c>
      <c r="E3138">
        <v>487846.36273784499</v>
      </c>
      <c r="F3138" s="1">
        <v>46246.605821759258</v>
      </c>
      <c r="G3138">
        <v>52.873665815978299</v>
      </c>
      <c r="H3138" t="s">
        <v>31</v>
      </c>
      <c r="J3138" t="s">
        <v>16</v>
      </c>
      <c r="K3138">
        <v>577007.90534456098</v>
      </c>
      <c r="L3138" t="s">
        <v>17</v>
      </c>
      <c r="M3138">
        <v>0</v>
      </c>
      <c r="N3138">
        <v>0.84547604672162402</v>
      </c>
    </row>
    <row r="3139" spans="2:14" x14ac:dyDescent="0.25">
      <c r="B3139" t="s">
        <v>14</v>
      </c>
      <c r="C3139" s="1">
        <v>46245.999988425923</v>
      </c>
      <c r="D3139">
        <v>25.154517263662001</v>
      </c>
      <c r="E3139">
        <v>504376.06704511802</v>
      </c>
      <c r="F3139" s="1">
        <v>46243.09915509259</v>
      </c>
      <c r="G3139">
        <v>52.873665815978299</v>
      </c>
      <c r="H3139" t="s">
        <v>31</v>
      </c>
      <c r="J3139" t="s">
        <v>16</v>
      </c>
      <c r="K3139">
        <v>577007.90534456098</v>
      </c>
      <c r="L3139" t="s">
        <v>17</v>
      </c>
      <c r="M3139">
        <v>16529.704307273299</v>
      </c>
      <c r="N3139">
        <v>0.87412332200878495</v>
      </c>
    </row>
    <row r="3140" spans="2:14" x14ac:dyDescent="0.25">
      <c r="B3140" t="s">
        <v>14</v>
      </c>
      <c r="C3140" s="1">
        <v>46244.999988425923</v>
      </c>
      <c r="D3140">
        <v>25.154517263662001</v>
      </c>
      <c r="E3140">
        <v>504376.06704511802</v>
      </c>
      <c r="F3140" s="1">
        <v>46243.09915509259</v>
      </c>
      <c r="G3140">
        <v>52.873665815978299</v>
      </c>
      <c r="H3140" t="s">
        <v>31</v>
      </c>
      <c r="J3140" t="s">
        <v>16</v>
      </c>
      <c r="K3140">
        <v>577007.90534456098</v>
      </c>
      <c r="L3140" t="s">
        <v>17</v>
      </c>
      <c r="M3140">
        <v>0</v>
      </c>
      <c r="N3140">
        <v>0.87412332200878495</v>
      </c>
    </row>
    <row r="3141" spans="2:14" x14ac:dyDescent="0.25">
      <c r="B3141" t="s">
        <v>14</v>
      </c>
      <c r="C3141" s="1">
        <v>46243.999988425923</v>
      </c>
      <c r="D3141">
        <v>25.154517263662001</v>
      </c>
      <c r="E3141">
        <v>504376.06704511802</v>
      </c>
      <c r="F3141" s="1">
        <v>46243.09915509259</v>
      </c>
      <c r="G3141">
        <v>52.873665815978299</v>
      </c>
      <c r="H3141" t="s">
        <v>31</v>
      </c>
      <c r="J3141" t="s">
        <v>16</v>
      </c>
      <c r="K3141">
        <v>577007.90534456098</v>
      </c>
      <c r="L3141" t="s">
        <v>17</v>
      </c>
      <c r="M3141">
        <v>0</v>
      </c>
      <c r="N3141">
        <v>0.87412332200878495</v>
      </c>
    </row>
    <row r="3142" spans="2:14" x14ac:dyDescent="0.25">
      <c r="B3142" t="s">
        <v>14</v>
      </c>
      <c r="C3142" s="1">
        <v>46242.999988425923</v>
      </c>
      <c r="D3142">
        <v>25.154517263662001</v>
      </c>
      <c r="E3142">
        <v>73686.137467598703</v>
      </c>
      <c r="F3142" s="1">
        <v>46240.605520833335</v>
      </c>
      <c r="G3142">
        <v>52.873665815978299</v>
      </c>
      <c r="H3142" t="s">
        <v>31</v>
      </c>
      <c r="J3142" t="s">
        <v>16</v>
      </c>
      <c r="K3142">
        <v>577007.90534456098</v>
      </c>
      <c r="L3142" t="s">
        <v>17</v>
      </c>
      <c r="M3142">
        <v>-430689.92957751901</v>
      </c>
      <c r="N3142">
        <v>0.127703861221098</v>
      </c>
    </row>
    <row r="3143" spans="2:14" x14ac:dyDescent="0.25">
      <c r="B3143" t="s">
        <v>14</v>
      </c>
      <c r="C3143" s="1">
        <v>46241.999988425923</v>
      </c>
      <c r="D3143">
        <v>25.154517263662001</v>
      </c>
      <c r="E3143">
        <v>73686.137467598703</v>
      </c>
      <c r="F3143" s="1">
        <v>46240.605520833335</v>
      </c>
      <c r="G3143">
        <v>52.873665815978299</v>
      </c>
      <c r="H3143" t="s">
        <v>31</v>
      </c>
      <c r="J3143" t="s">
        <v>16</v>
      </c>
      <c r="K3143">
        <v>577007.90534456098</v>
      </c>
      <c r="L3143" t="s">
        <v>17</v>
      </c>
      <c r="M3143">
        <v>0</v>
      </c>
      <c r="N3143">
        <v>0.127703861221098</v>
      </c>
    </row>
    <row r="3144" spans="2:14" x14ac:dyDescent="0.25">
      <c r="B3144" t="s">
        <v>14</v>
      </c>
      <c r="C3144" s="1">
        <v>46240.999988425923</v>
      </c>
      <c r="D3144">
        <v>25.154517263662001</v>
      </c>
      <c r="E3144">
        <v>73686.137467598703</v>
      </c>
      <c r="F3144" s="1">
        <v>46240.605520833335</v>
      </c>
      <c r="G3144">
        <v>52.873665815978299</v>
      </c>
      <c r="H3144" t="s">
        <v>31</v>
      </c>
      <c r="J3144" t="s">
        <v>16</v>
      </c>
      <c r="K3144">
        <v>577007.90534456098</v>
      </c>
      <c r="L3144" t="s">
        <v>17</v>
      </c>
      <c r="M3144">
        <v>0</v>
      </c>
      <c r="N3144">
        <v>0.127703861221098</v>
      </c>
    </row>
    <row r="3145" spans="2:14" x14ac:dyDescent="0.25">
      <c r="B3145" t="s">
        <v>14</v>
      </c>
      <c r="C3145" s="1">
        <v>46239.999988425923</v>
      </c>
      <c r="D3145">
        <v>25.154517263662001</v>
      </c>
      <c r="E3145">
        <v>60667.105692246798</v>
      </c>
      <c r="F3145" s="1">
        <v>46237.099328703705</v>
      </c>
      <c r="G3145">
        <v>52.873665815978299</v>
      </c>
      <c r="H3145" t="s">
        <v>31</v>
      </c>
      <c r="J3145" t="s">
        <v>16</v>
      </c>
      <c r="K3145">
        <v>577007.90534456098</v>
      </c>
      <c r="L3145" t="s">
        <v>17</v>
      </c>
      <c r="M3145">
        <v>-13019.031775351899</v>
      </c>
      <c r="N3145">
        <v>0.10514085704947</v>
      </c>
    </row>
    <row r="3146" spans="2:14" x14ac:dyDescent="0.25">
      <c r="B3146" t="s">
        <v>14</v>
      </c>
      <c r="C3146" s="1">
        <v>46238.999988425923</v>
      </c>
      <c r="D3146">
        <v>25.154517263662001</v>
      </c>
      <c r="E3146">
        <v>60667.105692246798</v>
      </c>
      <c r="F3146" s="1">
        <v>46237.099328703705</v>
      </c>
      <c r="G3146">
        <v>52.873665815978299</v>
      </c>
      <c r="H3146" t="s">
        <v>31</v>
      </c>
      <c r="J3146" t="s">
        <v>16</v>
      </c>
      <c r="K3146">
        <v>577007.90534456098</v>
      </c>
      <c r="L3146" t="s">
        <v>17</v>
      </c>
      <c r="M3146">
        <v>0</v>
      </c>
      <c r="N3146">
        <v>0.10514085704947</v>
      </c>
    </row>
    <row r="3147" spans="2:14" x14ac:dyDescent="0.25">
      <c r="B3147" t="s">
        <v>14</v>
      </c>
      <c r="C3147" s="1">
        <v>46237.999988425923</v>
      </c>
      <c r="D3147">
        <v>25.154517263662001</v>
      </c>
      <c r="E3147">
        <v>60667.105692246798</v>
      </c>
      <c r="F3147" s="1">
        <v>46237.099328703705</v>
      </c>
      <c r="G3147">
        <v>52.873665815978299</v>
      </c>
      <c r="H3147" t="s">
        <v>31</v>
      </c>
      <c r="J3147" t="s">
        <v>16</v>
      </c>
      <c r="K3147">
        <v>577007.90534456098</v>
      </c>
      <c r="L3147" t="s">
        <v>17</v>
      </c>
      <c r="M3147">
        <v>0</v>
      </c>
      <c r="N3147">
        <v>0.10514085704947</v>
      </c>
    </row>
    <row r="3148" spans="2:14" x14ac:dyDescent="0.25">
      <c r="B3148" t="s">
        <v>14</v>
      </c>
      <c r="C3148" s="1">
        <v>46236.999988425923</v>
      </c>
      <c r="D3148">
        <v>25.154517263662001</v>
      </c>
      <c r="E3148">
        <v>473756.362038608</v>
      </c>
      <c r="F3148" s="1">
        <v>46234.605810185189</v>
      </c>
      <c r="G3148">
        <v>52.873665815978299</v>
      </c>
      <c r="H3148" t="s">
        <v>31</v>
      </c>
      <c r="J3148" t="s">
        <v>16</v>
      </c>
      <c r="K3148">
        <v>577007.90534456098</v>
      </c>
      <c r="L3148" t="s">
        <v>17</v>
      </c>
      <c r="M3148">
        <v>413089.256346362</v>
      </c>
      <c r="N3148">
        <v>0.82105696932471695</v>
      </c>
    </row>
    <row r="3149" spans="2:14" x14ac:dyDescent="0.25">
      <c r="B3149" t="s">
        <v>14</v>
      </c>
      <c r="C3149" s="1">
        <v>46235.999988425923</v>
      </c>
      <c r="D3149">
        <v>25.154517263662001</v>
      </c>
      <c r="E3149">
        <v>473756.362038608</v>
      </c>
      <c r="F3149" s="1">
        <v>46234.605810185189</v>
      </c>
      <c r="G3149">
        <v>52.873665815978299</v>
      </c>
      <c r="H3149" t="s">
        <v>31</v>
      </c>
      <c r="J3149" t="s">
        <v>16</v>
      </c>
      <c r="K3149">
        <v>577007.90534456098</v>
      </c>
      <c r="L3149" t="s">
        <v>17</v>
      </c>
      <c r="M3149">
        <v>0</v>
      </c>
      <c r="N3149">
        <v>0.82105696932471695</v>
      </c>
    </row>
    <row r="3150" spans="2:14" x14ac:dyDescent="0.25">
      <c r="B3150" t="s">
        <v>14</v>
      </c>
      <c r="C3150" s="1">
        <v>46234.999988425923</v>
      </c>
      <c r="D3150">
        <v>25.154517263662001</v>
      </c>
      <c r="E3150">
        <v>473756.362038608</v>
      </c>
      <c r="F3150" s="1">
        <v>46234.605810185189</v>
      </c>
      <c r="G3150">
        <v>52.873665815978299</v>
      </c>
      <c r="H3150" t="s">
        <v>31</v>
      </c>
      <c r="J3150" t="s">
        <v>16</v>
      </c>
      <c r="K3150">
        <v>577007.90534456098</v>
      </c>
      <c r="L3150" t="s">
        <v>17</v>
      </c>
      <c r="M3150">
        <v>0</v>
      </c>
      <c r="N3150">
        <v>0.82105696932471695</v>
      </c>
    </row>
    <row r="3151" spans="2:14" x14ac:dyDescent="0.25">
      <c r="B3151" t="s">
        <v>14</v>
      </c>
      <c r="C3151" s="1">
        <v>46233.999988425923</v>
      </c>
      <c r="D3151">
        <v>25.154517263662001</v>
      </c>
      <c r="E3151">
        <v>448116.81938086601</v>
      </c>
      <c r="F3151" s="1">
        <v>46231.09915509259</v>
      </c>
      <c r="G3151">
        <v>52.873665815978299</v>
      </c>
      <c r="H3151" t="s">
        <v>31</v>
      </c>
      <c r="J3151" t="s">
        <v>16</v>
      </c>
      <c r="K3151">
        <v>577007.90534456098</v>
      </c>
      <c r="L3151" t="s">
        <v>17</v>
      </c>
      <c r="M3151">
        <v>-25639.542657742601</v>
      </c>
      <c r="N3151">
        <v>0.77662162897624798</v>
      </c>
    </row>
    <row r="3152" spans="2:14" x14ac:dyDescent="0.25">
      <c r="B3152" t="s">
        <v>14</v>
      </c>
      <c r="C3152" s="1">
        <v>46232.999988425923</v>
      </c>
      <c r="D3152">
        <v>25.154517263662001</v>
      </c>
      <c r="E3152">
        <v>448116.81938086601</v>
      </c>
      <c r="F3152" s="1">
        <v>46231.09915509259</v>
      </c>
      <c r="G3152">
        <v>52.873665815978299</v>
      </c>
      <c r="H3152" t="s">
        <v>31</v>
      </c>
      <c r="J3152" t="s">
        <v>16</v>
      </c>
      <c r="K3152">
        <v>577007.90534456098</v>
      </c>
      <c r="L3152" t="s">
        <v>17</v>
      </c>
      <c r="M3152">
        <v>0</v>
      </c>
      <c r="N3152">
        <v>0.77662162897624798</v>
      </c>
    </row>
    <row r="3153" spans="2:14" x14ac:dyDescent="0.25">
      <c r="B3153" t="s">
        <v>14</v>
      </c>
      <c r="C3153" s="1">
        <v>46231.999988425923</v>
      </c>
      <c r="D3153">
        <v>25.154517263662001</v>
      </c>
      <c r="E3153">
        <v>448116.81938086601</v>
      </c>
      <c r="F3153" s="1">
        <v>46231.09915509259</v>
      </c>
      <c r="G3153">
        <v>52.873665815978299</v>
      </c>
      <c r="H3153" t="s">
        <v>31</v>
      </c>
      <c r="J3153" t="s">
        <v>16</v>
      </c>
      <c r="K3153">
        <v>577007.90534456098</v>
      </c>
      <c r="L3153" t="s">
        <v>17</v>
      </c>
      <c r="M3153">
        <v>0</v>
      </c>
      <c r="N3153">
        <v>0.77662162897624798</v>
      </c>
    </row>
    <row r="3154" spans="2:14" x14ac:dyDescent="0.25">
      <c r="B3154" t="s">
        <v>14</v>
      </c>
      <c r="C3154" s="1">
        <v>46230.999988425923</v>
      </c>
      <c r="D3154">
        <v>25.154517263662001</v>
      </c>
      <c r="E3154">
        <v>187645.677118475</v>
      </c>
      <c r="F3154" s="1">
        <v>46228.605520833335</v>
      </c>
      <c r="G3154">
        <v>52.873665815978299</v>
      </c>
      <c r="H3154" t="s">
        <v>31</v>
      </c>
      <c r="J3154" t="s">
        <v>16</v>
      </c>
      <c r="K3154">
        <v>577007.90534456098</v>
      </c>
      <c r="L3154" t="s">
        <v>17</v>
      </c>
      <c r="M3154">
        <v>-260471.14226239</v>
      </c>
      <c r="N3154">
        <v>0.32520469023110299</v>
      </c>
    </row>
    <row r="3155" spans="2:14" x14ac:dyDescent="0.25">
      <c r="B3155" t="s">
        <v>14</v>
      </c>
      <c r="C3155" s="1">
        <v>46229.999988425923</v>
      </c>
      <c r="D3155">
        <v>25.154517263662001</v>
      </c>
      <c r="E3155">
        <v>187645.677118475</v>
      </c>
      <c r="F3155" s="1">
        <v>46228.605520833335</v>
      </c>
      <c r="G3155">
        <v>52.873665815978299</v>
      </c>
      <c r="H3155" t="s">
        <v>31</v>
      </c>
      <c r="J3155" t="s">
        <v>16</v>
      </c>
      <c r="K3155">
        <v>577007.90534456098</v>
      </c>
      <c r="L3155" t="s">
        <v>17</v>
      </c>
      <c r="M3155">
        <v>0</v>
      </c>
      <c r="N3155">
        <v>0.32520469023110299</v>
      </c>
    </row>
    <row r="3156" spans="2:14" x14ac:dyDescent="0.25">
      <c r="B3156" t="s">
        <v>14</v>
      </c>
      <c r="C3156" s="1">
        <v>46228.999988425923</v>
      </c>
      <c r="D3156">
        <v>25.154517263662001</v>
      </c>
      <c r="E3156">
        <v>187645.677118475</v>
      </c>
      <c r="F3156" s="1">
        <v>46228.605520833335</v>
      </c>
      <c r="G3156">
        <v>52.873665815978299</v>
      </c>
      <c r="H3156" t="s">
        <v>31</v>
      </c>
      <c r="J3156" t="s">
        <v>16</v>
      </c>
      <c r="K3156">
        <v>577007.90534456098</v>
      </c>
      <c r="L3156" t="s">
        <v>17</v>
      </c>
      <c r="M3156">
        <v>0</v>
      </c>
      <c r="N3156">
        <v>0.32520469023110299</v>
      </c>
    </row>
    <row r="3157" spans="2:14" x14ac:dyDescent="0.25">
      <c r="B3157" t="s">
        <v>14</v>
      </c>
      <c r="C3157" s="1">
        <v>46227.999988425923</v>
      </c>
      <c r="D3157">
        <v>25.154517263662001</v>
      </c>
      <c r="E3157">
        <v>317986.07450931601</v>
      </c>
      <c r="F3157" s="1">
        <v>46225.099317129629</v>
      </c>
      <c r="G3157">
        <v>52.873665815978299</v>
      </c>
      <c r="H3157" t="s">
        <v>31</v>
      </c>
      <c r="J3157" t="s">
        <v>16</v>
      </c>
      <c r="K3157">
        <v>577007.90534456098</v>
      </c>
      <c r="L3157" t="s">
        <v>17</v>
      </c>
      <c r="M3157">
        <v>130340.39739083999</v>
      </c>
      <c r="N3157">
        <v>0.55109483174139595</v>
      </c>
    </row>
    <row r="3158" spans="2:14" x14ac:dyDescent="0.25">
      <c r="B3158" t="s">
        <v>14</v>
      </c>
      <c r="C3158" s="1">
        <v>46226.999988425923</v>
      </c>
      <c r="D3158">
        <v>25.154517263662001</v>
      </c>
      <c r="E3158">
        <v>317986.07450931601</v>
      </c>
      <c r="F3158" s="1">
        <v>46225.099317129629</v>
      </c>
      <c r="G3158">
        <v>52.873665815978299</v>
      </c>
      <c r="H3158" t="s">
        <v>31</v>
      </c>
      <c r="J3158" t="s">
        <v>16</v>
      </c>
      <c r="K3158">
        <v>577007.90534456098</v>
      </c>
      <c r="L3158" t="s">
        <v>17</v>
      </c>
      <c r="M3158">
        <v>0</v>
      </c>
      <c r="N3158">
        <v>0.55109483174139595</v>
      </c>
    </row>
    <row r="3159" spans="2:14" x14ac:dyDescent="0.25">
      <c r="B3159" t="s">
        <v>14</v>
      </c>
      <c r="C3159" s="1">
        <v>46225.999988425923</v>
      </c>
      <c r="D3159">
        <v>25.154517263662001</v>
      </c>
      <c r="E3159">
        <v>317986.07450931601</v>
      </c>
      <c r="F3159" s="1">
        <v>46225.099317129629</v>
      </c>
      <c r="G3159">
        <v>52.873665815978299</v>
      </c>
      <c r="H3159" t="s">
        <v>31</v>
      </c>
      <c r="J3159" t="s">
        <v>16</v>
      </c>
      <c r="K3159">
        <v>577007.90534456098</v>
      </c>
      <c r="L3159" t="s">
        <v>17</v>
      </c>
      <c r="M3159">
        <v>0</v>
      </c>
      <c r="N3159">
        <v>0.55109483174139595</v>
      </c>
    </row>
    <row r="3160" spans="2:14" x14ac:dyDescent="0.25">
      <c r="B3160" t="s">
        <v>14</v>
      </c>
      <c r="C3160" s="1">
        <v>46224.999988425923</v>
      </c>
      <c r="D3160">
        <v>25.154517263662001</v>
      </c>
      <c r="E3160">
        <v>515043.49571044702</v>
      </c>
      <c r="F3160" s="1">
        <v>46222.605810185189</v>
      </c>
      <c r="G3160">
        <v>52.873665815978299</v>
      </c>
      <c r="H3160" t="s">
        <v>31</v>
      </c>
      <c r="J3160" t="s">
        <v>16</v>
      </c>
      <c r="K3160">
        <v>577007.90534456098</v>
      </c>
      <c r="L3160" t="s">
        <v>17</v>
      </c>
      <c r="M3160">
        <v>197057.42120113</v>
      </c>
      <c r="N3160">
        <v>0.89261081336985904</v>
      </c>
    </row>
    <row r="3161" spans="2:14" x14ac:dyDescent="0.25">
      <c r="B3161" t="s">
        <v>14</v>
      </c>
      <c r="C3161" s="1">
        <v>46223.999988425923</v>
      </c>
      <c r="D3161">
        <v>25.154517263662001</v>
      </c>
      <c r="E3161">
        <v>515043.49571044702</v>
      </c>
      <c r="F3161" s="1">
        <v>46222.605810185189</v>
      </c>
      <c r="G3161">
        <v>52.873665815978299</v>
      </c>
      <c r="H3161" t="s">
        <v>31</v>
      </c>
      <c r="J3161" t="s">
        <v>16</v>
      </c>
      <c r="K3161">
        <v>577007.90534456098</v>
      </c>
      <c r="L3161" t="s">
        <v>17</v>
      </c>
      <c r="M3161">
        <v>0</v>
      </c>
      <c r="N3161">
        <v>0.89261081336985904</v>
      </c>
    </row>
    <row r="3162" spans="2:14" x14ac:dyDescent="0.25">
      <c r="B3162" t="s">
        <v>14</v>
      </c>
      <c r="C3162" s="1">
        <v>46222.999988425923</v>
      </c>
      <c r="D3162">
        <v>25.154517263662001</v>
      </c>
      <c r="E3162">
        <v>515043.49571044702</v>
      </c>
      <c r="F3162" s="1">
        <v>46222.605810185189</v>
      </c>
      <c r="G3162">
        <v>52.873665815978299</v>
      </c>
      <c r="H3162" t="s">
        <v>31</v>
      </c>
      <c r="J3162" t="s">
        <v>16</v>
      </c>
      <c r="K3162">
        <v>577007.90534456098</v>
      </c>
      <c r="L3162" t="s">
        <v>17</v>
      </c>
      <c r="M3162">
        <v>0</v>
      </c>
      <c r="N3162">
        <v>0.89261081336985904</v>
      </c>
    </row>
    <row r="3163" spans="2:14" x14ac:dyDescent="0.25">
      <c r="B3163" t="s">
        <v>14</v>
      </c>
      <c r="C3163" s="1">
        <v>46221.999988425923</v>
      </c>
      <c r="D3163">
        <v>25.154517263662001</v>
      </c>
      <c r="E3163">
        <v>54339.196671647202</v>
      </c>
      <c r="F3163" s="1">
        <v>46219.099143518521</v>
      </c>
      <c r="G3163">
        <v>52.873665815978299</v>
      </c>
      <c r="H3163" t="s">
        <v>31</v>
      </c>
      <c r="J3163" t="s">
        <v>16</v>
      </c>
      <c r="K3163">
        <v>577007.90534456098</v>
      </c>
      <c r="L3163" t="s">
        <v>17</v>
      </c>
      <c r="M3163">
        <v>-460704.2990388</v>
      </c>
      <c r="N3163">
        <v>9.4174093921986196E-2</v>
      </c>
    </row>
    <row r="3164" spans="2:14" x14ac:dyDescent="0.25">
      <c r="B3164" t="s">
        <v>14</v>
      </c>
      <c r="C3164" s="1">
        <v>46220.999988425923</v>
      </c>
      <c r="D3164">
        <v>25.154517263662001</v>
      </c>
      <c r="E3164">
        <v>54339.196671647202</v>
      </c>
      <c r="F3164" s="1">
        <v>46219.099143518521</v>
      </c>
      <c r="G3164">
        <v>52.873665815978299</v>
      </c>
      <c r="H3164" t="s">
        <v>31</v>
      </c>
      <c r="J3164" t="s">
        <v>16</v>
      </c>
      <c r="K3164">
        <v>577007.90534456098</v>
      </c>
      <c r="L3164" t="s">
        <v>17</v>
      </c>
      <c r="M3164">
        <v>0</v>
      </c>
      <c r="N3164">
        <v>9.4174093921986196E-2</v>
      </c>
    </row>
    <row r="3165" spans="2:14" x14ac:dyDescent="0.25">
      <c r="B3165" t="s">
        <v>14</v>
      </c>
      <c r="C3165" s="1">
        <v>46219.999988425923</v>
      </c>
      <c r="D3165">
        <v>25.154517263662001</v>
      </c>
      <c r="E3165">
        <v>54339.196671647202</v>
      </c>
      <c r="F3165" s="1">
        <v>46219.099143518521</v>
      </c>
      <c r="G3165">
        <v>52.873665815978299</v>
      </c>
      <c r="H3165" t="s">
        <v>31</v>
      </c>
      <c r="J3165" t="s">
        <v>16</v>
      </c>
      <c r="K3165">
        <v>577007.90534456098</v>
      </c>
      <c r="L3165" t="s">
        <v>17</v>
      </c>
      <c r="M3165">
        <v>0</v>
      </c>
      <c r="N3165">
        <v>9.4174093921986196E-2</v>
      </c>
    </row>
    <row r="3166" spans="2:14" x14ac:dyDescent="0.25">
      <c r="B3166" t="s">
        <v>14</v>
      </c>
      <c r="C3166" s="1">
        <v>46218.999988425923</v>
      </c>
      <c r="D3166">
        <v>25.154517263662001</v>
      </c>
      <c r="E3166">
        <v>511680.89576564002</v>
      </c>
      <c r="F3166" s="1">
        <v>46216.605509259258</v>
      </c>
      <c r="G3166">
        <v>52.873665815978299</v>
      </c>
      <c r="H3166" t="s">
        <v>31</v>
      </c>
      <c r="J3166" t="s">
        <v>16</v>
      </c>
      <c r="K3166">
        <v>577007.90534456098</v>
      </c>
      <c r="L3166" t="s">
        <v>17</v>
      </c>
      <c r="M3166">
        <v>457341.699093993</v>
      </c>
      <c r="N3166">
        <v>0.886783163672757</v>
      </c>
    </row>
    <row r="3167" spans="2:14" x14ac:dyDescent="0.25">
      <c r="B3167" t="s">
        <v>14</v>
      </c>
      <c r="C3167" s="1">
        <v>46217.999988425923</v>
      </c>
      <c r="D3167">
        <v>25.154517263662001</v>
      </c>
      <c r="E3167">
        <v>511680.89576564002</v>
      </c>
      <c r="F3167" s="1">
        <v>46216.605509259258</v>
      </c>
      <c r="G3167">
        <v>52.873665815978299</v>
      </c>
      <c r="H3167" t="s">
        <v>31</v>
      </c>
      <c r="J3167" t="s">
        <v>16</v>
      </c>
      <c r="K3167">
        <v>577007.90534456098</v>
      </c>
      <c r="L3167" t="s">
        <v>17</v>
      </c>
      <c r="M3167">
        <v>0</v>
      </c>
      <c r="N3167">
        <v>0.886783163672757</v>
      </c>
    </row>
    <row r="3168" spans="2:14" x14ac:dyDescent="0.25">
      <c r="B3168" t="s">
        <v>14</v>
      </c>
      <c r="C3168" s="1">
        <v>46216.999988425923</v>
      </c>
      <c r="D3168">
        <v>25.154517263662001</v>
      </c>
      <c r="E3168">
        <v>511680.89576564002</v>
      </c>
      <c r="F3168" s="1">
        <v>46216.605509259258</v>
      </c>
      <c r="G3168">
        <v>52.873665815978299</v>
      </c>
      <c r="H3168" t="s">
        <v>31</v>
      </c>
      <c r="J3168" t="s">
        <v>16</v>
      </c>
      <c r="K3168">
        <v>577007.90534456098</v>
      </c>
      <c r="L3168" t="s">
        <v>17</v>
      </c>
      <c r="M3168">
        <v>0</v>
      </c>
      <c r="N3168">
        <v>0.886783163672757</v>
      </c>
    </row>
    <row r="3169" spans="2:14" x14ac:dyDescent="0.25">
      <c r="B3169" t="s">
        <v>14</v>
      </c>
      <c r="C3169" s="1">
        <v>46215.999988425923</v>
      </c>
      <c r="D3169">
        <v>25.154517263662001</v>
      </c>
      <c r="E3169">
        <v>519492.666336414</v>
      </c>
      <c r="F3169" s="1">
        <v>46213.099305555559</v>
      </c>
      <c r="G3169">
        <v>52.873665815978299</v>
      </c>
      <c r="H3169" t="s">
        <v>31</v>
      </c>
      <c r="J3169" t="s">
        <v>16</v>
      </c>
      <c r="K3169">
        <v>577007.90534456098</v>
      </c>
      <c r="L3169" t="s">
        <v>17</v>
      </c>
      <c r="M3169">
        <v>7811.7705707730402</v>
      </c>
      <c r="N3169">
        <v>0.90032157536246904</v>
      </c>
    </row>
    <row r="3170" spans="2:14" x14ac:dyDescent="0.25">
      <c r="B3170" t="s">
        <v>14</v>
      </c>
      <c r="C3170" s="1">
        <v>46214.999988425923</v>
      </c>
      <c r="D3170">
        <v>25.154517263662001</v>
      </c>
      <c r="E3170">
        <v>519492.666336414</v>
      </c>
      <c r="F3170" s="1">
        <v>46213.099305555559</v>
      </c>
      <c r="G3170">
        <v>52.873665815978299</v>
      </c>
      <c r="H3170" t="s">
        <v>31</v>
      </c>
      <c r="J3170" t="s">
        <v>16</v>
      </c>
      <c r="K3170">
        <v>577007.90534456098</v>
      </c>
      <c r="L3170" t="s">
        <v>17</v>
      </c>
      <c r="M3170">
        <v>0</v>
      </c>
      <c r="N3170">
        <v>0.90032157536246904</v>
      </c>
    </row>
    <row r="3171" spans="2:14" x14ac:dyDescent="0.25">
      <c r="B3171" t="s">
        <v>14</v>
      </c>
      <c r="C3171" s="1">
        <v>46213.999988425923</v>
      </c>
      <c r="D3171">
        <v>25.154517263662001</v>
      </c>
      <c r="E3171">
        <v>519492.666336414</v>
      </c>
      <c r="F3171" s="1">
        <v>46213.099305555559</v>
      </c>
      <c r="G3171">
        <v>52.873665815978299</v>
      </c>
      <c r="H3171" t="s">
        <v>31</v>
      </c>
      <c r="J3171" t="s">
        <v>16</v>
      </c>
      <c r="K3171">
        <v>577007.90534456098</v>
      </c>
      <c r="L3171" t="s">
        <v>17</v>
      </c>
      <c r="M3171">
        <v>0</v>
      </c>
      <c r="N3171">
        <v>0.90032157536246904</v>
      </c>
    </row>
    <row r="3172" spans="2:14" x14ac:dyDescent="0.25">
      <c r="B3172" t="s">
        <v>14</v>
      </c>
      <c r="C3172" s="1">
        <v>46212.999988425923</v>
      </c>
      <c r="D3172">
        <v>25.154517263662001</v>
      </c>
      <c r="E3172">
        <v>70307.4690805891</v>
      </c>
      <c r="F3172" s="1">
        <v>46210.605798611112</v>
      </c>
      <c r="G3172">
        <v>52.873665815978299</v>
      </c>
      <c r="H3172" t="s">
        <v>31</v>
      </c>
      <c r="J3172" t="s">
        <v>16</v>
      </c>
      <c r="K3172">
        <v>577007.90534456098</v>
      </c>
      <c r="L3172" t="s">
        <v>17</v>
      </c>
      <c r="M3172">
        <v>-449185.19725582399</v>
      </c>
      <c r="N3172">
        <v>0.121848363652149</v>
      </c>
    </row>
    <row r="3173" spans="2:14" x14ac:dyDescent="0.25">
      <c r="B3173" t="s">
        <v>14</v>
      </c>
      <c r="C3173" s="1">
        <v>46211.999988425923</v>
      </c>
      <c r="D3173">
        <v>25.154517263662001</v>
      </c>
      <c r="E3173">
        <v>70307.4690805891</v>
      </c>
      <c r="F3173" s="1">
        <v>46210.605798611112</v>
      </c>
      <c r="G3173">
        <v>52.873665815978299</v>
      </c>
      <c r="H3173" t="s">
        <v>31</v>
      </c>
      <c r="J3173" t="s">
        <v>16</v>
      </c>
      <c r="K3173">
        <v>577007.90534456098</v>
      </c>
      <c r="L3173" t="s">
        <v>17</v>
      </c>
      <c r="M3173">
        <v>0</v>
      </c>
      <c r="N3173">
        <v>0.121848363652149</v>
      </c>
    </row>
    <row r="3174" spans="2:14" x14ac:dyDescent="0.25">
      <c r="B3174" t="s">
        <v>14</v>
      </c>
      <c r="C3174" s="1">
        <v>46210.999988425923</v>
      </c>
      <c r="D3174">
        <v>25.154517263662001</v>
      </c>
      <c r="E3174">
        <v>70307.4690805891</v>
      </c>
      <c r="F3174" s="1">
        <v>46210.605798611112</v>
      </c>
      <c r="G3174">
        <v>52.873665815978299</v>
      </c>
      <c r="H3174" t="s">
        <v>31</v>
      </c>
      <c r="J3174" t="s">
        <v>16</v>
      </c>
      <c r="K3174">
        <v>577007.90534456098</v>
      </c>
      <c r="L3174" t="s">
        <v>17</v>
      </c>
      <c r="M3174">
        <v>0</v>
      </c>
      <c r="N3174">
        <v>0.121848363652149</v>
      </c>
    </row>
    <row r="3175" spans="2:14" x14ac:dyDescent="0.25">
      <c r="B3175" t="s">
        <v>14</v>
      </c>
      <c r="C3175" s="1">
        <v>46209.999988425923</v>
      </c>
      <c r="D3175">
        <v>25.154517263662001</v>
      </c>
      <c r="E3175">
        <v>55632.794974680102</v>
      </c>
      <c r="F3175" s="1">
        <v>46207.099131944444</v>
      </c>
      <c r="G3175">
        <v>52.873665815978299</v>
      </c>
      <c r="H3175" t="s">
        <v>31</v>
      </c>
      <c r="J3175" t="s">
        <v>16</v>
      </c>
      <c r="K3175">
        <v>577007.90534456098</v>
      </c>
      <c r="L3175" t="s">
        <v>17</v>
      </c>
      <c r="M3175">
        <v>-14674.674105909</v>
      </c>
      <c r="N3175">
        <v>9.6416001339633101E-2</v>
      </c>
    </row>
    <row r="3176" spans="2:14" x14ac:dyDescent="0.25">
      <c r="B3176" t="s">
        <v>14</v>
      </c>
      <c r="C3176" s="1">
        <v>46208.999988425923</v>
      </c>
      <c r="D3176">
        <v>25.154517263662001</v>
      </c>
      <c r="E3176">
        <v>55632.794974680102</v>
      </c>
      <c r="F3176" s="1">
        <v>46207.099131944444</v>
      </c>
      <c r="G3176">
        <v>52.873665815978299</v>
      </c>
      <c r="H3176" t="s">
        <v>31</v>
      </c>
      <c r="J3176" t="s">
        <v>16</v>
      </c>
      <c r="K3176">
        <v>577007.90534456098</v>
      </c>
      <c r="L3176" t="s">
        <v>17</v>
      </c>
      <c r="M3176">
        <v>0</v>
      </c>
      <c r="N3176">
        <v>9.6416001339633101E-2</v>
      </c>
    </row>
    <row r="3177" spans="2:14" x14ac:dyDescent="0.25">
      <c r="B3177" t="s">
        <v>14</v>
      </c>
      <c r="C3177" s="1">
        <v>46207.999988425923</v>
      </c>
      <c r="D3177">
        <v>25.154517263662001</v>
      </c>
      <c r="E3177">
        <v>55632.794974680102</v>
      </c>
      <c r="F3177" s="1">
        <v>46207.099131944444</v>
      </c>
      <c r="G3177">
        <v>52.873665815978299</v>
      </c>
      <c r="H3177" t="s">
        <v>31</v>
      </c>
      <c r="J3177" t="s">
        <v>16</v>
      </c>
      <c r="K3177">
        <v>577007.90534456098</v>
      </c>
      <c r="L3177" t="s">
        <v>17</v>
      </c>
      <c r="M3177">
        <v>0</v>
      </c>
      <c r="N3177">
        <v>9.6416001339633101E-2</v>
      </c>
    </row>
    <row r="3178" spans="2:14" x14ac:dyDescent="0.25">
      <c r="B3178" t="s">
        <v>14</v>
      </c>
      <c r="C3178" s="1">
        <v>46206.999988425923</v>
      </c>
      <c r="D3178">
        <v>25.154517263662001</v>
      </c>
      <c r="E3178">
        <v>71744.712532966907</v>
      </c>
      <c r="F3178" s="1">
        <v>46204.605509259258</v>
      </c>
      <c r="G3178">
        <v>52.873665815978299</v>
      </c>
      <c r="H3178" t="s">
        <v>31</v>
      </c>
      <c r="J3178" t="s">
        <v>16</v>
      </c>
      <c r="K3178">
        <v>577007.90534456098</v>
      </c>
      <c r="L3178" t="s">
        <v>17</v>
      </c>
      <c r="M3178">
        <v>16111.917558286799</v>
      </c>
      <c r="N3178">
        <v>0.124339219390979</v>
      </c>
    </row>
    <row r="3179" spans="2:14" x14ac:dyDescent="0.25">
      <c r="B3179" t="s">
        <v>14</v>
      </c>
      <c r="C3179" s="1">
        <v>46205.999988425923</v>
      </c>
      <c r="D3179">
        <v>25.154517263662001</v>
      </c>
      <c r="E3179">
        <v>71744.712532966907</v>
      </c>
      <c r="F3179" s="1">
        <v>46204.605509259258</v>
      </c>
      <c r="G3179">
        <v>52.873665815978299</v>
      </c>
      <c r="H3179" t="s">
        <v>31</v>
      </c>
      <c r="J3179" t="s">
        <v>16</v>
      </c>
      <c r="K3179">
        <v>577007.90534456098</v>
      </c>
      <c r="L3179" t="s">
        <v>17</v>
      </c>
      <c r="M3179">
        <v>0</v>
      </c>
      <c r="N3179">
        <v>0.124339219390979</v>
      </c>
    </row>
    <row r="3180" spans="2:14" x14ac:dyDescent="0.25">
      <c r="B3180" t="s">
        <v>14</v>
      </c>
      <c r="C3180" s="1">
        <v>46204.999988425923</v>
      </c>
      <c r="D3180">
        <v>25.154517263662001</v>
      </c>
      <c r="E3180">
        <v>71744.712532966907</v>
      </c>
      <c r="F3180" s="1">
        <v>46204.605509259258</v>
      </c>
      <c r="G3180">
        <v>52.873665815978299</v>
      </c>
      <c r="H3180" t="s">
        <v>31</v>
      </c>
      <c r="J3180" t="s">
        <v>16</v>
      </c>
      <c r="K3180">
        <v>577007.90534456098</v>
      </c>
      <c r="L3180" t="s">
        <v>17</v>
      </c>
      <c r="M3180">
        <v>0</v>
      </c>
      <c r="N3180">
        <v>0.124339219390979</v>
      </c>
    </row>
    <row r="3181" spans="2:14" x14ac:dyDescent="0.25">
      <c r="B3181" t="s">
        <v>14</v>
      </c>
      <c r="C3181" s="1">
        <v>46203.999988425923</v>
      </c>
      <c r="D3181">
        <v>25.154517263662001</v>
      </c>
      <c r="E3181">
        <v>65983.270974443294</v>
      </c>
      <c r="F3181" s="1">
        <v>46201.099305555559</v>
      </c>
      <c r="G3181">
        <v>52.873665815978299</v>
      </c>
      <c r="H3181" t="s">
        <v>31</v>
      </c>
      <c r="J3181" t="s">
        <v>16</v>
      </c>
      <c r="K3181">
        <v>577007.90534456098</v>
      </c>
      <c r="L3181" t="s">
        <v>17</v>
      </c>
      <c r="M3181">
        <v>-5761.4415585236202</v>
      </c>
      <c r="N3181">
        <v>0.114354188847796</v>
      </c>
    </row>
    <row r="3182" spans="2:14" x14ac:dyDescent="0.25">
      <c r="B3182" t="s">
        <v>14</v>
      </c>
      <c r="C3182" s="1">
        <v>46202.999988425923</v>
      </c>
      <c r="D3182">
        <v>25.154517263662001</v>
      </c>
      <c r="E3182">
        <v>65983.270974443294</v>
      </c>
      <c r="F3182" s="1">
        <v>46201.099305555559</v>
      </c>
      <c r="G3182">
        <v>52.873665815978299</v>
      </c>
      <c r="H3182" t="s">
        <v>31</v>
      </c>
      <c r="J3182" t="s">
        <v>16</v>
      </c>
      <c r="K3182">
        <v>577007.90534456098</v>
      </c>
      <c r="L3182" t="s">
        <v>17</v>
      </c>
      <c r="M3182">
        <v>0</v>
      </c>
      <c r="N3182">
        <v>0.114354188847796</v>
      </c>
    </row>
    <row r="3183" spans="2:14" x14ac:dyDescent="0.25">
      <c r="B3183" t="s">
        <v>14</v>
      </c>
      <c r="C3183" s="1">
        <v>46201.999988425923</v>
      </c>
      <c r="D3183">
        <v>25.154517263662001</v>
      </c>
      <c r="E3183">
        <v>65983.270974443294</v>
      </c>
      <c r="F3183" s="1">
        <v>46201.099305555559</v>
      </c>
      <c r="G3183">
        <v>52.873665815978299</v>
      </c>
      <c r="H3183" t="s">
        <v>31</v>
      </c>
      <c r="J3183" t="s">
        <v>16</v>
      </c>
      <c r="K3183">
        <v>577007.90534456098</v>
      </c>
      <c r="L3183" t="s">
        <v>17</v>
      </c>
      <c r="M3183">
        <v>0</v>
      </c>
      <c r="N3183">
        <v>0.114354188847796</v>
      </c>
    </row>
    <row r="3184" spans="2:14" x14ac:dyDescent="0.25">
      <c r="B3184" t="s">
        <v>14</v>
      </c>
      <c r="C3184" s="1">
        <v>46200.999988425923</v>
      </c>
      <c r="D3184">
        <v>25.154517263662001</v>
      </c>
      <c r="E3184">
        <v>122936.286657602</v>
      </c>
      <c r="F3184" s="1">
        <v>46198.605787037035</v>
      </c>
      <c r="G3184">
        <v>52.873665815978299</v>
      </c>
      <c r="H3184" t="s">
        <v>31</v>
      </c>
      <c r="J3184" t="s">
        <v>16</v>
      </c>
      <c r="K3184">
        <v>577007.90534456098</v>
      </c>
      <c r="L3184" t="s">
        <v>17</v>
      </c>
      <c r="M3184">
        <v>56953.015683159101</v>
      </c>
      <c r="N3184">
        <v>0.2130582363238</v>
      </c>
    </row>
    <row r="3185" spans="2:14" x14ac:dyDescent="0.25">
      <c r="B3185" t="s">
        <v>14</v>
      </c>
      <c r="C3185" s="1">
        <v>46199.999988425923</v>
      </c>
      <c r="D3185">
        <v>25.154517263662001</v>
      </c>
      <c r="E3185">
        <v>122936.286657602</v>
      </c>
      <c r="F3185" s="1">
        <v>46198.605787037035</v>
      </c>
      <c r="G3185">
        <v>52.873665815978299</v>
      </c>
      <c r="H3185" t="s">
        <v>31</v>
      </c>
      <c r="J3185" t="s">
        <v>16</v>
      </c>
      <c r="K3185">
        <v>577007.90534456098</v>
      </c>
      <c r="L3185" t="s">
        <v>17</v>
      </c>
      <c r="M3185">
        <v>0</v>
      </c>
      <c r="N3185">
        <v>0.2130582363238</v>
      </c>
    </row>
    <row r="3186" spans="2:14" x14ac:dyDescent="0.25">
      <c r="B3186" t="s">
        <v>14</v>
      </c>
      <c r="C3186" s="1">
        <v>46198.999988425923</v>
      </c>
      <c r="D3186">
        <v>25.154517263662001</v>
      </c>
      <c r="E3186">
        <v>122936.286657602</v>
      </c>
      <c r="F3186" s="1">
        <v>46198.605787037035</v>
      </c>
      <c r="G3186">
        <v>52.873665815978299</v>
      </c>
      <c r="H3186" t="s">
        <v>31</v>
      </c>
      <c r="J3186" t="s">
        <v>16</v>
      </c>
      <c r="K3186">
        <v>577007.90534456098</v>
      </c>
      <c r="L3186" t="s">
        <v>17</v>
      </c>
      <c r="M3186">
        <v>0</v>
      </c>
      <c r="N3186">
        <v>0.2130582363238</v>
      </c>
    </row>
    <row r="3187" spans="2:14" x14ac:dyDescent="0.25">
      <c r="B3187" t="s">
        <v>14</v>
      </c>
      <c r="C3187" s="1">
        <v>46197.999988425923</v>
      </c>
      <c r="D3187">
        <v>25.154517263662001</v>
      </c>
      <c r="E3187">
        <v>30046.4294234593</v>
      </c>
      <c r="F3187" s="1">
        <v>46194.099780092591</v>
      </c>
      <c r="G3187">
        <v>52.873665815978299</v>
      </c>
      <c r="H3187" t="s">
        <v>31</v>
      </c>
      <c r="J3187" t="s">
        <v>16</v>
      </c>
      <c r="K3187">
        <v>577007.90534456098</v>
      </c>
      <c r="L3187" t="s">
        <v>17</v>
      </c>
      <c r="M3187">
        <v>-92889.857234143099</v>
      </c>
      <c r="N3187">
        <v>5.2072821091622701E-2</v>
      </c>
    </row>
    <row r="3188" spans="2:14" x14ac:dyDescent="0.25">
      <c r="B3188" t="s">
        <v>14</v>
      </c>
      <c r="C3188" s="1">
        <v>46196.999988425923</v>
      </c>
      <c r="D3188">
        <v>25.154517263662001</v>
      </c>
      <c r="E3188">
        <v>30046.4294234593</v>
      </c>
      <c r="F3188" s="1">
        <v>46194.099780092591</v>
      </c>
      <c r="G3188">
        <v>52.873665815978299</v>
      </c>
      <c r="H3188" t="s">
        <v>31</v>
      </c>
      <c r="J3188" t="s">
        <v>16</v>
      </c>
      <c r="K3188">
        <v>577007.90534456098</v>
      </c>
      <c r="L3188" t="s">
        <v>17</v>
      </c>
      <c r="M3188">
        <v>0</v>
      </c>
      <c r="N3188">
        <v>5.2072821091622701E-2</v>
      </c>
    </row>
    <row r="3189" spans="2:14" x14ac:dyDescent="0.25">
      <c r="B3189" t="s">
        <v>14</v>
      </c>
      <c r="C3189" s="1">
        <v>46195.999988425923</v>
      </c>
      <c r="D3189">
        <v>25.154517263662001</v>
      </c>
      <c r="E3189">
        <v>30046.4294234593</v>
      </c>
      <c r="F3189" s="1">
        <v>46194.099780092591</v>
      </c>
      <c r="G3189">
        <v>52.873665815978299</v>
      </c>
      <c r="H3189" t="s">
        <v>31</v>
      </c>
      <c r="J3189" t="s">
        <v>16</v>
      </c>
      <c r="K3189">
        <v>577007.90534456098</v>
      </c>
      <c r="L3189" t="s">
        <v>17</v>
      </c>
      <c r="M3189">
        <v>0</v>
      </c>
      <c r="N3189">
        <v>5.2072821091622701E-2</v>
      </c>
    </row>
    <row r="3190" spans="2:14" x14ac:dyDescent="0.25">
      <c r="B3190" t="s">
        <v>14</v>
      </c>
      <c r="C3190" s="1">
        <v>46194.999988425923</v>
      </c>
      <c r="D3190">
        <v>25.154517263662001</v>
      </c>
      <c r="E3190">
        <v>30046.4294234593</v>
      </c>
      <c r="F3190" s="1">
        <v>46194.099780092591</v>
      </c>
      <c r="G3190">
        <v>52.873665815978299</v>
      </c>
      <c r="H3190" t="s">
        <v>31</v>
      </c>
      <c r="J3190" t="s">
        <v>16</v>
      </c>
      <c r="K3190">
        <v>577007.90534456098</v>
      </c>
      <c r="L3190" t="s">
        <v>17</v>
      </c>
      <c r="M3190">
        <v>0</v>
      </c>
      <c r="N3190">
        <v>5.2072821091622701E-2</v>
      </c>
    </row>
    <row r="3191" spans="2:14" x14ac:dyDescent="0.25">
      <c r="B3191" t="s">
        <v>14</v>
      </c>
      <c r="C3191" s="1">
        <v>46193.999988425923</v>
      </c>
      <c r="D3191">
        <v>25.154517263662001</v>
      </c>
      <c r="E3191">
        <v>461871.32978712802</v>
      </c>
      <c r="F3191" s="1">
        <v>46191.606261574074</v>
      </c>
      <c r="G3191">
        <v>52.873665815978299</v>
      </c>
      <c r="H3191" t="s">
        <v>31</v>
      </c>
      <c r="J3191" t="s">
        <v>16</v>
      </c>
      <c r="K3191">
        <v>577007.90534456098</v>
      </c>
      <c r="L3191" t="s">
        <v>17</v>
      </c>
      <c r="M3191">
        <v>431824.90036366897</v>
      </c>
      <c r="N3191">
        <v>0.80045927535658501</v>
      </c>
    </row>
    <row r="3192" spans="2:14" x14ac:dyDescent="0.25">
      <c r="B3192" t="s">
        <v>14</v>
      </c>
      <c r="C3192" s="1">
        <v>46192.999988425923</v>
      </c>
      <c r="D3192">
        <v>25.154517263662001</v>
      </c>
      <c r="E3192">
        <v>461871.32978712802</v>
      </c>
      <c r="F3192" s="1">
        <v>46191.606261574074</v>
      </c>
      <c r="G3192">
        <v>52.873665815978299</v>
      </c>
      <c r="H3192" t="s">
        <v>31</v>
      </c>
      <c r="J3192" t="s">
        <v>16</v>
      </c>
      <c r="K3192">
        <v>577007.90534456098</v>
      </c>
      <c r="L3192" t="s">
        <v>17</v>
      </c>
      <c r="M3192">
        <v>0</v>
      </c>
      <c r="N3192">
        <v>0.80045927535658501</v>
      </c>
    </row>
    <row r="3193" spans="2:14" x14ac:dyDescent="0.25">
      <c r="B3193" t="s">
        <v>14</v>
      </c>
      <c r="C3193" s="1">
        <v>46191.999988425923</v>
      </c>
      <c r="D3193">
        <v>25.154517263662001</v>
      </c>
      <c r="E3193">
        <v>461871.32978712802</v>
      </c>
      <c r="F3193" s="1">
        <v>46191.606261574074</v>
      </c>
      <c r="G3193">
        <v>52.873665815978299</v>
      </c>
      <c r="H3193" t="s">
        <v>31</v>
      </c>
      <c r="J3193" t="s">
        <v>16</v>
      </c>
      <c r="K3193">
        <v>577007.90534456098</v>
      </c>
      <c r="L3193" t="s">
        <v>17</v>
      </c>
      <c r="M3193">
        <v>0</v>
      </c>
      <c r="N3193">
        <v>0.80045927535658501</v>
      </c>
    </row>
    <row r="3194" spans="2:14" x14ac:dyDescent="0.25">
      <c r="B3194" t="s">
        <v>14</v>
      </c>
      <c r="C3194" s="1">
        <v>46190.999988425923</v>
      </c>
      <c r="D3194">
        <v>25.154517263662001</v>
      </c>
      <c r="E3194">
        <v>71685.257782132307</v>
      </c>
      <c r="F3194" s="1">
        <v>46189.099270833336</v>
      </c>
      <c r="G3194">
        <v>52.873665815978299</v>
      </c>
      <c r="H3194" t="s">
        <v>31</v>
      </c>
      <c r="J3194" t="s">
        <v>16</v>
      </c>
      <c r="K3194">
        <v>577007.90534456098</v>
      </c>
      <c r="L3194" t="s">
        <v>17</v>
      </c>
      <c r="M3194">
        <v>-390186.07200499601</v>
      </c>
      <c r="N3194">
        <v>0.12423617964007801</v>
      </c>
    </row>
    <row r="3195" spans="2:14" x14ac:dyDescent="0.25">
      <c r="B3195" t="s">
        <v>14</v>
      </c>
      <c r="C3195" s="1">
        <v>46189.999988425923</v>
      </c>
      <c r="D3195">
        <v>25.154517263662001</v>
      </c>
      <c r="E3195">
        <v>71685.257782132307</v>
      </c>
      <c r="F3195" s="1">
        <v>46189.099270833336</v>
      </c>
      <c r="G3195">
        <v>52.873665815978299</v>
      </c>
      <c r="H3195" t="s">
        <v>31</v>
      </c>
      <c r="J3195" t="s">
        <v>16</v>
      </c>
      <c r="K3195">
        <v>577007.90534456098</v>
      </c>
      <c r="L3195" t="s">
        <v>17</v>
      </c>
      <c r="M3195">
        <v>0</v>
      </c>
      <c r="N3195">
        <v>0.12423617964007801</v>
      </c>
    </row>
    <row r="3196" spans="2:14" x14ac:dyDescent="0.25">
      <c r="B3196" t="s">
        <v>14</v>
      </c>
      <c r="C3196" s="1">
        <v>46188.999988425923</v>
      </c>
      <c r="D3196">
        <v>25.154517263662001</v>
      </c>
      <c r="E3196">
        <v>66306.023386913905</v>
      </c>
      <c r="F3196" s="1">
        <v>46186.60564814815</v>
      </c>
      <c r="G3196">
        <v>52.873665815978299</v>
      </c>
      <c r="H3196" t="s">
        <v>31</v>
      </c>
      <c r="J3196" t="s">
        <v>16</v>
      </c>
      <c r="K3196">
        <v>577007.90534456098</v>
      </c>
      <c r="L3196" t="s">
        <v>17</v>
      </c>
      <c r="M3196">
        <v>-5379.2343952183101</v>
      </c>
      <c r="N3196">
        <v>0.114913544117422</v>
      </c>
    </row>
    <row r="3197" spans="2:14" x14ac:dyDescent="0.25">
      <c r="B3197" t="s">
        <v>14</v>
      </c>
      <c r="C3197" s="1">
        <v>46187.999988425923</v>
      </c>
      <c r="D3197">
        <v>25.154517263662001</v>
      </c>
      <c r="E3197">
        <v>66306.023386913905</v>
      </c>
      <c r="F3197" s="1">
        <v>46186.60564814815</v>
      </c>
      <c r="G3197">
        <v>52.873665815978299</v>
      </c>
      <c r="H3197" t="s">
        <v>31</v>
      </c>
      <c r="J3197" t="s">
        <v>16</v>
      </c>
      <c r="K3197">
        <v>577007.90534456098</v>
      </c>
      <c r="L3197" t="s">
        <v>17</v>
      </c>
      <c r="M3197">
        <v>0</v>
      </c>
      <c r="N3197">
        <v>0.114913544117422</v>
      </c>
    </row>
    <row r="3198" spans="2:14" x14ac:dyDescent="0.25">
      <c r="B3198" t="s">
        <v>14</v>
      </c>
      <c r="C3198" s="1">
        <v>46186.999988425923</v>
      </c>
      <c r="D3198">
        <v>25.154517263662001</v>
      </c>
      <c r="E3198">
        <v>66306.023386913905</v>
      </c>
      <c r="F3198" s="1">
        <v>46186.60564814815</v>
      </c>
      <c r="G3198">
        <v>52.873665815978299</v>
      </c>
      <c r="H3198" t="s">
        <v>31</v>
      </c>
      <c r="J3198" t="s">
        <v>16</v>
      </c>
      <c r="K3198">
        <v>577007.90534456098</v>
      </c>
      <c r="L3198" t="s">
        <v>17</v>
      </c>
      <c r="M3198">
        <v>0</v>
      </c>
      <c r="N3198">
        <v>0.114913544117422</v>
      </c>
    </row>
    <row r="3199" spans="2:14" x14ac:dyDescent="0.25">
      <c r="B3199" t="s">
        <v>14</v>
      </c>
      <c r="C3199" s="1">
        <v>46185.999988425923</v>
      </c>
      <c r="D3199">
        <v>25.154517263662001</v>
      </c>
      <c r="E3199">
        <v>299868.473259494</v>
      </c>
      <c r="F3199" s="1">
        <v>46182.099780092591</v>
      </c>
      <c r="G3199">
        <v>52.873665815978299</v>
      </c>
      <c r="H3199" t="s">
        <v>31</v>
      </c>
      <c r="J3199" t="s">
        <v>16</v>
      </c>
      <c r="K3199">
        <v>577007.90534456098</v>
      </c>
      <c r="L3199" t="s">
        <v>17</v>
      </c>
      <c r="M3199">
        <v>233562.44987258001</v>
      </c>
      <c r="N3199">
        <v>0.51969560638935697</v>
      </c>
    </row>
    <row r="3200" spans="2:14" x14ac:dyDescent="0.25">
      <c r="B3200" t="s">
        <v>14</v>
      </c>
      <c r="C3200" s="1">
        <v>46184.999988425923</v>
      </c>
      <c r="D3200">
        <v>25.154517263662001</v>
      </c>
      <c r="E3200">
        <v>299868.473259494</v>
      </c>
      <c r="F3200" s="1">
        <v>46182.099780092591</v>
      </c>
      <c r="G3200">
        <v>52.873665815978299</v>
      </c>
      <c r="H3200" t="s">
        <v>31</v>
      </c>
      <c r="J3200" t="s">
        <v>16</v>
      </c>
      <c r="K3200">
        <v>577007.90534456098</v>
      </c>
      <c r="L3200" t="s">
        <v>17</v>
      </c>
      <c r="M3200">
        <v>0</v>
      </c>
      <c r="N3200">
        <v>0.51969560638935697</v>
      </c>
    </row>
    <row r="3201" spans="2:14" x14ac:dyDescent="0.25">
      <c r="B3201" t="s">
        <v>14</v>
      </c>
      <c r="C3201" s="1">
        <v>46183.999988425923</v>
      </c>
      <c r="D3201">
        <v>25.154517263662001</v>
      </c>
      <c r="E3201">
        <v>299868.473259494</v>
      </c>
      <c r="F3201" s="1">
        <v>46182.099780092591</v>
      </c>
      <c r="G3201">
        <v>52.873665815978299</v>
      </c>
      <c r="H3201" t="s">
        <v>31</v>
      </c>
      <c r="J3201" t="s">
        <v>16</v>
      </c>
      <c r="K3201">
        <v>577007.90534456098</v>
      </c>
      <c r="L3201" t="s">
        <v>17</v>
      </c>
      <c r="M3201">
        <v>0</v>
      </c>
      <c r="N3201">
        <v>0.51969560638935697</v>
      </c>
    </row>
    <row r="3202" spans="2:14" x14ac:dyDescent="0.25">
      <c r="B3202" t="s">
        <v>14</v>
      </c>
      <c r="C3202" s="1">
        <v>46182.999988425923</v>
      </c>
      <c r="D3202">
        <v>25.154517263662001</v>
      </c>
      <c r="E3202">
        <v>299868.473259494</v>
      </c>
      <c r="F3202" s="1">
        <v>46182.099780092591</v>
      </c>
      <c r="G3202">
        <v>52.873665815978299</v>
      </c>
      <c r="H3202" t="s">
        <v>31</v>
      </c>
      <c r="J3202" t="s">
        <v>16</v>
      </c>
      <c r="K3202">
        <v>577007.90534456098</v>
      </c>
      <c r="L3202" t="s">
        <v>17</v>
      </c>
      <c r="M3202">
        <v>0</v>
      </c>
      <c r="N3202">
        <v>0.51969560638935697</v>
      </c>
    </row>
    <row r="3203" spans="2:14" x14ac:dyDescent="0.25">
      <c r="B3203" t="s">
        <v>14</v>
      </c>
      <c r="C3203" s="1">
        <v>46181.999988425923</v>
      </c>
      <c r="D3203">
        <v>25.154517263662001</v>
      </c>
      <c r="E3203">
        <v>480911.599392006</v>
      </c>
      <c r="F3203" s="1">
        <v>46179.606273148151</v>
      </c>
      <c r="G3203">
        <v>52.873665815978299</v>
      </c>
      <c r="H3203" t="s">
        <v>31</v>
      </c>
      <c r="J3203" t="s">
        <v>16</v>
      </c>
      <c r="K3203">
        <v>577007.90534456098</v>
      </c>
      <c r="L3203" t="s">
        <v>17</v>
      </c>
      <c r="M3203">
        <v>181043.12613251101</v>
      </c>
      <c r="N3203">
        <v>0.83345755740526395</v>
      </c>
    </row>
    <row r="3204" spans="2:14" x14ac:dyDescent="0.25">
      <c r="B3204" t="s">
        <v>14</v>
      </c>
      <c r="C3204" s="1">
        <v>46180.999988425923</v>
      </c>
      <c r="D3204">
        <v>25.154517263662001</v>
      </c>
      <c r="E3204">
        <v>480911.599392006</v>
      </c>
      <c r="F3204" s="1">
        <v>46179.606273148151</v>
      </c>
      <c r="G3204">
        <v>52.873665815978299</v>
      </c>
      <c r="H3204" t="s">
        <v>31</v>
      </c>
      <c r="J3204" t="s">
        <v>16</v>
      </c>
      <c r="K3204">
        <v>577007.90534456098</v>
      </c>
      <c r="L3204" t="s">
        <v>17</v>
      </c>
      <c r="M3204">
        <v>0</v>
      </c>
      <c r="N3204">
        <v>0.83345755740526395</v>
      </c>
    </row>
    <row r="3205" spans="2:14" x14ac:dyDescent="0.25">
      <c r="B3205" t="s">
        <v>14</v>
      </c>
      <c r="C3205" s="1">
        <v>46179.999988425923</v>
      </c>
      <c r="D3205">
        <v>25.154517263662001</v>
      </c>
      <c r="E3205">
        <v>480911.599392006</v>
      </c>
      <c r="F3205" s="1">
        <v>46179.606273148151</v>
      </c>
      <c r="G3205">
        <v>52.873665815978299</v>
      </c>
      <c r="H3205" t="s">
        <v>31</v>
      </c>
      <c r="J3205" t="s">
        <v>16</v>
      </c>
      <c r="K3205">
        <v>577007.90534456098</v>
      </c>
      <c r="L3205" t="s">
        <v>17</v>
      </c>
      <c r="M3205">
        <v>0</v>
      </c>
      <c r="N3205">
        <v>0.83345755740526395</v>
      </c>
    </row>
    <row r="3206" spans="2:14" x14ac:dyDescent="0.25">
      <c r="B3206" t="s">
        <v>14</v>
      </c>
      <c r="C3206" s="1">
        <v>46178.999988425923</v>
      </c>
      <c r="D3206">
        <v>25.154517263662001</v>
      </c>
      <c r="E3206">
        <v>53677.758238356997</v>
      </c>
      <c r="F3206" s="1">
        <v>46177.099259259259</v>
      </c>
      <c r="G3206">
        <v>52.873665815978299</v>
      </c>
      <c r="H3206" t="s">
        <v>31</v>
      </c>
      <c r="J3206" t="s">
        <v>16</v>
      </c>
      <c r="K3206">
        <v>577007.90534456098</v>
      </c>
      <c r="L3206" t="s">
        <v>17</v>
      </c>
      <c r="M3206">
        <v>-427233.84115364897</v>
      </c>
      <c r="N3206">
        <v>9.3027769188540402E-2</v>
      </c>
    </row>
    <row r="3207" spans="2:14" x14ac:dyDescent="0.25">
      <c r="B3207" t="s">
        <v>14</v>
      </c>
      <c r="C3207" s="1">
        <v>46177.999988425923</v>
      </c>
      <c r="D3207">
        <v>25.154517263662001</v>
      </c>
      <c r="E3207">
        <v>53677.758238356997</v>
      </c>
      <c r="F3207" s="1">
        <v>46177.099259259259</v>
      </c>
      <c r="G3207">
        <v>52.873665815978299</v>
      </c>
      <c r="H3207" t="s">
        <v>31</v>
      </c>
      <c r="J3207" t="s">
        <v>16</v>
      </c>
      <c r="K3207">
        <v>577007.90534456098</v>
      </c>
      <c r="L3207" t="s">
        <v>17</v>
      </c>
      <c r="M3207">
        <v>0</v>
      </c>
      <c r="N3207">
        <v>9.3027769188540402E-2</v>
      </c>
    </row>
    <row r="3208" spans="2:14" x14ac:dyDescent="0.25">
      <c r="B3208" t="s">
        <v>14</v>
      </c>
      <c r="C3208" s="1">
        <v>46176.999988425923</v>
      </c>
      <c r="D3208">
        <v>25.154517263662001</v>
      </c>
      <c r="E3208">
        <v>90313.766910517006</v>
      </c>
      <c r="F3208" s="1">
        <v>46176.099143518521</v>
      </c>
      <c r="G3208">
        <v>52.873665815978299</v>
      </c>
      <c r="H3208" t="s">
        <v>31</v>
      </c>
      <c r="J3208" t="s">
        <v>16</v>
      </c>
      <c r="K3208">
        <v>577007.90534456098</v>
      </c>
      <c r="L3208" t="s">
        <v>17</v>
      </c>
      <c r="M3208">
        <v>36636.008672160002</v>
      </c>
      <c r="N3208">
        <v>0.156520848456289</v>
      </c>
    </row>
    <row r="3209" spans="2:14" x14ac:dyDescent="0.25">
      <c r="B3209" t="s">
        <v>14</v>
      </c>
      <c r="C3209" s="1">
        <v>46175.999988425923</v>
      </c>
      <c r="D3209">
        <v>25.154517263662001</v>
      </c>
      <c r="E3209">
        <v>483342.54583588202</v>
      </c>
      <c r="F3209" s="1">
        <v>46173.605520833335</v>
      </c>
      <c r="G3209">
        <v>52.873665815978299</v>
      </c>
      <c r="H3209" t="s">
        <v>31</v>
      </c>
      <c r="J3209" t="s">
        <v>16</v>
      </c>
      <c r="K3209">
        <v>577007.90534456098</v>
      </c>
      <c r="L3209" t="s">
        <v>17</v>
      </c>
      <c r="M3209">
        <v>393028.77892536501</v>
      </c>
      <c r="N3209">
        <v>0.83767057844251402</v>
      </c>
    </row>
    <row r="3210" spans="2:14" x14ac:dyDescent="0.25">
      <c r="B3210" t="s">
        <v>14</v>
      </c>
      <c r="C3210" s="1">
        <v>46174.999988425923</v>
      </c>
      <c r="D3210">
        <v>25.154517263662001</v>
      </c>
      <c r="E3210">
        <v>483342.54583588202</v>
      </c>
      <c r="F3210" s="1">
        <v>46173.605520833335</v>
      </c>
      <c r="G3210">
        <v>52.873665815978299</v>
      </c>
      <c r="H3210" t="s">
        <v>31</v>
      </c>
      <c r="J3210" t="s">
        <v>16</v>
      </c>
      <c r="K3210">
        <v>577007.90534456098</v>
      </c>
      <c r="L3210" t="s">
        <v>17</v>
      </c>
      <c r="M3210">
        <v>0</v>
      </c>
      <c r="N3210">
        <v>0.83767057844251402</v>
      </c>
    </row>
    <row r="3211" spans="2:14" x14ac:dyDescent="0.25">
      <c r="B3211" t="s">
        <v>14</v>
      </c>
      <c r="C3211" s="1">
        <v>46173.999988425923</v>
      </c>
      <c r="D3211">
        <v>25.154517263662001</v>
      </c>
      <c r="E3211">
        <v>483342.54583588202</v>
      </c>
      <c r="F3211" s="1">
        <v>46173.605520833335</v>
      </c>
      <c r="G3211">
        <v>52.873665815978299</v>
      </c>
      <c r="H3211" t="s">
        <v>31</v>
      </c>
      <c r="J3211" t="s">
        <v>16</v>
      </c>
      <c r="K3211">
        <v>577007.90534456098</v>
      </c>
      <c r="L3211" t="s">
        <v>17</v>
      </c>
      <c r="M3211">
        <v>0</v>
      </c>
      <c r="N3211">
        <v>0.83767057844251402</v>
      </c>
    </row>
    <row r="3212" spans="2:14" x14ac:dyDescent="0.25">
      <c r="B3212" t="s">
        <v>14</v>
      </c>
      <c r="C3212" s="1">
        <v>46172.999988425923</v>
      </c>
      <c r="D3212">
        <v>25.154517263662001</v>
      </c>
      <c r="E3212">
        <v>135306.65876810599</v>
      </c>
      <c r="F3212" s="1">
        <v>46170.099791666667</v>
      </c>
      <c r="G3212">
        <v>52.873665815978299</v>
      </c>
      <c r="H3212" t="s">
        <v>31</v>
      </c>
      <c r="J3212" t="s">
        <v>16</v>
      </c>
      <c r="K3212">
        <v>577007.90534456098</v>
      </c>
      <c r="L3212" t="s">
        <v>17</v>
      </c>
      <c r="M3212">
        <v>-348035.88706777501</v>
      </c>
      <c r="N3212">
        <v>0.23449706237093501</v>
      </c>
    </row>
    <row r="3213" spans="2:14" x14ac:dyDescent="0.25">
      <c r="B3213" t="s">
        <v>14</v>
      </c>
      <c r="C3213" s="1">
        <v>46171.999988425923</v>
      </c>
      <c r="D3213">
        <v>25.154517263662001</v>
      </c>
      <c r="E3213">
        <v>135306.65876810599</v>
      </c>
      <c r="F3213" s="1">
        <v>46170.099791666667</v>
      </c>
      <c r="G3213">
        <v>52.873665815978299</v>
      </c>
      <c r="H3213" t="s">
        <v>31</v>
      </c>
      <c r="J3213" t="s">
        <v>16</v>
      </c>
      <c r="K3213">
        <v>577007.90534456098</v>
      </c>
      <c r="L3213" t="s">
        <v>17</v>
      </c>
      <c r="M3213">
        <v>0</v>
      </c>
      <c r="N3213">
        <v>0.23449706237093501</v>
      </c>
    </row>
    <row r="3214" spans="2:14" x14ac:dyDescent="0.25">
      <c r="B3214" t="s">
        <v>14</v>
      </c>
      <c r="C3214" s="1">
        <v>46170.999988425923</v>
      </c>
      <c r="D3214">
        <v>25.154517263662001</v>
      </c>
      <c r="E3214">
        <v>135306.65876810599</v>
      </c>
      <c r="F3214" s="1">
        <v>46170.099791666667</v>
      </c>
      <c r="G3214">
        <v>52.873665815978299</v>
      </c>
      <c r="H3214" t="s">
        <v>31</v>
      </c>
      <c r="J3214" t="s">
        <v>16</v>
      </c>
      <c r="K3214">
        <v>577007.90534456098</v>
      </c>
      <c r="L3214" t="s">
        <v>17</v>
      </c>
      <c r="M3214">
        <v>0</v>
      </c>
      <c r="N3214">
        <v>0.23449706237093501</v>
      </c>
    </row>
    <row r="3215" spans="2:14" x14ac:dyDescent="0.25">
      <c r="B3215" t="s">
        <v>14</v>
      </c>
      <c r="C3215" s="1">
        <v>46169.999988425923</v>
      </c>
      <c r="D3215">
        <v>25.154517263662001</v>
      </c>
      <c r="E3215">
        <v>471690.130465005</v>
      </c>
      <c r="F3215" s="1">
        <v>46167.60628472222</v>
      </c>
      <c r="G3215">
        <v>52.873665815978299</v>
      </c>
      <c r="H3215" t="s">
        <v>31</v>
      </c>
      <c r="J3215" t="s">
        <v>16</v>
      </c>
      <c r="K3215">
        <v>577007.90534456098</v>
      </c>
      <c r="L3215" t="s">
        <v>17</v>
      </c>
      <c r="M3215">
        <v>336383.47169689799</v>
      </c>
      <c r="N3215">
        <v>0.81747602779087503</v>
      </c>
    </row>
    <row r="3216" spans="2:14" x14ac:dyDescent="0.25">
      <c r="B3216" t="s">
        <v>14</v>
      </c>
      <c r="C3216" s="1">
        <v>46168.999988425923</v>
      </c>
      <c r="D3216">
        <v>25.154517263662001</v>
      </c>
      <c r="E3216">
        <v>471690.130465005</v>
      </c>
      <c r="F3216" s="1">
        <v>46167.60628472222</v>
      </c>
      <c r="G3216">
        <v>52.873665815978299</v>
      </c>
      <c r="H3216" t="s">
        <v>31</v>
      </c>
      <c r="J3216" t="s">
        <v>16</v>
      </c>
      <c r="K3216">
        <v>577007.90534456098</v>
      </c>
      <c r="L3216" t="s">
        <v>17</v>
      </c>
      <c r="M3216">
        <v>0</v>
      </c>
      <c r="N3216">
        <v>0.81747602779087503</v>
      </c>
    </row>
    <row r="3217" spans="2:14" x14ac:dyDescent="0.25">
      <c r="B3217" t="s">
        <v>14</v>
      </c>
      <c r="C3217" s="1">
        <v>46167.999988425923</v>
      </c>
      <c r="D3217">
        <v>25.154517263662001</v>
      </c>
      <c r="E3217">
        <v>471690.130465005</v>
      </c>
      <c r="F3217" s="1">
        <v>46167.60628472222</v>
      </c>
      <c r="G3217">
        <v>52.873665815978299</v>
      </c>
      <c r="H3217" t="s">
        <v>31</v>
      </c>
      <c r="J3217" t="s">
        <v>16</v>
      </c>
      <c r="K3217">
        <v>577007.90534456098</v>
      </c>
      <c r="L3217" t="s">
        <v>17</v>
      </c>
      <c r="M3217">
        <v>0</v>
      </c>
      <c r="N3217">
        <v>0.81747602779087503</v>
      </c>
    </row>
    <row r="3218" spans="2:14" x14ac:dyDescent="0.25">
      <c r="B3218" t="s">
        <v>14</v>
      </c>
      <c r="C3218" s="1">
        <v>46166.999988425923</v>
      </c>
      <c r="D3218">
        <v>25.154517263662001</v>
      </c>
      <c r="E3218">
        <v>454419.93772649101</v>
      </c>
      <c r="F3218" s="1">
        <v>46165.099259259259</v>
      </c>
      <c r="G3218">
        <v>52.873665815978299</v>
      </c>
      <c r="H3218" t="s">
        <v>31</v>
      </c>
      <c r="J3218" t="s">
        <v>16</v>
      </c>
      <c r="K3218">
        <v>577007.90534456098</v>
      </c>
      <c r="L3218" t="s">
        <v>17</v>
      </c>
      <c r="M3218">
        <v>-17270.192738513801</v>
      </c>
      <c r="N3218">
        <v>0.78754542791772297</v>
      </c>
    </row>
    <row r="3219" spans="2:14" x14ac:dyDescent="0.25">
      <c r="B3219" t="s">
        <v>14</v>
      </c>
      <c r="C3219" s="1">
        <v>46165.999988425923</v>
      </c>
      <c r="D3219">
        <v>25.154517263662001</v>
      </c>
      <c r="E3219">
        <v>454419.93772649101</v>
      </c>
      <c r="F3219" s="1">
        <v>46165.099259259259</v>
      </c>
      <c r="G3219">
        <v>52.873665815978299</v>
      </c>
      <c r="H3219" t="s">
        <v>31</v>
      </c>
      <c r="J3219" t="s">
        <v>16</v>
      </c>
      <c r="K3219">
        <v>577007.90534456098</v>
      </c>
      <c r="L3219" t="s">
        <v>17</v>
      </c>
      <c r="M3219">
        <v>0</v>
      </c>
      <c r="N3219">
        <v>0.78754542791772297</v>
      </c>
    </row>
    <row r="3220" spans="2:14" x14ac:dyDescent="0.25">
      <c r="B3220" t="s">
        <v>14</v>
      </c>
      <c r="C3220" s="1">
        <v>46164.999988425923</v>
      </c>
      <c r="D3220">
        <v>25.154517263662001</v>
      </c>
      <c r="E3220">
        <v>469391.99313504202</v>
      </c>
      <c r="F3220" s="1">
        <v>46164.099143518521</v>
      </c>
      <c r="G3220">
        <v>52.873665815978299</v>
      </c>
      <c r="H3220" t="s">
        <v>31</v>
      </c>
      <c r="J3220" t="s">
        <v>16</v>
      </c>
      <c r="K3220">
        <v>577007.90534456098</v>
      </c>
      <c r="L3220" t="s">
        <v>17</v>
      </c>
      <c r="M3220">
        <v>14972.055408550401</v>
      </c>
      <c r="N3220">
        <v>0.81349317537468302</v>
      </c>
    </row>
    <row r="3221" spans="2:14" x14ac:dyDescent="0.25">
      <c r="B3221" t="s">
        <v>14</v>
      </c>
      <c r="C3221" s="1">
        <v>46163.999988425923</v>
      </c>
      <c r="D3221">
        <v>25.154517263662001</v>
      </c>
      <c r="E3221">
        <v>517426.89842544397</v>
      </c>
      <c r="F3221" s="1">
        <v>46162.605624999997</v>
      </c>
      <c r="G3221">
        <v>52.873665815978299</v>
      </c>
      <c r="H3221" t="s">
        <v>31</v>
      </c>
      <c r="J3221" t="s">
        <v>16</v>
      </c>
      <c r="K3221">
        <v>577007.90534456098</v>
      </c>
      <c r="L3221" t="s">
        <v>17</v>
      </c>
      <c r="M3221">
        <v>48034.905290402101</v>
      </c>
      <c r="N3221">
        <v>0.896741437392373</v>
      </c>
    </row>
    <row r="3222" spans="2:14" x14ac:dyDescent="0.25">
      <c r="B3222" t="s">
        <v>14</v>
      </c>
      <c r="C3222" s="1">
        <v>46162.999988425923</v>
      </c>
      <c r="D3222">
        <v>25.154517263662001</v>
      </c>
      <c r="E3222">
        <v>517426.89842544397</v>
      </c>
      <c r="F3222" s="1">
        <v>46162.605624999997</v>
      </c>
      <c r="G3222">
        <v>52.873665815978299</v>
      </c>
      <c r="H3222" t="s">
        <v>31</v>
      </c>
      <c r="J3222" t="s">
        <v>16</v>
      </c>
      <c r="K3222">
        <v>577007.90534456098</v>
      </c>
      <c r="L3222" t="s">
        <v>17</v>
      </c>
      <c r="M3222">
        <v>0</v>
      </c>
      <c r="N3222">
        <v>0.896741437392373</v>
      </c>
    </row>
    <row r="3223" spans="2:14" x14ac:dyDescent="0.25">
      <c r="B3223" t="s">
        <v>14</v>
      </c>
      <c r="C3223" s="1">
        <v>46161.999988425923</v>
      </c>
      <c r="D3223">
        <v>25.154517263662001</v>
      </c>
      <c r="E3223">
        <v>508177.26887655997</v>
      </c>
      <c r="F3223" s="1">
        <v>46161.605509259258</v>
      </c>
      <c r="G3223">
        <v>52.873665815978299</v>
      </c>
      <c r="H3223" t="s">
        <v>31</v>
      </c>
      <c r="J3223" t="s">
        <v>16</v>
      </c>
      <c r="K3223">
        <v>577007.90534456098</v>
      </c>
      <c r="L3223" t="s">
        <v>17</v>
      </c>
      <c r="M3223">
        <v>-9249.6295488834694</v>
      </c>
      <c r="N3223">
        <v>0.88071110320941204</v>
      </c>
    </row>
    <row r="3224" spans="2:14" x14ac:dyDescent="0.25">
      <c r="B3224" t="s">
        <v>14</v>
      </c>
      <c r="C3224" s="1">
        <v>46160.999988425923</v>
      </c>
      <c r="D3224">
        <v>25.154517263662001</v>
      </c>
      <c r="E3224">
        <v>47907.4603127222</v>
      </c>
      <c r="F3224" s="1">
        <v>46158.099791666667</v>
      </c>
      <c r="G3224">
        <v>52.873665815978299</v>
      </c>
      <c r="H3224" t="s">
        <v>31</v>
      </c>
      <c r="J3224" t="s">
        <v>16</v>
      </c>
      <c r="K3224">
        <v>577007.90534456098</v>
      </c>
      <c r="L3224" t="s">
        <v>17</v>
      </c>
      <c r="M3224">
        <v>-460269.80856383801</v>
      </c>
      <c r="N3224">
        <v>8.3027389865853202E-2</v>
      </c>
    </row>
    <row r="3225" spans="2:14" x14ac:dyDescent="0.25">
      <c r="B3225" t="s">
        <v>14</v>
      </c>
      <c r="C3225" s="1">
        <v>46159.999988425923</v>
      </c>
      <c r="D3225">
        <v>25.154517263662001</v>
      </c>
      <c r="E3225">
        <v>47907.4603127222</v>
      </c>
      <c r="F3225" s="1">
        <v>46158.099791666667</v>
      </c>
      <c r="G3225">
        <v>52.873665815978299</v>
      </c>
      <c r="H3225" t="s">
        <v>31</v>
      </c>
      <c r="J3225" t="s">
        <v>16</v>
      </c>
      <c r="K3225">
        <v>577007.90534456098</v>
      </c>
      <c r="L3225" t="s">
        <v>17</v>
      </c>
      <c r="M3225">
        <v>0</v>
      </c>
      <c r="N3225">
        <v>8.3027389865853202E-2</v>
      </c>
    </row>
    <row r="3226" spans="2:14" x14ac:dyDescent="0.25">
      <c r="B3226" t="s">
        <v>14</v>
      </c>
      <c r="C3226" s="1">
        <v>46158.999988425923</v>
      </c>
      <c r="D3226">
        <v>25.154517263662001</v>
      </c>
      <c r="E3226">
        <v>47907.4603127222</v>
      </c>
      <c r="F3226" s="1">
        <v>46158.099791666667</v>
      </c>
      <c r="G3226">
        <v>52.873665815978299</v>
      </c>
      <c r="H3226" t="s">
        <v>31</v>
      </c>
      <c r="J3226" t="s">
        <v>16</v>
      </c>
      <c r="K3226">
        <v>577007.90534456098</v>
      </c>
      <c r="L3226" t="s">
        <v>17</v>
      </c>
      <c r="M3226">
        <v>0</v>
      </c>
      <c r="N3226">
        <v>8.3027389865853202E-2</v>
      </c>
    </row>
    <row r="3227" spans="2:14" x14ac:dyDescent="0.25">
      <c r="B3227" t="s">
        <v>14</v>
      </c>
      <c r="C3227" s="1">
        <v>46157.999988425923</v>
      </c>
      <c r="D3227">
        <v>25.154517263662001</v>
      </c>
      <c r="E3227">
        <v>62286.412894169902</v>
      </c>
      <c r="F3227" s="1">
        <v>46155.60628472222</v>
      </c>
      <c r="G3227">
        <v>52.873665815978299</v>
      </c>
      <c r="H3227" t="s">
        <v>31</v>
      </c>
      <c r="J3227" t="s">
        <v>16</v>
      </c>
      <c r="K3227">
        <v>577007.90534456098</v>
      </c>
      <c r="L3227" t="s">
        <v>17</v>
      </c>
      <c r="M3227">
        <v>14378.9525814476</v>
      </c>
      <c r="N3227">
        <v>0.107947243559818</v>
      </c>
    </row>
    <row r="3228" spans="2:14" x14ac:dyDescent="0.25">
      <c r="B3228" t="s">
        <v>14</v>
      </c>
      <c r="C3228" s="1">
        <v>46156.999988425923</v>
      </c>
      <c r="D3228">
        <v>25.154517263662001</v>
      </c>
      <c r="E3228">
        <v>62286.412894169902</v>
      </c>
      <c r="F3228" s="1">
        <v>46155.60628472222</v>
      </c>
      <c r="G3228">
        <v>52.873665815978299</v>
      </c>
      <c r="H3228" t="s">
        <v>31</v>
      </c>
      <c r="J3228" t="s">
        <v>16</v>
      </c>
      <c r="K3228">
        <v>577007.90534456098</v>
      </c>
      <c r="L3228" t="s">
        <v>17</v>
      </c>
      <c r="M3228">
        <v>0</v>
      </c>
      <c r="N3228">
        <v>0.107947243559818</v>
      </c>
    </row>
    <row r="3229" spans="2:14" x14ac:dyDescent="0.25">
      <c r="B3229" t="s">
        <v>14</v>
      </c>
      <c r="C3229" s="1">
        <v>46155.999988425923</v>
      </c>
      <c r="D3229">
        <v>25.154517263662001</v>
      </c>
      <c r="E3229">
        <v>62286.412894169902</v>
      </c>
      <c r="F3229" s="1">
        <v>46155.60628472222</v>
      </c>
      <c r="G3229">
        <v>52.873665815978299</v>
      </c>
      <c r="H3229" t="s">
        <v>31</v>
      </c>
      <c r="J3229" t="s">
        <v>16</v>
      </c>
      <c r="K3229">
        <v>577007.90534456098</v>
      </c>
      <c r="L3229" t="s">
        <v>17</v>
      </c>
      <c r="M3229">
        <v>0</v>
      </c>
      <c r="N3229">
        <v>0.107947243559818</v>
      </c>
    </row>
    <row r="3230" spans="2:14" x14ac:dyDescent="0.25">
      <c r="B3230" t="s">
        <v>14</v>
      </c>
      <c r="C3230" s="1">
        <v>46154.999988425923</v>
      </c>
      <c r="D3230">
        <v>25.154517263662001</v>
      </c>
      <c r="E3230">
        <v>506213.93027203099</v>
      </c>
      <c r="F3230" s="1">
        <v>46153.099247685182</v>
      </c>
      <c r="G3230">
        <v>52.873665815978299</v>
      </c>
      <c r="H3230" t="s">
        <v>31</v>
      </c>
      <c r="J3230" t="s">
        <v>16</v>
      </c>
      <c r="K3230">
        <v>577007.90534456098</v>
      </c>
      <c r="L3230" t="s">
        <v>17</v>
      </c>
      <c r="M3230">
        <v>443927.51737786102</v>
      </c>
      <c r="N3230">
        <v>0.87730848326894995</v>
      </c>
    </row>
    <row r="3231" spans="2:14" x14ac:dyDescent="0.25">
      <c r="B3231" t="s">
        <v>14</v>
      </c>
      <c r="C3231" s="1">
        <v>46153.999988425923</v>
      </c>
      <c r="D3231">
        <v>25.154517263662001</v>
      </c>
      <c r="E3231">
        <v>506213.93027203099</v>
      </c>
      <c r="F3231" s="1">
        <v>46153.099247685182</v>
      </c>
      <c r="G3231">
        <v>52.873665815978299</v>
      </c>
      <c r="H3231" t="s">
        <v>31</v>
      </c>
      <c r="J3231" t="s">
        <v>16</v>
      </c>
      <c r="K3231">
        <v>577007.90534456098</v>
      </c>
      <c r="L3231" t="s">
        <v>17</v>
      </c>
      <c r="M3231">
        <v>0</v>
      </c>
      <c r="N3231">
        <v>0.87730848326894995</v>
      </c>
    </row>
    <row r="3232" spans="2:14" x14ac:dyDescent="0.25">
      <c r="B3232" t="s">
        <v>14</v>
      </c>
      <c r="C3232" s="1">
        <v>46152.999988425923</v>
      </c>
      <c r="D3232">
        <v>25.154517263662001</v>
      </c>
      <c r="E3232">
        <v>487359.10642196599</v>
      </c>
      <c r="F3232" s="1">
        <v>46150.605613425927</v>
      </c>
      <c r="G3232">
        <v>52.873665815978299</v>
      </c>
      <c r="H3232" t="s">
        <v>31</v>
      </c>
      <c r="J3232" t="s">
        <v>16</v>
      </c>
      <c r="K3232">
        <v>577007.90534456098</v>
      </c>
      <c r="L3232" t="s">
        <v>17</v>
      </c>
      <c r="M3232">
        <v>-18854.823850064298</v>
      </c>
      <c r="N3232">
        <v>0.84463159327243398</v>
      </c>
    </row>
    <row r="3233" spans="2:14" x14ac:dyDescent="0.25">
      <c r="B3233" t="s">
        <v>14</v>
      </c>
      <c r="C3233" s="1">
        <v>46151.999988425923</v>
      </c>
      <c r="D3233">
        <v>25.154517263662001</v>
      </c>
      <c r="E3233">
        <v>487359.10642196599</v>
      </c>
      <c r="F3233" s="1">
        <v>46150.605613425927</v>
      </c>
      <c r="G3233">
        <v>52.873665815978299</v>
      </c>
      <c r="H3233" t="s">
        <v>31</v>
      </c>
      <c r="J3233" t="s">
        <v>16</v>
      </c>
      <c r="K3233">
        <v>577007.90534456098</v>
      </c>
      <c r="L3233" t="s">
        <v>17</v>
      </c>
      <c r="M3233">
        <v>0</v>
      </c>
      <c r="N3233">
        <v>0.84463159327243398</v>
      </c>
    </row>
    <row r="3234" spans="2:14" x14ac:dyDescent="0.25">
      <c r="B3234" t="s">
        <v>14</v>
      </c>
      <c r="C3234" s="1">
        <v>46150.999988425923</v>
      </c>
      <c r="D3234">
        <v>25.154517263662001</v>
      </c>
      <c r="E3234">
        <v>487359.10642196599</v>
      </c>
      <c r="F3234" s="1">
        <v>46150.605613425927</v>
      </c>
      <c r="G3234">
        <v>52.873665815978299</v>
      </c>
      <c r="H3234" t="s">
        <v>31</v>
      </c>
      <c r="J3234" t="s">
        <v>16</v>
      </c>
      <c r="K3234">
        <v>577007.90534456098</v>
      </c>
      <c r="L3234" t="s">
        <v>17</v>
      </c>
      <c r="M3234">
        <v>0</v>
      </c>
      <c r="N3234">
        <v>0.84463159327243398</v>
      </c>
    </row>
    <row r="3235" spans="2:14" x14ac:dyDescent="0.25">
      <c r="B3235" t="s">
        <v>14</v>
      </c>
      <c r="C3235" s="1">
        <v>46149.999988425923</v>
      </c>
      <c r="D3235">
        <v>25.154517263662001</v>
      </c>
      <c r="E3235">
        <v>482374.73208311299</v>
      </c>
      <c r="F3235" s="1">
        <v>46149.605497685188</v>
      </c>
      <c r="G3235">
        <v>52.873665815978299</v>
      </c>
      <c r="H3235" t="s">
        <v>31</v>
      </c>
      <c r="J3235" t="s">
        <v>16</v>
      </c>
      <c r="K3235">
        <v>577007.90534456098</v>
      </c>
      <c r="L3235" t="s">
        <v>17</v>
      </c>
      <c r="M3235">
        <v>-4984.3743388536896</v>
      </c>
      <c r="N3235">
        <v>0.83599328122733796</v>
      </c>
    </row>
    <row r="3236" spans="2:14" x14ac:dyDescent="0.25">
      <c r="B3236" t="s">
        <v>14</v>
      </c>
      <c r="C3236" s="1">
        <v>46148.999988425923</v>
      </c>
      <c r="D3236">
        <v>25.154517263662001</v>
      </c>
      <c r="E3236">
        <v>496490.31321885902</v>
      </c>
      <c r="F3236" s="1">
        <v>46146.099803240744</v>
      </c>
      <c r="G3236">
        <v>52.873665815978299</v>
      </c>
      <c r="H3236" t="s">
        <v>31</v>
      </c>
      <c r="J3236" t="s">
        <v>16</v>
      </c>
      <c r="K3236">
        <v>577007.90534456098</v>
      </c>
      <c r="L3236" t="s">
        <v>17</v>
      </c>
      <c r="M3236">
        <v>14115.581135745901</v>
      </c>
      <c r="N3236">
        <v>0.86045669152899895</v>
      </c>
    </row>
    <row r="3237" spans="2:14" x14ac:dyDescent="0.25">
      <c r="B3237" t="s">
        <v>14</v>
      </c>
      <c r="C3237" s="1">
        <v>46147.999988425923</v>
      </c>
      <c r="D3237">
        <v>25.154517263662001</v>
      </c>
      <c r="E3237">
        <v>496490.31321885902</v>
      </c>
      <c r="F3237" s="1">
        <v>46146.099803240744</v>
      </c>
      <c r="G3237">
        <v>52.873665815978299</v>
      </c>
      <c r="H3237" t="s">
        <v>31</v>
      </c>
      <c r="J3237" t="s">
        <v>16</v>
      </c>
      <c r="K3237">
        <v>577007.90534456098</v>
      </c>
      <c r="L3237" t="s">
        <v>17</v>
      </c>
      <c r="M3237">
        <v>0</v>
      </c>
      <c r="N3237">
        <v>0.86045669152899895</v>
      </c>
    </row>
    <row r="3238" spans="2:14" x14ac:dyDescent="0.25">
      <c r="B3238" t="s">
        <v>14</v>
      </c>
      <c r="C3238" s="1">
        <v>46146.999988425923</v>
      </c>
      <c r="D3238">
        <v>25.154517263662001</v>
      </c>
      <c r="E3238">
        <v>496490.31321885902</v>
      </c>
      <c r="F3238" s="1">
        <v>46146.099803240744</v>
      </c>
      <c r="G3238">
        <v>52.873665815978299</v>
      </c>
      <c r="H3238" t="s">
        <v>31</v>
      </c>
      <c r="J3238" t="s">
        <v>16</v>
      </c>
      <c r="K3238">
        <v>577007.90534456098</v>
      </c>
      <c r="L3238" t="s">
        <v>17</v>
      </c>
      <c r="M3238">
        <v>0</v>
      </c>
      <c r="N3238">
        <v>0.86045669152899895</v>
      </c>
    </row>
    <row r="3239" spans="2:14" x14ac:dyDescent="0.25">
      <c r="B3239" t="s">
        <v>14</v>
      </c>
      <c r="C3239" s="1">
        <v>46145.999988425923</v>
      </c>
      <c r="D3239">
        <v>25.154517263662001</v>
      </c>
      <c r="E3239">
        <v>66783.662273317401</v>
      </c>
      <c r="F3239" s="1">
        <v>46143.606296296297</v>
      </c>
      <c r="G3239">
        <v>52.873665815978299</v>
      </c>
      <c r="H3239" t="s">
        <v>31</v>
      </c>
      <c r="J3239" t="s">
        <v>16</v>
      </c>
      <c r="K3239">
        <v>577007.90534456098</v>
      </c>
      <c r="L3239" t="s">
        <v>17</v>
      </c>
      <c r="M3239">
        <v>-429706.65094554098</v>
      </c>
      <c r="N3239">
        <v>0.115741329806283</v>
      </c>
    </row>
    <row r="3240" spans="2:14" x14ac:dyDescent="0.25">
      <c r="B3240" t="s">
        <v>14</v>
      </c>
      <c r="C3240" s="1">
        <v>46144.999988425923</v>
      </c>
      <c r="D3240">
        <v>25.154517263662001</v>
      </c>
      <c r="E3240">
        <v>66783.662273317401</v>
      </c>
      <c r="F3240" s="1">
        <v>46143.606296296297</v>
      </c>
      <c r="G3240">
        <v>52.873665815978299</v>
      </c>
      <c r="H3240" t="s">
        <v>31</v>
      </c>
      <c r="J3240" t="s">
        <v>16</v>
      </c>
      <c r="K3240">
        <v>577007.90534456098</v>
      </c>
      <c r="L3240" t="s">
        <v>17</v>
      </c>
      <c r="M3240">
        <v>0</v>
      </c>
      <c r="N3240">
        <v>0.115741329806283</v>
      </c>
    </row>
    <row r="3241" spans="2:14" x14ac:dyDescent="0.25">
      <c r="B3241" t="s">
        <v>14</v>
      </c>
      <c r="C3241" s="1">
        <v>46143.999988425923</v>
      </c>
      <c r="D3241">
        <v>25.154517263662001</v>
      </c>
      <c r="E3241">
        <v>66783.662273317401</v>
      </c>
      <c r="F3241" s="1">
        <v>46143.606296296297</v>
      </c>
      <c r="G3241">
        <v>52.873665815978299</v>
      </c>
      <c r="H3241" t="s">
        <v>31</v>
      </c>
      <c r="J3241" t="s">
        <v>16</v>
      </c>
      <c r="K3241">
        <v>577007.90534456098</v>
      </c>
      <c r="L3241" t="s">
        <v>17</v>
      </c>
      <c r="M3241">
        <v>0</v>
      </c>
      <c r="N3241">
        <v>0.115741329806283</v>
      </c>
    </row>
    <row r="3242" spans="2:14" x14ac:dyDescent="0.25">
      <c r="B3242" t="s">
        <v>14</v>
      </c>
      <c r="C3242" s="1">
        <v>46142.999988425923</v>
      </c>
      <c r="D3242">
        <v>25.154517263662001</v>
      </c>
      <c r="E3242">
        <v>519007.46896644501</v>
      </c>
      <c r="F3242" s="1">
        <v>46140.099120370367</v>
      </c>
      <c r="G3242">
        <v>52.873665815978299</v>
      </c>
      <c r="H3242" t="s">
        <v>31</v>
      </c>
      <c r="J3242" t="s">
        <v>16</v>
      </c>
      <c r="K3242">
        <v>577007.90534456098</v>
      </c>
      <c r="L3242" t="s">
        <v>17</v>
      </c>
      <c r="M3242">
        <v>452223.80669312697</v>
      </c>
      <c r="N3242">
        <v>0.899480690228185</v>
      </c>
    </row>
    <row r="3243" spans="2:14" x14ac:dyDescent="0.25">
      <c r="B3243" t="s">
        <v>14</v>
      </c>
      <c r="C3243" s="1">
        <v>46141.999988425923</v>
      </c>
      <c r="D3243">
        <v>25.154517263662001</v>
      </c>
      <c r="E3243">
        <v>519007.46896644501</v>
      </c>
      <c r="F3243" s="1">
        <v>46140.099120370367</v>
      </c>
      <c r="G3243">
        <v>52.873665815978299</v>
      </c>
      <c r="H3243" t="s">
        <v>31</v>
      </c>
      <c r="J3243" t="s">
        <v>16</v>
      </c>
      <c r="K3243">
        <v>577007.90534456098</v>
      </c>
      <c r="L3243" t="s">
        <v>17</v>
      </c>
      <c r="M3243">
        <v>0</v>
      </c>
      <c r="N3243">
        <v>0.899480690228185</v>
      </c>
    </row>
    <row r="3244" spans="2:14" x14ac:dyDescent="0.25">
      <c r="B3244" t="s">
        <v>14</v>
      </c>
      <c r="C3244" s="1">
        <v>46140.999988425923</v>
      </c>
      <c r="D3244">
        <v>25.154517263662001</v>
      </c>
      <c r="E3244">
        <v>519007.46896644501</v>
      </c>
      <c r="F3244" s="1">
        <v>46140.099120370367</v>
      </c>
      <c r="G3244">
        <v>52.873665815978299</v>
      </c>
      <c r="H3244" t="s">
        <v>31</v>
      </c>
      <c r="J3244" t="s">
        <v>16</v>
      </c>
      <c r="K3244">
        <v>577007.90534456098</v>
      </c>
      <c r="L3244" t="s">
        <v>17</v>
      </c>
      <c r="M3244">
        <v>0</v>
      </c>
      <c r="N3244">
        <v>0.899480690228185</v>
      </c>
    </row>
    <row r="3245" spans="2:14" x14ac:dyDescent="0.25">
      <c r="B3245" t="s">
        <v>14</v>
      </c>
      <c r="C3245" s="1">
        <v>46139.999988425923</v>
      </c>
      <c r="D3245">
        <v>25.154517263662001</v>
      </c>
      <c r="E3245">
        <v>61673.383765918297</v>
      </c>
      <c r="F3245" s="1">
        <v>46137.605486111112</v>
      </c>
      <c r="G3245">
        <v>52.873665815978299</v>
      </c>
      <c r="H3245" t="s">
        <v>31</v>
      </c>
      <c r="J3245" t="s">
        <v>16</v>
      </c>
      <c r="K3245">
        <v>577007.90534456098</v>
      </c>
      <c r="L3245" t="s">
        <v>17</v>
      </c>
      <c r="M3245">
        <v>-457334.08520052599</v>
      </c>
      <c r="N3245">
        <v>0.10688481595254699</v>
      </c>
    </row>
    <row r="3246" spans="2:14" x14ac:dyDescent="0.25">
      <c r="B3246" t="s">
        <v>14</v>
      </c>
      <c r="C3246" s="1">
        <v>46138.999988425923</v>
      </c>
      <c r="D3246">
        <v>25.154517263662001</v>
      </c>
      <c r="E3246">
        <v>61673.383765918297</v>
      </c>
      <c r="F3246" s="1">
        <v>46137.605486111112</v>
      </c>
      <c r="G3246">
        <v>52.873665815978299</v>
      </c>
      <c r="H3246" t="s">
        <v>31</v>
      </c>
      <c r="J3246" t="s">
        <v>16</v>
      </c>
      <c r="K3246">
        <v>577007.90534456098</v>
      </c>
      <c r="L3246" t="s">
        <v>17</v>
      </c>
      <c r="M3246">
        <v>0</v>
      </c>
      <c r="N3246">
        <v>0.10688481595254699</v>
      </c>
    </row>
    <row r="3247" spans="2:14" x14ac:dyDescent="0.25">
      <c r="B3247" t="s">
        <v>14</v>
      </c>
      <c r="C3247" s="1">
        <v>46137.999988425923</v>
      </c>
      <c r="D3247">
        <v>25.154517263662001</v>
      </c>
      <c r="E3247">
        <v>61673.383765918297</v>
      </c>
      <c r="F3247" s="1">
        <v>46137.605486111112</v>
      </c>
      <c r="G3247">
        <v>52.873665815978299</v>
      </c>
      <c r="H3247" t="s">
        <v>31</v>
      </c>
      <c r="J3247" t="s">
        <v>16</v>
      </c>
      <c r="K3247">
        <v>577007.90534456098</v>
      </c>
      <c r="L3247" t="s">
        <v>17</v>
      </c>
      <c r="M3247">
        <v>0</v>
      </c>
      <c r="N3247">
        <v>0.10688481595254699</v>
      </c>
    </row>
    <row r="3248" spans="2:14" x14ac:dyDescent="0.25">
      <c r="B3248" t="s">
        <v>14</v>
      </c>
      <c r="C3248" s="1">
        <v>46136.999988425923</v>
      </c>
      <c r="D3248">
        <v>25.154517263662001</v>
      </c>
      <c r="E3248">
        <v>31632.821100792</v>
      </c>
      <c r="F3248" s="1">
        <v>46134.099803240744</v>
      </c>
      <c r="G3248">
        <v>52.873665815978299</v>
      </c>
      <c r="H3248" t="s">
        <v>31</v>
      </c>
      <c r="J3248" t="s">
        <v>16</v>
      </c>
      <c r="K3248">
        <v>577007.90534456098</v>
      </c>
      <c r="L3248" t="s">
        <v>17</v>
      </c>
      <c r="M3248">
        <v>-30040.562665126301</v>
      </c>
      <c r="N3248">
        <v>5.4822162413706299E-2</v>
      </c>
    </row>
    <row r="3249" spans="2:14" x14ac:dyDescent="0.25">
      <c r="B3249" t="s">
        <v>14</v>
      </c>
      <c r="C3249" s="1">
        <v>46135.999988425923</v>
      </c>
      <c r="D3249">
        <v>25.154517263662001</v>
      </c>
      <c r="E3249">
        <v>31632.821100792</v>
      </c>
      <c r="F3249" s="1">
        <v>46134.099803240744</v>
      </c>
      <c r="G3249">
        <v>52.873665815978299</v>
      </c>
      <c r="H3249" t="s">
        <v>31</v>
      </c>
      <c r="J3249" t="s">
        <v>16</v>
      </c>
      <c r="K3249">
        <v>577007.90534456098</v>
      </c>
      <c r="L3249" t="s">
        <v>17</v>
      </c>
      <c r="M3249">
        <v>0</v>
      </c>
      <c r="N3249">
        <v>5.4822162413706299E-2</v>
      </c>
    </row>
    <row r="3250" spans="2:14" x14ac:dyDescent="0.25">
      <c r="B3250" t="s">
        <v>14</v>
      </c>
      <c r="C3250" s="1">
        <v>46134.999988425923</v>
      </c>
      <c r="D3250">
        <v>25.154517263662001</v>
      </c>
      <c r="E3250">
        <v>31632.821100792</v>
      </c>
      <c r="F3250" s="1">
        <v>46134.099803240744</v>
      </c>
      <c r="G3250">
        <v>52.873665815978299</v>
      </c>
      <c r="H3250" t="s">
        <v>31</v>
      </c>
      <c r="J3250" t="s">
        <v>16</v>
      </c>
      <c r="K3250">
        <v>577007.90534456098</v>
      </c>
      <c r="L3250" t="s">
        <v>17</v>
      </c>
      <c r="M3250">
        <v>0</v>
      </c>
      <c r="N3250">
        <v>5.4822162413706299E-2</v>
      </c>
    </row>
    <row r="3251" spans="2:14" x14ac:dyDescent="0.25">
      <c r="B3251" t="s">
        <v>14</v>
      </c>
      <c r="C3251" s="1">
        <v>46133.999988425923</v>
      </c>
      <c r="D3251">
        <v>25.154517263662001</v>
      </c>
      <c r="E3251">
        <v>42229.815316976797</v>
      </c>
      <c r="F3251" s="1">
        <v>46131.606296296297</v>
      </c>
      <c r="G3251">
        <v>52.873665815978299</v>
      </c>
      <c r="H3251" t="s">
        <v>31</v>
      </c>
      <c r="J3251" t="s">
        <v>16</v>
      </c>
      <c r="K3251">
        <v>577007.90534456098</v>
      </c>
      <c r="L3251" t="s">
        <v>17</v>
      </c>
      <c r="M3251">
        <v>10596.994216184799</v>
      </c>
      <c r="N3251">
        <v>7.3187585344708997E-2</v>
      </c>
    </row>
    <row r="3252" spans="2:14" x14ac:dyDescent="0.25">
      <c r="B3252" t="s">
        <v>14</v>
      </c>
      <c r="C3252" s="1">
        <v>46132.999988425923</v>
      </c>
      <c r="D3252">
        <v>25.154517263662001</v>
      </c>
      <c r="E3252">
        <v>42229.815316976797</v>
      </c>
      <c r="F3252" s="1">
        <v>46131.606296296297</v>
      </c>
      <c r="G3252">
        <v>52.873665815978299</v>
      </c>
      <c r="H3252" t="s">
        <v>31</v>
      </c>
      <c r="J3252" t="s">
        <v>16</v>
      </c>
      <c r="K3252">
        <v>577007.90534456098</v>
      </c>
      <c r="L3252" t="s">
        <v>17</v>
      </c>
      <c r="M3252">
        <v>0</v>
      </c>
      <c r="N3252">
        <v>7.3187585344708997E-2</v>
      </c>
    </row>
    <row r="3253" spans="2:14" x14ac:dyDescent="0.25">
      <c r="B3253" t="s">
        <v>14</v>
      </c>
      <c r="C3253" s="1">
        <v>46131.999988425923</v>
      </c>
      <c r="D3253">
        <v>25.154517263662001</v>
      </c>
      <c r="E3253">
        <v>42229.815316976797</v>
      </c>
      <c r="F3253" s="1">
        <v>46131.606296296297</v>
      </c>
      <c r="G3253">
        <v>52.873665815978299</v>
      </c>
      <c r="H3253" t="s">
        <v>31</v>
      </c>
      <c r="J3253" t="s">
        <v>16</v>
      </c>
      <c r="K3253">
        <v>577007.90534456098</v>
      </c>
      <c r="L3253" t="s">
        <v>17</v>
      </c>
      <c r="M3253">
        <v>0</v>
      </c>
      <c r="N3253">
        <v>7.3187585344708997E-2</v>
      </c>
    </row>
    <row r="3254" spans="2:14" x14ac:dyDescent="0.25">
      <c r="B3254" t="s">
        <v>14</v>
      </c>
      <c r="C3254" s="1">
        <v>46130.999988425923</v>
      </c>
      <c r="D3254">
        <v>25.154517263662001</v>
      </c>
      <c r="E3254">
        <v>33327.417293447099</v>
      </c>
      <c r="F3254" s="1">
        <v>46128.099108796298</v>
      </c>
      <c r="G3254">
        <v>52.873665815978299</v>
      </c>
      <c r="H3254" t="s">
        <v>31</v>
      </c>
      <c r="J3254" t="s">
        <v>16</v>
      </c>
      <c r="K3254">
        <v>577007.90534456098</v>
      </c>
      <c r="L3254" t="s">
        <v>17</v>
      </c>
      <c r="M3254">
        <v>-8902.3980235296694</v>
      </c>
      <c r="N3254">
        <v>5.7759030655820297E-2</v>
      </c>
    </row>
    <row r="3255" spans="2:14" x14ac:dyDescent="0.25">
      <c r="B3255" t="s">
        <v>14</v>
      </c>
      <c r="C3255" s="1">
        <v>46129.999988425923</v>
      </c>
      <c r="D3255">
        <v>25.154517263662001</v>
      </c>
      <c r="E3255">
        <v>33327.417293447099</v>
      </c>
      <c r="F3255" s="1">
        <v>46128.099108796298</v>
      </c>
      <c r="G3255">
        <v>52.873665815978299</v>
      </c>
      <c r="H3255" t="s">
        <v>31</v>
      </c>
      <c r="J3255" t="s">
        <v>16</v>
      </c>
      <c r="K3255">
        <v>577007.90534456098</v>
      </c>
      <c r="L3255" t="s">
        <v>17</v>
      </c>
      <c r="M3255">
        <v>0</v>
      </c>
      <c r="N3255">
        <v>5.7759030655820297E-2</v>
      </c>
    </row>
    <row r="3256" spans="2:14" x14ac:dyDescent="0.25">
      <c r="B3256" t="s">
        <v>14</v>
      </c>
      <c r="C3256" s="1">
        <v>46128.999988425923</v>
      </c>
      <c r="D3256">
        <v>25.154517263662001</v>
      </c>
      <c r="E3256">
        <v>33327.417293447099</v>
      </c>
      <c r="F3256" s="1">
        <v>46128.099108796298</v>
      </c>
      <c r="G3256">
        <v>52.873665815978299</v>
      </c>
      <c r="H3256" t="s">
        <v>31</v>
      </c>
      <c r="J3256" t="s">
        <v>16</v>
      </c>
      <c r="K3256">
        <v>577007.90534456098</v>
      </c>
      <c r="L3256" t="s">
        <v>17</v>
      </c>
      <c r="M3256">
        <v>0</v>
      </c>
      <c r="N3256">
        <v>5.7759030655820297E-2</v>
      </c>
    </row>
    <row r="3257" spans="2:14" x14ac:dyDescent="0.25">
      <c r="B3257" t="s">
        <v>14</v>
      </c>
      <c r="C3257" s="1">
        <v>46127.999988425923</v>
      </c>
      <c r="D3257">
        <v>25.154517263662001</v>
      </c>
      <c r="E3257">
        <v>58594.432095249998</v>
      </c>
      <c r="F3257" s="1">
        <v>46125.605486111112</v>
      </c>
      <c r="G3257">
        <v>52.873665815978299</v>
      </c>
      <c r="H3257" t="s">
        <v>31</v>
      </c>
      <c r="J3257" t="s">
        <v>16</v>
      </c>
      <c r="K3257">
        <v>577007.90534456098</v>
      </c>
      <c r="L3257" t="s">
        <v>17</v>
      </c>
      <c r="M3257">
        <v>25267.014801802801</v>
      </c>
      <c r="N3257">
        <v>0.10154875098333301</v>
      </c>
    </row>
    <row r="3258" spans="2:14" x14ac:dyDescent="0.25">
      <c r="B3258" t="s">
        <v>14</v>
      </c>
      <c r="C3258" s="1">
        <v>46126.999988425923</v>
      </c>
      <c r="D3258">
        <v>25.154517263662001</v>
      </c>
      <c r="E3258">
        <v>58594.432095249998</v>
      </c>
      <c r="F3258" s="1">
        <v>46125.605486111112</v>
      </c>
      <c r="G3258">
        <v>52.873665815978299</v>
      </c>
      <c r="H3258" t="s">
        <v>31</v>
      </c>
      <c r="J3258" t="s">
        <v>16</v>
      </c>
      <c r="K3258">
        <v>577007.90534456098</v>
      </c>
      <c r="L3258" t="s">
        <v>17</v>
      </c>
      <c r="M3258">
        <v>0</v>
      </c>
      <c r="N3258">
        <v>0.10154875098333301</v>
      </c>
    </row>
    <row r="3259" spans="2:14" x14ac:dyDescent="0.25">
      <c r="B3259" t="s">
        <v>14</v>
      </c>
      <c r="C3259" s="1">
        <v>46125.999988425923</v>
      </c>
      <c r="D3259">
        <v>25.154517263662001</v>
      </c>
      <c r="E3259">
        <v>58594.432095249998</v>
      </c>
      <c r="F3259" s="1">
        <v>46125.605486111112</v>
      </c>
      <c r="G3259">
        <v>52.873665815978299</v>
      </c>
      <c r="H3259" t="s">
        <v>31</v>
      </c>
      <c r="J3259" t="s">
        <v>16</v>
      </c>
      <c r="K3259">
        <v>577007.90534456098</v>
      </c>
      <c r="L3259" t="s">
        <v>17</v>
      </c>
      <c r="M3259">
        <v>0</v>
      </c>
      <c r="N3259">
        <v>0.10154875098333301</v>
      </c>
    </row>
    <row r="3260" spans="2:14" x14ac:dyDescent="0.25">
      <c r="B3260" t="s">
        <v>14</v>
      </c>
      <c r="C3260" s="1">
        <v>46124.999988425923</v>
      </c>
      <c r="D3260">
        <v>25.154517263662001</v>
      </c>
      <c r="E3260">
        <v>31102.159012398599</v>
      </c>
      <c r="F3260" s="1">
        <v>46122.099803240744</v>
      </c>
      <c r="G3260">
        <v>52.873665815978299</v>
      </c>
      <c r="H3260" t="s">
        <v>31</v>
      </c>
      <c r="J3260" t="s">
        <v>16</v>
      </c>
      <c r="K3260">
        <v>577007.90534456098</v>
      </c>
      <c r="L3260" t="s">
        <v>17</v>
      </c>
      <c r="M3260">
        <v>-27492.273082851301</v>
      </c>
      <c r="N3260">
        <v>5.3902483353024298E-2</v>
      </c>
    </row>
    <row r="3261" spans="2:14" x14ac:dyDescent="0.25">
      <c r="B3261" t="s">
        <v>14</v>
      </c>
      <c r="C3261" s="1">
        <v>46123.999988425923</v>
      </c>
      <c r="D3261">
        <v>25.154517263662001</v>
      </c>
      <c r="E3261">
        <v>31102.159012398599</v>
      </c>
      <c r="F3261" s="1">
        <v>46122.099803240744</v>
      </c>
      <c r="G3261">
        <v>52.873665815978299</v>
      </c>
      <c r="H3261" t="s">
        <v>31</v>
      </c>
      <c r="J3261" t="s">
        <v>16</v>
      </c>
      <c r="K3261">
        <v>577007.90534456098</v>
      </c>
      <c r="L3261" t="s">
        <v>17</v>
      </c>
      <c r="M3261">
        <v>0</v>
      </c>
      <c r="N3261">
        <v>5.3902483353024298E-2</v>
      </c>
    </row>
    <row r="3262" spans="2:14" x14ac:dyDescent="0.25">
      <c r="B3262" t="s">
        <v>14</v>
      </c>
      <c r="C3262" s="1">
        <v>46122.999988425923</v>
      </c>
      <c r="D3262">
        <v>25.154517263662001</v>
      </c>
      <c r="E3262">
        <v>31102.159012398599</v>
      </c>
      <c r="F3262" s="1">
        <v>46122.099803240744</v>
      </c>
      <c r="G3262">
        <v>52.873665815978299</v>
      </c>
      <c r="H3262" t="s">
        <v>31</v>
      </c>
      <c r="J3262" t="s">
        <v>16</v>
      </c>
      <c r="K3262">
        <v>577007.90534456098</v>
      </c>
      <c r="L3262" t="s">
        <v>17</v>
      </c>
      <c r="M3262">
        <v>0</v>
      </c>
      <c r="N3262">
        <v>5.3902483353024298E-2</v>
      </c>
    </row>
    <row r="3263" spans="2:14" x14ac:dyDescent="0.25">
      <c r="B3263" t="s">
        <v>14</v>
      </c>
      <c r="C3263" s="1">
        <v>46121.999988425923</v>
      </c>
      <c r="D3263">
        <v>25.154517263662001</v>
      </c>
      <c r="E3263">
        <v>37086.960375226401</v>
      </c>
      <c r="F3263" s="1">
        <v>46119.606296296297</v>
      </c>
      <c r="G3263">
        <v>52.873665815978299</v>
      </c>
      <c r="H3263" t="s">
        <v>31</v>
      </c>
      <c r="J3263" t="s">
        <v>16</v>
      </c>
      <c r="K3263">
        <v>577007.90534456098</v>
      </c>
      <c r="L3263" t="s">
        <v>17</v>
      </c>
      <c r="M3263">
        <v>5984.8013628277604</v>
      </c>
      <c r="N3263">
        <v>6.4274613972714806E-2</v>
      </c>
    </row>
    <row r="3264" spans="2:14" x14ac:dyDescent="0.25">
      <c r="B3264" t="s">
        <v>14</v>
      </c>
      <c r="C3264" s="1">
        <v>46120.999988425923</v>
      </c>
      <c r="D3264">
        <v>25.154517263662001</v>
      </c>
      <c r="E3264">
        <v>37086.960375226401</v>
      </c>
      <c r="F3264" s="1">
        <v>46119.606296296297</v>
      </c>
      <c r="G3264">
        <v>52.873665815978299</v>
      </c>
      <c r="H3264" t="s">
        <v>31</v>
      </c>
      <c r="J3264" t="s">
        <v>16</v>
      </c>
      <c r="K3264">
        <v>577007.90534456098</v>
      </c>
      <c r="L3264" t="s">
        <v>17</v>
      </c>
      <c r="M3264">
        <v>0</v>
      </c>
      <c r="N3264">
        <v>6.4274613972714806E-2</v>
      </c>
    </row>
    <row r="3265" spans="2:14" x14ac:dyDescent="0.25">
      <c r="B3265" t="s">
        <v>14</v>
      </c>
      <c r="C3265" s="1">
        <v>46119.999988425923</v>
      </c>
      <c r="D3265">
        <v>25.154517263662001</v>
      </c>
      <c r="E3265">
        <v>37086.960375226401</v>
      </c>
      <c r="F3265" s="1">
        <v>46119.606296296297</v>
      </c>
      <c r="G3265">
        <v>52.873665815978299</v>
      </c>
      <c r="H3265" t="s">
        <v>31</v>
      </c>
      <c r="J3265" t="s">
        <v>16</v>
      </c>
      <c r="K3265">
        <v>577007.90534456098</v>
      </c>
      <c r="L3265" t="s">
        <v>17</v>
      </c>
      <c r="M3265">
        <v>0</v>
      </c>
      <c r="N3265">
        <v>6.4274613972714806E-2</v>
      </c>
    </row>
    <row r="3266" spans="2:14" x14ac:dyDescent="0.25">
      <c r="B3266" t="s">
        <v>14</v>
      </c>
      <c r="C3266" s="1">
        <v>46118.999988425923</v>
      </c>
      <c r="D3266">
        <v>25.154517263662001</v>
      </c>
      <c r="E3266">
        <v>31035.255884836599</v>
      </c>
      <c r="F3266" s="1">
        <v>46116.099108796298</v>
      </c>
      <c r="G3266">
        <v>52.873665815978299</v>
      </c>
      <c r="H3266" t="s">
        <v>31</v>
      </c>
      <c r="J3266" t="s">
        <v>16</v>
      </c>
      <c r="K3266">
        <v>577007.90534456098</v>
      </c>
      <c r="L3266" t="s">
        <v>17</v>
      </c>
      <c r="M3266">
        <v>-6051.7044903897904</v>
      </c>
      <c r="N3266">
        <v>5.3786534980493697E-2</v>
      </c>
    </row>
    <row r="3267" spans="2:14" x14ac:dyDescent="0.25">
      <c r="B3267" t="s">
        <v>14</v>
      </c>
      <c r="C3267" s="1">
        <v>46117.999988425923</v>
      </c>
      <c r="D3267">
        <v>25.154517263662001</v>
      </c>
      <c r="E3267">
        <v>31035.255884836599</v>
      </c>
      <c r="F3267" s="1">
        <v>46116.099108796298</v>
      </c>
      <c r="G3267">
        <v>52.873665815978299</v>
      </c>
      <c r="H3267" t="s">
        <v>31</v>
      </c>
      <c r="J3267" t="s">
        <v>16</v>
      </c>
      <c r="K3267">
        <v>577007.90534456098</v>
      </c>
      <c r="L3267" t="s">
        <v>17</v>
      </c>
      <c r="M3267">
        <v>0</v>
      </c>
      <c r="N3267">
        <v>5.3786534980493697E-2</v>
      </c>
    </row>
    <row r="3268" spans="2:14" x14ac:dyDescent="0.25">
      <c r="B3268" t="s">
        <v>14</v>
      </c>
      <c r="C3268" s="1">
        <v>46116.999988425923</v>
      </c>
      <c r="D3268">
        <v>25.154517263662001</v>
      </c>
      <c r="E3268">
        <v>31035.255884836599</v>
      </c>
      <c r="F3268" s="1">
        <v>46116.099108796298</v>
      </c>
      <c r="G3268">
        <v>52.873665815978299</v>
      </c>
      <c r="H3268" t="s">
        <v>31</v>
      </c>
      <c r="J3268" t="s">
        <v>16</v>
      </c>
      <c r="K3268">
        <v>577007.90534456098</v>
      </c>
      <c r="L3268" t="s">
        <v>17</v>
      </c>
      <c r="M3268">
        <v>0</v>
      </c>
      <c r="N3268">
        <v>5.3786534980493697E-2</v>
      </c>
    </row>
    <row r="3269" spans="2:14" x14ac:dyDescent="0.25">
      <c r="B3269" t="s">
        <v>14</v>
      </c>
      <c r="C3269" s="1">
        <v>46115.999988425923</v>
      </c>
      <c r="D3269">
        <v>25.154517263662001</v>
      </c>
      <c r="E3269">
        <v>77327.358937121302</v>
      </c>
      <c r="F3269" s="1">
        <v>46113.605474537035</v>
      </c>
      <c r="G3269">
        <v>52.873665815978299</v>
      </c>
      <c r="H3269" t="s">
        <v>31</v>
      </c>
      <c r="J3269" t="s">
        <v>16</v>
      </c>
      <c r="K3269">
        <v>577007.90534456098</v>
      </c>
      <c r="L3269" t="s">
        <v>17</v>
      </c>
      <c r="M3269">
        <v>46292.103052284598</v>
      </c>
      <c r="N3269">
        <v>0.134014383894697</v>
      </c>
    </row>
    <row r="3270" spans="2:14" x14ac:dyDescent="0.25">
      <c r="B3270" t="s">
        <v>14</v>
      </c>
      <c r="C3270" s="1">
        <v>46114.999988425923</v>
      </c>
      <c r="D3270">
        <v>25.154517263662001</v>
      </c>
      <c r="E3270">
        <v>77327.358937121302</v>
      </c>
      <c r="F3270" s="1">
        <v>46113.605474537035</v>
      </c>
      <c r="G3270">
        <v>52.873665815978299</v>
      </c>
      <c r="H3270" t="s">
        <v>31</v>
      </c>
      <c r="J3270" t="s">
        <v>16</v>
      </c>
      <c r="K3270">
        <v>577007.90534456098</v>
      </c>
      <c r="L3270" t="s">
        <v>17</v>
      </c>
      <c r="M3270">
        <v>0</v>
      </c>
      <c r="N3270">
        <v>0.134014383894697</v>
      </c>
    </row>
    <row r="3271" spans="2:14" x14ac:dyDescent="0.25">
      <c r="B3271" t="s">
        <v>14</v>
      </c>
      <c r="C3271" s="1">
        <v>46113.999988425923</v>
      </c>
      <c r="D3271">
        <v>25.154517263662001</v>
      </c>
      <c r="E3271">
        <v>77327.358937121302</v>
      </c>
      <c r="F3271" s="1">
        <v>46113.605474537035</v>
      </c>
      <c r="G3271">
        <v>52.873665815978299</v>
      </c>
      <c r="H3271" t="s">
        <v>31</v>
      </c>
      <c r="J3271" t="s">
        <v>16</v>
      </c>
      <c r="K3271">
        <v>577007.90534456098</v>
      </c>
      <c r="L3271" t="s">
        <v>17</v>
      </c>
      <c r="M3271">
        <v>0</v>
      </c>
      <c r="N3271">
        <v>0.134014383894697</v>
      </c>
    </row>
    <row r="3272" spans="2:14" x14ac:dyDescent="0.25">
      <c r="B3272" t="s">
        <v>14</v>
      </c>
      <c r="C3272" s="1">
        <v>46112.999988425923</v>
      </c>
      <c r="D3272">
        <v>25.154517263662001</v>
      </c>
      <c r="E3272">
        <v>35298.013213957602</v>
      </c>
      <c r="F3272" s="1">
        <v>46110.099803240744</v>
      </c>
      <c r="G3272">
        <v>52.873665815978299</v>
      </c>
      <c r="H3272" t="s">
        <v>31</v>
      </c>
      <c r="J3272" t="s">
        <v>16</v>
      </c>
      <c r="K3272">
        <v>577007.90534456098</v>
      </c>
      <c r="L3272" t="s">
        <v>17</v>
      </c>
      <c r="M3272">
        <v>-42029.345723163598</v>
      </c>
      <c r="N3272">
        <v>6.1174228094638301E-2</v>
      </c>
    </row>
    <row r="3273" spans="2:14" x14ac:dyDescent="0.25">
      <c r="B3273" t="s">
        <v>14</v>
      </c>
      <c r="C3273" s="1">
        <v>46111.999988425923</v>
      </c>
      <c r="D3273">
        <v>25.154517263662001</v>
      </c>
      <c r="E3273">
        <v>35298.013213957602</v>
      </c>
      <c r="F3273" s="1">
        <v>46110.099803240744</v>
      </c>
      <c r="G3273">
        <v>52.873665815978299</v>
      </c>
      <c r="H3273" t="s">
        <v>31</v>
      </c>
      <c r="J3273" t="s">
        <v>16</v>
      </c>
      <c r="K3273">
        <v>577007.90534456098</v>
      </c>
      <c r="L3273" t="s">
        <v>17</v>
      </c>
      <c r="M3273">
        <v>0</v>
      </c>
      <c r="N3273">
        <v>6.1174228094638301E-2</v>
      </c>
    </row>
    <row r="3274" spans="2:14" x14ac:dyDescent="0.25">
      <c r="B3274" t="s">
        <v>14</v>
      </c>
      <c r="C3274" s="1">
        <v>46110.999988425923</v>
      </c>
      <c r="D3274">
        <v>25.154517263662001</v>
      </c>
      <c r="E3274">
        <v>35298.013213957602</v>
      </c>
      <c r="F3274" s="1">
        <v>46110.099803240744</v>
      </c>
      <c r="G3274">
        <v>52.873665815978299</v>
      </c>
      <c r="H3274" t="s">
        <v>31</v>
      </c>
      <c r="J3274" t="s">
        <v>16</v>
      </c>
      <c r="K3274">
        <v>577007.90534456098</v>
      </c>
      <c r="L3274" t="s">
        <v>17</v>
      </c>
      <c r="M3274">
        <v>0</v>
      </c>
      <c r="N3274">
        <v>6.1174228094638301E-2</v>
      </c>
    </row>
    <row r="3275" spans="2:14" x14ac:dyDescent="0.25">
      <c r="B3275" t="s">
        <v>14</v>
      </c>
      <c r="C3275" s="1">
        <v>46109.999988425923</v>
      </c>
      <c r="D3275">
        <v>25.154517263662001</v>
      </c>
      <c r="E3275">
        <v>30682.8998713367</v>
      </c>
      <c r="F3275" s="1">
        <v>46107.606296296297</v>
      </c>
      <c r="G3275">
        <v>52.873665815978299</v>
      </c>
      <c r="H3275" t="s">
        <v>31</v>
      </c>
      <c r="J3275" t="s">
        <v>16</v>
      </c>
      <c r="K3275">
        <v>577007.90534456098</v>
      </c>
      <c r="L3275" t="s">
        <v>17</v>
      </c>
      <c r="M3275">
        <v>-4615.1133426208899</v>
      </c>
      <c r="N3275">
        <v>5.3175874346148497E-2</v>
      </c>
    </row>
    <row r="3276" spans="2:14" x14ac:dyDescent="0.25">
      <c r="B3276" t="s">
        <v>14</v>
      </c>
      <c r="C3276" s="1">
        <v>46108.999988425923</v>
      </c>
      <c r="D3276">
        <v>25.154517263662001</v>
      </c>
      <c r="E3276">
        <v>30682.8998713367</v>
      </c>
      <c r="F3276" s="1">
        <v>46107.606296296297</v>
      </c>
      <c r="G3276">
        <v>52.873665815978299</v>
      </c>
      <c r="H3276" t="s">
        <v>31</v>
      </c>
      <c r="J3276" t="s">
        <v>16</v>
      </c>
      <c r="K3276">
        <v>577007.90534456098</v>
      </c>
      <c r="L3276" t="s">
        <v>17</v>
      </c>
      <c r="M3276">
        <v>0</v>
      </c>
      <c r="N3276">
        <v>5.3175874346148497E-2</v>
      </c>
    </row>
    <row r="3277" spans="2:14" x14ac:dyDescent="0.25">
      <c r="B3277" t="s">
        <v>14</v>
      </c>
      <c r="C3277" s="1">
        <v>46107.999988425923</v>
      </c>
      <c r="D3277">
        <v>25.154517263662001</v>
      </c>
      <c r="E3277">
        <v>30682.8998713367</v>
      </c>
      <c r="F3277" s="1">
        <v>46107.606296296297</v>
      </c>
      <c r="G3277">
        <v>52.873665815978299</v>
      </c>
      <c r="H3277" t="s">
        <v>31</v>
      </c>
      <c r="J3277" t="s">
        <v>16</v>
      </c>
      <c r="K3277">
        <v>577007.90534456098</v>
      </c>
      <c r="L3277" t="s">
        <v>17</v>
      </c>
      <c r="M3277">
        <v>0</v>
      </c>
      <c r="N3277">
        <v>5.3175874346148497E-2</v>
      </c>
    </row>
    <row r="3278" spans="2:14" x14ac:dyDescent="0.25">
      <c r="B3278" t="s">
        <v>14</v>
      </c>
      <c r="C3278" s="1">
        <v>46106.999988425923</v>
      </c>
      <c r="D3278">
        <v>25.154517263662001</v>
      </c>
      <c r="E3278">
        <v>36179.717637210502</v>
      </c>
      <c r="F3278" s="1">
        <v>46104.099108796298</v>
      </c>
      <c r="G3278">
        <v>52.873665815978299</v>
      </c>
      <c r="H3278" t="s">
        <v>31</v>
      </c>
      <c r="J3278" t="s">
        <v>16</v>
      </c>
      <c r="K3278">
        <v>577007.90534456098</v>
      </c>
      <c r="L3278" t="s">
        <v>17</v>
      </c>
      <c r="M3278">
        <v>5496.8177658737404</v>
      </c>
      <c r="N3278">
        <v>6.2702291081446607E-2</v>
      </c>
    </row>
    <row r="3279" spans="2:14" x14ac:dyDescent="0.25">
      <c r="B3279" t="s">
        <v>14</v>
      </c>
      <c r="C3279" s="1">
        <v>46105.999988425923</v>
      </c>
      <c r="D3279">
        <v>25.154517263662001</v>
      </c>
      <c r="E3279">
        <v>36179.717637210502</v>
      </c>
      <c r="F3279" s="1">
        <v>46104.099108796298</v>
      </c>
      <c r="G3279">
        <v>52.873665815978299</v>
      </c>
      <c r="H3279" t="s">
        <v>31</v>
      </c>
      <c r="J3279" t="s">
        <v>16</v>
      </c>
      <c r="K3279">
        <v>577007.90534456098</v>
      </c>
      <c r="L3279" t="s">
        <v>17</v>
      </c>
      <c r="M3279">
        <v>0</v>
      </c>
      <c r="N3279">
        <v>6.2702291081446607E-2</v>
      </c>
    </row>
    <row r="3280" spans="2:14" x14ac:dyDescent="0.25">
      <c r="B3280" t="s">
        <v>14</v>
      </c>
      <c r="C3280" s="1">
        <v>46104.999988425923</v>
      </c>
      <c r="D3280">
        <v>25.154517263662001</v>
      </c>
      <c r="E3280">
        <v>36179.717637210502</v>
      </c>
      <c r="F3280" s="1">
        <v>46104.099108796298</v>
      </c>
      <c r="G3280">
        <v>52.873665815978299</v>
      </c>
      <c r="H3280" t="s">
        <v>31</v>
      </c>
      <c r="J3280" t="s">
        <v>16</v>
      </c>
      <c r="K3280">
        <v>577007.90534456098</v>
      </c>
      <c r="L3280" t="s">
        <v>17</v>
      </c>
      <c r="M3280">
        <v>0</v>
      </c>
      <c r="N3280">
        <v>6.2702291081446607E-2</v>
      </c>
    </row>
    <row r="3281" spans="2:14" x14ac:dyDescent="0.25">
      <c r="B3281" t="s">
        <v>14</v>
      </c>
      <c r="C3281" s="1">
        <v>46103.999988425923</v>
      </c>
      <c r="D3281">
        <v>25.154517263662001</v>
      </c>
      <c r="E3281">
        <v>31160.6133717948</v>
      </c>
      <c r="F3281" s="1">
        <v>46101.605474537035</v>
      </c>
      <c r="G3281">
        <v>52.873665815978299</v>
      </c>
      <c r="H3281" t="s">
        <v>31</v>
      </c>
      <c r="J3281" t="s">
        <v>16</v>
      </c>
      <c r="K3281">
        <v>577007.90534456098</v>
      </c>
      <c r="L3281" t="s">
        <v>17</v>
      </c>
      <c r="M3281">
        <v>-5019.10426541569</v>
      </c>
      <c r="N3281">
        <v>5.4003789347023198E-2</v>
      </c>
    </row>
    <row r="3282" spans="2:14" x14ac:dyDescent="0.25">
      <c r="B3282" t="s">
        <v>14</v>
      </c>
      <c r="C3282" s="1">
        <v>46102.999988425923</v>
      </c>
      <c r="D3282">
        <v>25.154517263662001</v>
      </c>
      <c r="E3282">
        <v>31160.6133717948</v>
      </c>
      <c r="F3282" s="1">
        <v>46101.605474537035</v>
      </c>
      <c r="G3282">
        <v>52.873665815978299</v>
      </c>
      <c r="H3282" t="s">
        <v>31</v>
      </c>
      <c r="J3282" t="s">
        <v>16</v>
      </c>
      <c r="K3282">
        <v>577007.90534456098</v>
      </c>
      <c r="L3282" t="s">
        <v>17</v>
      </c>
      <c r="M3282">
        <v>0</v>
      </c>
      <c r="N3282">
        <v>5.4003789347023198E-2</v>
      </c>
    </row>
    <row r="3283" spans="2:14" x14ac:dyDescent="0.25">
      <c r="B3283" t="s">
        <v>14</v>
      </c>
      <c r="C3283" s="1">
        <v>46101.999988425923</v>
      </c>
      <c r="D3283">
        <v>25.154517263662001</v>
      </c>
      <c r="E3283">
        <v>31160.6133717948</v>
      </c>
      <c r="F3283" s="1">
        <v>46101.605474537035</v>
      </c>
      <c r="G3283">
        <v>52.873665815978299</v>
      </c>
      <c r="H3283" t="s">
        <v>31</v>
      </c>
      <c r="J3283" t="s">
        <v>16</v>
      </c>
      <c r="K3283">
        <v>577007.90534456098</v>
      </c>
      <c r="L3283" t="s">
        <v>17</v>
      </c>
      <c r="M3283">
        <v>0</v>
      </c>
      <c r="N3283">
        <v>5.4003789347023198E-2</v>
      </c>
    </row>
    <row r="3284" spans="2:14" x14ac:dyDescent="0.25">
      <c r="B3284" t="s">
        <v>14</v>
      </c>
      <c r="C3284" s="1">
        <v>46100.999988425923</v>
      </c>
      <c r="D3284">
        <v>25.154517263662001</v>
      </c>
      <c r="E3284">
        <v>38582.862032745303</v>
      </c>
      <c r="F3284" s="1">
        <v>46098.099803240744</v>
      </c>
      <c r="G3284">
        <v>52.873665815978299</v>
      </c>
      <c r="H3284" t="s">
        <v>31</v>
      </c>
      <c r="J3284" t="s">
        <v>16</v>
      </c>
      <c r="K3284">
        <v>577007.90534456098</v>
      </c>
      <c r="L3284" t="s">
        <v>17</v>
      </c>
      <c r="M3284">
        <v>7422.2486609505704</v>
      </c>
      <c r="N3284">
        <v>6.6867128986223406E-2</v>
      </c>
    </row>
    <row r="3285" spans="2:14" x14ac:dyDescent="0.25">
      <c r="B3285" t="s">
        <v>14</v>
      </c>
      <c r="C3285" s="1">
        <v>46099.999988425923</v>
      </c>
      <c r="D3285">
        <v>25.154517263662001</v>
      </c>
      <c r="E3285">
        <v>38582.862032745303</v>
      </c>
      <c r="F3285" s="1">
        <v>46098.099803240744</v>
      </c>
      <c r="G3285">
        <v>52.873665815978299</v>
      </c>
      <c r="H3285" t="s">
        <v>31</v>
      </c>
      <c r="J3285" t="s">
        <v>16</v>
      </c>
      <c r="K3285">
        <v>577007.90534456098</v>
      </c>
      <c r="L3285" t="s">
        <v>17</v>
      </c>
      <c r="M3285">
        <v>0</v>
      </c>
      <c r="N3285">
        <v>6.6867128986223406E-2</v>
      </c>
    </row>
    <row r="3286" spans="2:14" x14ac:dyDescent="0.25">
      <c r="B3286" t="s">
        <v>14</v>
      </c>
      <c r="C3286" s="1">
        <v>46098.999988425923</v>
      </c>
      <c r="D3286">
        <v>25.154517263662001</v>
      </c>
      <c r="E3286">
        <v>38582.862032745303</v>
      </c>
      <c r="F3286" s="1">
        <v>46098.099803240744</v>
      </c>
      <c r="G3286">
        <v>52.873665815978299</v>
      </c>
      <c r="H3286" t="s">
        <v>31</v>
      </c>
      <c r="J3286" t="s">
        <v>16</v>
      </c>
      <c r="K3286">
        <v>577007.90534456098</v>
      </c>
      <c r="L3286" t="s">
        <v>17</v>
      </c>
      <c r="M3286">
        <v>0</v>
      </c>
      <c r="N3286">
        <v>6.6867128986223406E-2</v>
      </c>
    </row>
    <row r="3287" spans="2:14" x14ac:dyDescent="0.25">
      <c r="B3287" t="s">
        <v>14</v>
      </c>
      <c r="C3287" s="1">
        <v>46097.999988425923</v>
      </c>
      <c r="D3287">
        <v>25.154517263662001</v>
      </c>
      <c r="E3287">
        <v>41678.040201572803</v>
      </c>
      <c r="F3287" s="1">
        <v>46095.606296296297</v>
      </c>
      <c r="G3287">
        <v>52.873665815978299</v>
      </c>
      <c r="H3287" t="s">
        <v>31</v>
      </c>
      <c r="I3287" s="2"/>
      <c r="J3287" t="s">
        <v>16</v>
      </c>
      <c r="K3287">
        <v>577007.90534456098</v>
      </c>
      <c r="L3287" t="s">
        <v>17</v>
      </c>
      <c r="M3287">
        <v>3095.17816882743</v>
      </c>
      <c r="N3287">
        <v>7.2231315750664896E-2</v>
      </c>
    </row>
    <row r="3288" spans="2:14" x14ac:dyDescent="0.25">
      <c r="B3288" t="s">
        <v>14</v>
      </c>
      <c r="C3288" s="1">
        <v>46096.999988425923</v>
      </c>
      <c r="D3288">
        <v>25.154517263662001</v>
      </c>
      <c r="E3288">
        <v>41678.040201572803</v>
      </c>
      <c r="F3288" s="1">
        <v>46095.606296296297</v>
      </c>
      <c r="G3288">
        <v>52.873665815978299</v>
      </c>
      <c r="H3288" t="s">
        <v>31</v>
      </c>
      <c r="I3288" s="2"/>
      <c r="J3288" t="s">
        <v>16</v>
      </c>
      <c r="K3288">
        <v>577007.90534456098</v>
      </c>
      <c r="L3288" t="s">
        <v>17</v>
      </c>
      <c r="M3288">
        <v>0</v>
      </c>
      <c r="N3288">
        <v>7.2231315750664896E-2</v>
      </c>
    </row>
    <row r="3289" spans="2:14" x14ac:dyDescent="0.25">
      <c r="B3289" t="s">
        <v>14</v>
      </c>
      <c r="C3289" s="1">
        <v>46095.999988425923</v>
      </c>
      <c r="D3289">
        <v>25.154517263662001</v>
      </c>
      <c r="E3289">
        <v>41678.040201572803</v>
      </c>
      <c r="F3289" s="1">
        <v>46095.606296296297</v>
      </c>
      <c r="G3289">
        <v>52.873665815978299</v>
      </c>
      <c r="H3289" t="s">
        <v>31</v>
      </c>
      <c r="I3289" s="2"/>
      <c r="J3289" t="s">
        <v>16</v>
      </c>
      <c r="K3289">
        <v>577007.90534456098</v>
      </c>
      <c r="L3289" t="s">
        <v>17</v>
      </c>
      <c r="M3289">
        <v>0</v>
      </c>
      <c r="N3289">
        <v>7.2231315750664896E-2</v>
      </c>
    </row>
    <row r="3290" spans="2:14" x14ac:dyDescent="0.25">
      <c r="B3290" t="s">
        <v>14</v>
      </c>
      <c r="C3290" s="1">
        <v>46094.999988425923</v>
      </c>
      <c r="D3290">
        <v>25.154517263662001</v>
      </c>
      <c r="E3290">
        <v>33290.8453122637</v>
      </c>
      <c r="F3290" s="1">
        <v>46092.099097222221</v>
      </c>
      <c r="G3290">
        <v>52.873665815978299</v>
      </c>
      <c r="H3290" t="s">
        <v>31</v>
      </c>
      <c r="I3290" s="2"/>
      <c r="J3290" t="s">
        <v>16</v>
      </c>
      <c r="K3290">
        <v>577007.90534456098</v>
      </c>
      <c r="L3290" t="s">
        <v>17</v>
      </c>
      <c r="M3290">
        <v>-8387.1948893091103</v>
      </c>
      <c r="N3290">
        <v>5.7695648541217101E-2</v>
      </c>
    </row>
    <row r="3291" spans="2:14" x14ac:dyDescent="0.25">
      <c r="B3291" t="s">
        <v>14</v>
      </c>
      <c r="C3291" s="1">
        <v>46093.999988425923</v>
      </c>
      <c r="D3291">
        <v>25.154517263662001</v>
      </c>
      <c r="E3291">
        <v>33290.8453122637</v>
      </c>
      <c r="F3291" s="1">
        <v>46092.099097222221</v>
      </c>
      <c r="G3291">
        <v>52.873665815978299</v>
      </c>
      <c r="H3291" t="s">
        <v>31</v>
      </c>
      <c r="I3291" s="2"/>
      <c r="J3291" t="s">
        <v>16</v>
      </c>
      <c r="K3291">
        <v>577007.90534456098</v>
      </c>
      <c r="L3291" t="s">
        <v>17</v>
      </c>
      <c r="M3291">
        <v>0</v>
      </c>
      <c r="N3291">
        <v>5.7695648541217101E-2</v>
      </c>
    </row>
    <row r="3292" spans="2:14" x14ac:dyDescent="0.25">
      <c r="B3292" t="s">
        <v>14</v>
      </c>
      <c r="C3292" s="1">
        <v>46092.999988425923</v>
      </c>
      <c r="D3292">
        <v>25.154517263662001</v>
      </c>
      <c r="E3292">
        <v>33290.8453122637</v>
      </c>
      <c r="F3292" s="1">
        <v>46092.099097222221</v>
      </c>
      <c r="G3292">
        <v>52.873665815978299</v>
      </c>
      <c r="H3292" t="s">
        <v>31</v>
      </c>
      <c r="I3292" s="2"/>
      <c r="J3292" t="s">
        <v>16</v>
      </c>
      <c r="K3292">
        <v>577007.90534456098</v>
      </c>
      <c r="L3292" t="s">
        <v>17</v>
      </c>
      <c r="M3292">
        <v>0</v>
      </c>
      <c r="N3292">
        <v>5.7695648541217101E-2</v>
      </c>
    </row>
    <row r="3293" spans="2:14" x14ac:dyDescent="0.25">
      <c r="B3293" t="s">
        <v>14</v>
      </c>
      <c r="C3293" s="1">
        <v>46091.999988425923</v>
      </c>
      <c r="D3293">
        <v>25.154517263662001</v>
      </c>
      <c r="E3293">
        <v>38482.250230551297</v>
      </c>
      <c r="F3293" s="1">
        <v>46089.605474537035</v>
      </c>
      <c r="G3293">
        <v>52.873665815978299</v>
      </c>
      <c r="H3293" t="s">
        <v>31</v>
      </c>
      <c r="I3293" s="2"/>
      <c r="J3293" t="s">
        <v>16</v>
      </c>
      <c r="K3293">
        <v>577007.90534456098</v>
      </c>
      <c r="L3293" t="s">
        <v>17</v>
      </c>
      <c r="M3293">
        <v>5191.4049182876397</v>
      </c>
      <c r="N3293">
        <v>6.6692760834137194E-2</v>
      </c>
    </row>
    <row r="3294" spans="2:14" x14ac:dyDescent="0.25">
      <c r="B3294" t="s">
        <v>14</v>
      </c>
      <c r="C3294" s="1">
        <v>46090.999988425923</v>
      </c>
      <c r="D3294">
        <v>25.154517263662001</v>
      </c>
      <c r="E3294">
        <v>38482.250230551297</v>
      </c>
      <c r="F3294" s="1">
        <v>46089.605474537035</v>
      </c>
      <c r="G3294">
        <v>52.873665815978299</v>
      </c>
      <c r="H3294" t="s">
        <v>31</v>
      </c>
      <c r="I3294" s="2"/>
      <c r="J3294" t="s">
        <v>16</v>
      </c>
      <c r="K3294">
        <v>577007.90534456098</v>
      </c>
      <c r="L3294" t="s">
        <v>17</v>
      </c>
      <c r="M3294">
        <v>0</v>
      </c>
      <c r="N3294">
        <v>6.6692760834137194E-2</v>
      </c>
    </row>
    <row r="3295" spans="2:14" x14ac:dyDescent="0.25">
      <c r="B3295" t="s">
        <v>14</v>
      </c>
      <c r="C3295" s="1">
        <v>46089.999988425923</v>
      </c>
      <c r="D3295">
        <v>25.154517263662001</v>
      </c>
      <c r="E3295">
        <v>38482.250230551297</v>
      </c>
      <c r="F3295" s="1">
        <v>46089.605474537035</v>
      </c>
      <c r="G3295">
        <v>52.873665815978299</v>
      </c>
      <c r="H3295" t="s">
        <v>31</v>
      </c>
      <c r="I3295" s="2"/>
      <c r="J3295" t="s">
        <v>16</v>
      </c>
      <c r="K3295">
        <v>577007.90534456098</v>
      </c>
      <c r="L3295" t="s">
        <v>17</v>
      </c>
      <c r="M3295">
        <v>0</v>
      </c>
      <c r="N3295">
        <v>6.6692760834137194E-2</v>
      </c>
    </row>
    <row r="3296" spans="2:14" x14ac:dyDescent="0.25">
      <c r="B3296" t="s">
        <v>14</v>
      </c>
      <c r="C3296" s="1">
        <v>46088.999988425923</v>
      </c>
      <c r="D3296">
        <v>25.154517263662001</v>
      </c>
      <c r="E3296">
        <v>310845.38131067198</v>
      </c>
      <c r="F3296" s="1">
        <v>46086.099803240744</v>
      </c>
      <c r="G3296">
        <v>52.873665815978299</v>
      </c>
      <c r="H3296" t="s">
        <v>31</v>
      </c>
      <c r="I3296" s="2"/>
      <c r="J3296" t="s">
        <v>16</v>
      </c>
      <c r="K3296">
        <v>577007.90534456098</v>
      </c>
      <c r="L3296" t="s">
        <v>17</v>
      </c>
      <c r="M3296">
        <v>272363.13108011999</v>
      </c>
      <c r="N3296">
        <v>0.53871944982287501</v>
      </c>
    </row>
    <row r="3297" spans="2:14" x14ac:dyDescent="0.25">
      <c r="B3297" t="s">
        <v>14</v>
      </c>
      <c r="C3297" s="1">
        <v>46087.999988425923</v>
      </c>
      <c r="D3297">
        <v>25.154517263662001</v>
      </c>
      <c r="E3297">
        <v>310845.38131067198</v>
      </c>
      <c r="F3297" s="1">
        <v>46086.099803240744</v>
      </c>
      <c r="G3297">
        <v>52.873665815978299</v>
      </c>
      <c r="H3297" t="s">
        <v>31</v>
      </c>
      <c r="I3297" s="2"/>
      <c r="J3297" t="s">
        <v>16</v>
      </c>
      <c r="K3297">
        <v>577007.90534456098</v>
      </c>
      <c r="L3297" t="s">
        <v>17</v>
      </c>
      <c r="M3297">
        <v>0</v>
      </c>
      <c r="N3297">
        <v>0.53871944982287501</v>
      </c>
    </row>
    <row r="3298" spans="2:14" x14ac:dyDescent="0.25">
      <c r="B3298" t="s">
        <v>14</v>
      </c>
      <c r="C3298" s="1">
        <v>46086.999988425923</v>
      </c>
      <c r="D3298">
        <v>25.154517263662001</v>
      </c>
      <c r="E3298">
        <v>310845.38131067198</v>
      </c>
      <c r="F3298" s="1">
        <v>46086.099803240744</v>
      </c>
      <c r="G3298">
        <v>52.873665815978299</v>
      </c>
      <c r="H3298" t="s">
        <v>31</v>
      </c>
      <c r="I3298" s="2"/>
      <c r="J3298" t="s">
        <v>16</v>
      </c>
      <c r="K3298">
        <v>577007.90534456098</v>
      </c>
      <c r="L3298" t="s">
        <v>17</v>
      </c>
      <c r="M3298">
        <v>0</v>
      </c>
      <c r="N3298">
        <v>0.53871944982287501</v>
      </c>
    </row>
    <row r="3299" spans="2:14" x14ac:dyDescent="0.25">
      <c r="B3299" t="s">
        <v>14</v>
      </c>
      <c r="C3299" s="1">
        <v>46085.999988425923</v>
      </c>
      <c r="D3299">
        <v>25.154517263662001</v>
      </c>
      <c r="E3299">
        <v>491415.51719996397</v>
      </c>
      <c r="F3299" s="1">
        <v>46083.60628472222</v>
      </c>
      <c r="G3299">
        <v>52.873665815978299</v>
      </c>
      <c r="H3299" t="s">
        <v>31</v>
      </c>
      <c r="I3299" s="2"/>
      <c r="J3299" t="s">
        <v>16</v>
      </c>
      <c r="K3299">
        <v>577007.90534456098</v>
      </c>
      <c r="L3299" t="s">
        <v>17</v>
      </c>
      <c r="M3299">
        <v>180570.135889292</v>
      </c>
      <c r="N3299">
        <v>0.85166167161352002</v>
      </c>
    </row>
    <row r="3300" spans="2:14" x14ac:dyDescent="0.25">
      <c r="B3300" t="s">
        <v>14</v>
      </c>
      <c r="C3300" s="1">
        <v>46084.999988425923</v>
      </c>
      <c r="D3300">
        <v>25.154517263662001</v>
      </c>
      <c r="E3300">
        <v>491415.51719996397</v>
      </c>
      <c r="F3300" s="1">
        <v>46083.60628472222</v>
      </c>
      <c r="G3300">
        <v>52.873665815978299</v>
      </c>
      <c r="H3300" t="s">
        <v>31</v>
      </c>
      <c r="I3300" s="2"/>
      <c r="J3300" t="s">
        <v>16</v>
      </c>
      <c r="K3300">
        <v>577007.90534456098</v>
      </c>
      <c r="L3300" t="s">
        <v>17</v>
      </c>
      <c r="M3300">
        <v>0</v>
      </c>
      <c r="N3300">
        <v>0.85166167161352002</v>
      </c>
    </row>
    <row r="3301" spans="2:14" x14ac:dyDescent="0.25">
      <c r="B3301" t="s">
        <v>14</v>
      </c>
      <c r="C3301" s="1">
        <v>46083.999988425923</v>
      </c>
      <c r="D3301">
        <v>25.154517263662001</v>
      </c>
      <c r="E3301">
        <v>491415.51719996397</v>
      </c>
      <c r="F3301" s="1">
        <v>46083.60628472222</v>
      </c>
      <c r="G3301">
        <v>52.873665815978299</v>
      </c>
      <c r="H3301" t="s">
        <v>31</v>
      </c>
      <c r="I3301" s="2"/>
      <c r="J3301" t="s">
        <v>16</v>
      </c>
      <c r="K3301">
        <v>577007.90534456098</v>
      </c>
      <c r="L3301" t="s">
        <v>17</v>
      </c>
      <c r="M3301">
        <v>0</v>
      </c>
      <c r="N3301">
        <v>0.85166167161352002</v>
      </c>
    </row>
    <row r="3302" spans="2:14" x14ac:dyDescent="0.25">
      <c r="B3302" t="s">
        <v>14</v>
      </c>
      <c r="C3302" s="1">
        <v>46082.999988425923</v>
      </c>
      <c r="D3302">
        <v>25.154517263662001</v>
      </c>
      <c r="E3302">
        <v>53081.503934189997</v>
      </c>
      <c r="F3302" s="1">
        <v>46080.099097222221</v>
      </c>
      <c r="G3302">
        <v>52.873665815978299</v>
      </c>
      <c r="H3302" t="s">
        <v>31</v>
      </c>
      <c r="I3302" s="2"/>
      <c r="J3302" t="s">
        <v>16</v>
      </c>
      <c r="K3302">
        <v>577007.90534456098</v>
      </c>
      <c r="L3302" t="s">
        <v>17</v>
      </c>
      <c r="M3302">
        <v>-438334.013265774</v>
      </c>
      <c r="N3302">
        <v>9.1994413668374894E-2</v>
      </c>
    </row>
    <row r="3303" spans="2:14" x14ac:dyDescent="0.25">
      <c r="B3303" t="s">
        <v>14</v>
      </c>
      <c r="C3303" s="1">
        <v>46081.999988425923</v>
      </c>
      <c r="D3303">
        <v>25.154517263662001</v>
      </c>
      <c r="E3303">
        <v>53081.503934189997</v>
      </c>
      <c r="F3303" s="1">
        <v>46080.099097222221</v>
      </c>
      <c r="G3303">
        <v>52.873665815978299</v>
      </c>
      <c r="H3303" t="s">
        <v>31</v>
      </c>
      <c r="I3303" s="2"/>
      <c r="J3303" t="s">
        <v>16</v>
      </c>
      <c r="K3303">
        <v>577007.90534456098</v>
      </c>
      <c r="L3303" t="s">
        <v>17</v>
      </c>
      <c r="M3303">
        <v>0</v>
      </c>
      <c r="N3303">
        <v>9.1994413668374894E-2</v>
      </c>
    </row>
    <row r="3304" spans="2:14" x14ac:dyDescent="0.25">
      <c r="B3304" t="s">
        <v>14</v>
      </c>
      <c r="C3304" s="1">
        <v>46080.999988425923</v>
      </c>
      <c r="D3304">
        <v>25.154517263662001</v>
      </c>
      <c r="E3304">
        <v>53081.503934189997</v>
      </c>
      <c r="F3304" s="1">
        <v>46080.099097222221</v>
      </c>
      <c r="G3304">
        <v>52.873665815978299</v>
      </c>
      <c r="H3304" t="s">
        <v>31</v>
      </c>
      <c r="I3304" s="2"/>
      <c r="J3304" t="s">
        <v>16</v>
      </c>
      <c r="K3304">
        <v>577007.90534456098</v>
      </c>
      <c r="L3304" t="s">
        <v>17</v>
      </c>
      <c r="M3304">
        <v>0</v>
      </c>
      <c r="N3304">
        <v>9.1994413668374894E-2</v>
      </c>
    </row>
    <row r="3305" spans="2:14" x14ac:dyDescent="0.25">
      <c r="B3305" t="s">
        <v>14</v>
      </c>
      <c r="C3305" s="1">
        <v>46079.999988425923</v>
      </c>
      <c r="D3305">
        <v>25.154517263662001</v>
      </c>
      <c r="E3305">
        <v>88346.447746957099</v>
      </c>
      <c r="F3305" s="1">
        <v>46077.605474537035</v>
      </c>
      <c r="G3305">
        <v>52.873665815978299</v>
      </c>
      <c r="H3305" t="s">
        <v>31</v>
      </c>
      <c r="I3305" s="2"/>
      <c r="J3305" t="s">
        <v>16</v>
      </c>
      <c r="K3305">
        <v>577007.90534456098</v>
      </c>
      <c r="L3305" t="s">
        <v>17</v>
      </c>
      <c r="M3305">
        <v>35264.943812767</v>
      </c>
      <c r="N3305">
        <v>0.15311132989452</v>
      </c>
    </row>
    <row r="3306" spans="2:14" x14ac:dyDescent="0.25">
      <c r="B3306" t="s">
        <v>14</v>
      </c>
      <c r="C3306" s="1">
        <v>46078.999988425923</v>
      </c>
      <c r="D3306">
        <v>25.154517263662001</v>
      </c>
      <c r="E3306">
        <v>88346.447746957099</v>
      </c>
      <c r="F3306" s="1">
        <v>46077.605474537035</v>
      </c>
      <c r="G3306">
        <v>52.873665815978299</v>
      </c>
      <c r="H3306" t="s">
        <v>31</v>
      </c>
      <c r="I3306" s="2"/>
      <c r="J3306" t="s">
        <v>16</v>
      </c>
      <c r="K3306">
        <v>577007.90534456098</v>
      </c>
      <c r="L3306" t="s">
        <v>17</v>
      </c>
      <c r="M3306">
        <v>0</v>
      </c>
      <c r="N3306">
        <v>0.15311132989452</v>
      </c>
    </row>
    <row r="3307" spans="2:14" x14ac:dyDescent="0.25">
      <c r="B3307" t="s">
        <v>14</v>
      </c>
      <c r="C3307" s="1">
        <v>46077.999988425923</v>
      </c>
      <c r="D3307">
        <v>25.154517263662001</v>
      </c>
      <c r="E3307">
        <v>88346.447746957099</v>
      </c>
      <c r="F3307" s="1">
        <v>46077.605474537035</v>
      </c>
      <c r="G3307">
        <v>52.873665815978299</v>
      </c>
      <c r="H3307" t="s">
        <v>31</v>
      </c>
      <c r="I3307" s="2"/>
      <c r="J3307" t="s">
        <v>16</v>
      </c>
      <c r="K3307">
        <v>577007.90534456098</v>
      </c>
      <c r="L3307" t="s">
        <v>17</v>
      </c>
      <c r="M3307">
        <v>0</v>
      </c>
      <c r="N3307">
        <v>0.15311132989452</v>
      </c>
    </row>
    <row r="3308" spans="2:14" x14ac:dyDescent="0.25">
      <c r="B3308" t="s">
        <v>14</v>
      </c>
      <c r="C3308" s="1">
        <v>46076.999988425923</v>
      </c>
      <c r="D3308">
        <v>25.154517263662001</v>
      </c>
      <c r="E3308">
        <v>70301.8207650806</v>
      </c>
      <c r="F3308" s="1">
        <v>46074.099803240744</v>
      </c>
      <c r="G3308">
        <v>52.873665815978299</v>
      </c>
      <c r="H3308" t="s">
        <v>31</v>
      </c>
      <c r="I3308" s="2"/>
      <c r="J3308" t="s">
        <v>16</v>
      </c>
      <c r="K3308">
        <v>577007.90534456098</v>
      </c>
      <c r="L3308" t="s">
        <v>17</v>
      </c>
      <c r="M3308">
        <v>-18044.626981876499</v>
      </c>
      <c r="N3308">
        <v>0.12183857467793199</v>
      </c>
    </row>
    <row r="3309" spans="2:14" x14ac:dyDescent="0.25">
      <c r="B3309" t="s">
        <v>14</v>
      </c>
      <c r="C3309" s="1">
        <v>46075.999988425923</v>
      </c>
      <c r="D3309">
        <v>25.154517263662001</v>
      </c>
      <c r="E3309">
        <v>70301.8207650806</v>
      </c>
      <c r="F3309" s="1">
        <v>46074.099803240744</v>
      </c>
      <c r="G3309">
        <v>52.873665815978299</v>
      </c>
      <c r="H3309" t="s">
        <v>31</v>
      </c>
      <c r="I3309" s="2"/>
      <c r="J3309" t="s">
        <v>16</v>
      </c>
      <c r="K3309">
        <v>577007.90534456098</v>
      </c>
      <c r="L3309" t="s">
        <v>17</v>
      </c>
      <c r="M3309">
        <v>0</v>
      </c>
      <c r="N3309">
        <v>0.12183857467793199</v>
      </c>
    </row>
    <row r="3310" spans="2:14" x14ac:dyDescent="0.25">
      <c r="B3310" t="s">
        <v>14</v>
      </c>
      <c r="C3310" s="1">
        <v>46074.999988425923</v>
      </c>
      <c r="D3310">
        <v>25.154517263662001</v>
      </c>
      <c r="E3310">
        <v>70301.8207650806</v>
      </c>
      <c r="F3310" s="1">
        <v>46074.099803240744</v>
      </c>
      <c r="G3310">
        <v>52.873665815978299</v>
      </c>
      <c r="H3310" t="s">
        <v>31</v>
      </c>
      <c r="I3310" s="2"/>
      <c r="J3310" t="s">
        <v>16</v>
      </c>
      <c r="K3310">
        <v>577007.90534456098</v>
      </c>
      <c r="L3310" t="s">
        <v>17</v>
      </c>
      <c r="M3310">
        <v>0</v>
      </c>
      <c r="N3310">
        <v>0.12183857467793199</v>
      </c>
    </row>
    <row r="3311" spans="2:14" x14ac:dyDescent="0.25">
      <c r="B3311" t="s">
        <v>14</v>
      </c>
      <c r="C3311" s="1">
        <v>46073.999988425923</v>
      </c>
      <c r="D3311">
        <v>25.154517263662001</v>
      </c>
      <c r="E3311">
        <v>485527.90314716002</v>
      </c>
      <c r="F3311" s="1">
        <v>46071.606296296297</v>
      </c>
      <c r="G3311">
        <v>52.873665815978299</v>
      </c>
      <c r="H3311" t="s">
        <v>31</v>
      </c>
      <c r="I3311" s="2"/>
      <c r="J3311" t="s">
        <v>16</v>
      </c>
      <c r="K3311">
        <v>577007.90534456098</v>
      </c>
      <c r="L3311" t="s">
        <v>17</v>
      </c>
      <c r="M3311">
        <v>415226.08238207898</v>
      </c>
      <c r="N3311">
        <v>0.84145797423213198</v>
      </c>
    </row>
    <row r="3312" spans="2:14" x14ac:dyDescent="0.25">
      <c r="B3312" t="s">
        <v>14</v>
      </c>
      <c r="C3312" s="1">
        <v>46072.999988425923</v>
      </c>
      <c r="D3312">
        <v>25.154517263662001</v>
      </c>
      <c r="E3312">
        <v>485527.90314716002</v>
      </c>
      <c r="F3312" s="1">
        <v>46071.606296296297</v>
      </c>
      <c r="G3312">
        <v>52.873665815978299</v>
      </c>
      <c r="H3312" t="s">
        <v>31</v>
      </c>
      <c r="I3312" s="2"/>
      <c r="J3312" t="s">
        <v>16</v>
      </c>
      <c r="K3312">
        <v>577007.90534456098</v>
      </c>
      <c r="L3312" t="s">
        <v>17</v>
      </c>
      <c r="M3312">
        <v>0</v>
      </c>
      <c r="N3312">
        <v>0.84145797423213198</v>
      </c>
    </row>
    <row r="3313" spans="2:14" x14ac:dyDescent="0.25">
      <c r="B3313" t="s">
        <v>14</v>
      </c>
      <c r="C3313" s="1">
        <v>46071.999988425923</v>
      </c>
      <c r="D3313">
        <v>25.154517263662001</v>
      </c>
      <c r="E3313">
        <v>485527.90314716002</v>
      </c>
      <c r="F3313" s="1">
        <v>46071.606296296297</v>
      </c>
      <c r="G3313">
        <v>52.873665815978299</v>
      </c>
      <c r="H3313" t="s">
        <v>31</v>
      </c>
      <c r="I3313" s="2"/>
      <c r="J3313" t="s">
        <v>16</v>
      </c>
      <c r="K3313">
        <v>577007.90534456098</v>
      </c>
      <c r="L3313" t="s">
        <v>17</v>
      </c>
      <c r="M3313">
        <v>0</v>
      </c>
      <c r="N3313">
        <v>0.84145797423213198</v>
      </c>
    </row>
    <row r="3314" spans="2:14" x14ac:dyDescent="0.25">
      <c r="B3314" t="s">
        <v>14</v>
      </c>
      <c r="C3314" s="1">
        <v>46070.999988425923</v>
      </c>
      <c r="D3314">
        <v>25.154517263662001</v>
      </c>
      <c r="E3314">
        <v>60165.198581885197</v>
      </c>
      <c r="F3314" s="1">
        <v>46068.099097222221</v>
      </c>
      <c r="G3314">
        <v>52.873665815978299</v>
      </c>
      <c r="H3314" t="s">
        <v>31</v>
      </c>
      <c r="I3314" s="2"/>
      <c r="J3314" t="s">
        <v>16</v>
      </c>
      <c r="K3314">
        <v>577007.90534456098</v>
      </c>
      <c r="L3314" t="s">
        <v>17</v>
      </c>
      <c r="M3314">
        <v>-425362.70456527499</v>
      </c>
      <c r="N3314">
        <v>0.10427101262322799</v>
      </c>
    </row>
    <row r="3315" spans="2:14" x14ac:dyDescent="0.25">
      <c r="B3315" t="s">
        <v>14</v>
      </c>
      <c r="C3315" s="1">
        <v>46069.999988425923</v>
      </c>
      <c r="D3315">
        <v>25.154517263662001</v>
      </c>
      <c r="E3315">
        <v>60165.198581885197</v>
      </c>
      <c r="F3315" s="1">
        <v>46068.099097222221</v>
      </c>
      <c r="G3315">
        <v>52.873665815978299</v>
      </c>
      <c r="H3315" t="s">
        <v>31</v>
      </c>
      <c r="I3315" s="2"/>
      <c r="J3315" t="s">
        <v>16</v>
      </c>
      <c r="K3315">
        <v>577007.90534456098</v>
      </c>
      <c r="L3315" t="s">
        <v>17</v>
      </c>
      <c r="M3315">
        <v>0</v>
      </c>
      <c r="N3315">
        <v>0.10427101262322799</v>
      </c>
    </row>
    <row r="3316" spans="2:14" x14ac:dyDescent="0.25">
      <c r="B3316" t="s">
        <v>14</v>
      </c>
      <c r="C3316" s="1">
        <v>46068.999988425923</v>
      </c>
      <c r="D3316">
        <v>25.154517263662001</v>
      </c>
      <c r="E3316">
        <v>60165.198581885197</v>
      </c>
      <c r="F3316" s="1">
        <v>46068.099097222221</v>
      </c>
      <c r="G3316">
        <v>52.873665815978299</v>
      </c>
      <c r="H3316" t="s">
        <v>31</v>
      </c>
      <c r="I3316" s="2"/>
      <c r="J3316" t="s">
        <v>16</v>
      </c>
      <c r="K3316">
        <v>577007.90534456098</v>
      </c>
      <c r="L3316" t="s">
        <v>17</v>
      </c>
      <c r="M3316">
        <v>0</v>
      </c>
      <c r="N3316">
        <v>0.10427101262322799</v>
      </c>
    </row>
    <row r="3317" spans="2:14" x14ac:dyDescent="0.25">
      <c r="B3317" t="s">
        <v>14</v>
      </c>
      <c r="C3317" s="1">
        <v>46067.999988425923</v>
      </c>
      <c r="D3317">
        <v>25.154517263662001</v>
      </c>
      <c r="E3317">
        <v>498988.69720418501</v>
      </c>
      <c r="F3317" s="1">
        <v>46065.605474537035</v>
      </c>
      <c r="G3317">
        <v>52.873665815978299</v>
      </c>
      <c r="H3317" t="s">
        <v>31</v>
      </c>
      <c r="I3317" s="2"/>
      <c r="J3317" t="s">
        <v>16</v>
      </c>
      <c r="K3317">
        <v>577007.90534456098</v>
      </c>
      <c r="L3317" t="s">
        <v>17</v>
      </c>
      <c r="M3317">
        <v>438823.49862229999</v>
      </c>
      <c r="N3317">
        <v>0.864786587120003</v>
      </c>
    </row>
    <row r="3318" spans="2:14" x14ac:dyDescent="0.25">
      <c r="B3318" t="s">
        <v>14</v>
      </c>
      <c r="C3318" s="1">
        <v>46066.999988425923</v>
      </c>
      <c r="D3318">
        <v>25.154517263662001</v>
      </c>
      <c r="E3318">
        <v>498988.69720418501</v>
      </c>
      <c r="F3318" s="1">
        <v>46065.605474537035</v>
      </c>
      <c r="G3318">
        <v>52.873665815978299</v>
      </c>
      <c r="H3318" t="s">
        <v>31</v>
      </c>
      <c r="I3318" s="2"/>
      <c r="J3318" t="s">
        <v>16</v>
      </c>
      <c r="K3318">
        <v>577007.90534456098</v>
      </c>
      <c r="L3318" t="s">
        <v>17</v>
      </c>
      <c r="M3318">
        <v>0</v>
      </c>
      <c r="N3318">
        <v>0.864786587120003</v>
      </c>
    </row>
    <row r="3319" spans="2:14" x14ac:dyDescent="0.25">
      <c r="B3319" t="s">
        <v>14</v>
      </c>
      <c r="C3319" s="1">
        <v>46065.999988425923</v>
      </c>
      <c r="D3319">
        <v>25.154517263662001</v>
      </c>
      <c r="E3319">
        <v>498988.69720418501</v>
      </c>
      <c r="F3319" s="1">
        <v>46065.605474537035</v>
      </c>
      <c r="G3319">
        <v>52.873665815978299</v>
      </c>
      <c r="H3319" t="s">
        <v>31</v>
      </c>
      <c r="I3319" s="2"/>
      <c r="J3319" t="s">
        <v>16</v>
      </c>
      <c r="K3319">
        <v>577007.90534456098</v>
      </c>
      <c r="L3319" t="s">
        <v>17</v>
      </c>
      <c r="M3319">
        <v>0</v>
      </c>
      <c r="N3319">
        <v>0.864786587120003</v>
      </c>
    </row>
    <row r="3320" spans="2:14" x14ac:dyDescent="0.25">
      <c r="B3320" t="s">
        <v>14</v>
      </c>
      <c r="C3320" s="1">
        <v>46064.999988425923</v>
      </c>
      <c r="D3320">
        <v>25.154517263662001</v>
      </c>
      <c r="E3320">
        <v>17554.290547895998</v>
      </c>
      <c r="F3320" s="1">
        <v>46062.099814814814</v>
      </c>
      <c r="G3320">
        <v>52.873665815978299</v>
      </c>
      <c r="H3320" t="s">
        <v>31</v>
      </c>
      <c r="I3320" s="2"/>
      <c r="J3320" t="s">
        <v>16</v>
      </c>
      <c r="K3320">
        <v>577007.90534456098</v>
      </c>
      <c r="L3320" t="s">
        <v>17</v>
      </c>
      <c r="M3320">
        <v>-481434.40665628901</v>
      </c>
      <c r="N3320">
        <v>3.0422963680910801E-2</v>
      </c>
    </row>
    <row r="3321" spans="2:14" x14ac:dyDescent="0.25">
      <c r="B3321" t="s">
        <v>14</v>
      </c>
      <c r="C3321" s="1">
        <v>46063.999988425923</v>
      </c>
      <c r="D3321">
        <v>25.154517263662001</v>
      </c>
      <c r="E3321">
        <v>17554.290547895998</v>
      </c>
      <c r="F3321" s="1">
        <v>46062.099814814814</v>
      </c>
      <c r="G3321">
        <v>52.873665815978299</v>
      </c>
      <c r="H3321" t="s">
        <v>31</v>
      </c>
      <c r="I3321" s="2"/>
      <c r="J3321" t="s">
        <v>16</v>
      </c>
      <c r="K3321">
        <v>577007.90534456098</v>
      </c>
      <c r="L3321" t="s">
        <v>17</v>
      </c>
      <c r="M3321">
        <v>0</v>
      </c>
      <c r="N3321">
        <v>3.0422963680910801E-2</v>
      </c>
    </row>
    <row r="3322" spans="2:14" x14ac:dyDescent="0.25">
      <c r="B3322" t="s">
        <v>14</v>
      </c>
      <c r="C3322" s="1">
        <v>46062.999988425923</v>
      </c>
      <c r="D3322">
        <v>25.154517263662001</v>
      </c>
      <c r="E3322">
        <v>17554.290547895998</v>
      </c>
      <c r="F3322" s="1">
        <v>46062.099814814814</v>
      </c>
      <c r="G3322">
        <v>52.873665815978299</v>
      </c>
      <c r="H3322" t="s">
        <v>31</v>
      </c>
      <c r="I3322" s="2"/>
      <c r="J3322" t="s">
        <v>16</v>
      </c>
      <c r="K3322">
        <v>577007.90534456098</v>
      </c>
      <c r="L3322" t="s">
        <v>17</v>
      </c>
      <c r="M3322">
        <v>0</v>
      </c>
      <c r="N3322">
        <v>3.0422963680910801E-2</v>
      </c>
    </row>
    <row r="3323" spans="2:14" x14ac:dyDescent="0.25">
      <c r="B3323" t="s">
        <v>14</v>
      </c>
      <c r="C3323" s="1">
        <v>46061.999988425923</v>
      </c>
      <c r="D3323">
        <v>25.154517263662001</v>
      </c>
      <c r="E3323">
        <v>498979.60276167397</v>
      </c>
      <c r="F3323" s="1">
        <v>46059.606296296297</v>
      </c>
      <c r="G3323">
        <v>52.873665815978299</v>
      </c>
      <c r="H3323" t="s">
        <v>31</v>
      </c>
      <c r="I3323" s="2"/>
      <c r="J3323" t="s">
        <v>16</v>
      </c>
      <c r="K3323">
        <v>577007.90534456098</v>
      </c>
      <c r="L3323" t="s">
        <v>17</v>
      </c>
      <c r="M3323">
        <v>481425.31221377797</v>
      </c>
      <c r="N3323">
        <v>0.86477082573714104</v>
      </c>
    </row>
    <row r="3324" spans="2:14" x14ac:dyDescent="0.25">
      <c r="B3324" t="s">
        <v>14</v>
      </c>
      <c r="C3324" s="1">
        <v>46060.999988425923</v>
      </c>
      <c r="D3324">
        <v>25.154517263662001</v>
      </c>
      <c r="E3324">
        <v>498979.60276167397</v>
      </c>
      <c r="F3324" s="1">
        <v>46059.606296296297</v>
      </c>
      <c r="G3324">
        <v>52.873665815978299</v>
      </c>
      <c r="H3324" t="s">
        <v>31</v>
      </c>
      <c r="I3324" s="2"/>
      <c r="J3324" t="s">
        <v>16</v>
      </c>
      <c r="K3324">
        <v>577007.90534456098</v>
      </c>
      <c r="L3324" t="s">
        <v>17</v>
      </c>
      <c r="M3324">
        <v>0</v>
      </c>
      <c r="N3324">
        <v>0.86477082573714104</v>
      </c>
    </row>
    <row r="3325" spans="2:14" x14ac:dyDescent="0.25">
      <c r="B3325" t="s">
        <v>14</v>
      </c>
      <c r="C3325" s="1">
        <v>46059.999988425923</v>
      </c>
      <c r="D3325">
        <v>25.154517263662001</v>
      </c>
      <c r="E3325">
        <v>498979.60276167397</v>
      </c>
      <c r="F3325" s="1">
        <v>46059.606296296297</v>
      </c>
      <c r="G3325">
        <v>52.873665815978299</v>
      </c>
      <c r="H3325" t="s">
        <v>31</v>
      </c>
      <c r="I3325" s="2"/>
      <c r="J3325" t="s">
        <v>16</v>
      </c>
      <c r="K3325">
        <v>577007.90534456098</v>
      </c>
      <c r="L3325" t="s">
        <v>17</v>
      </c>
      <c r="M3325">
        <v>0</v>
      </c>
      <c r="N3325">
        <v>0.86477082573714104</v>
      </c>
    </row>
    <row r="3326" spans="2:14" x14ac:dyDescent="0.25">
      <c r="B3326" t="s">
        <v>14</v>
      </c>
      <c r="C3326" s="1">
        <v>46058.999988425923</v>
      </c>
      <c r="D3326">
        <v>25.154517263662001</v>
      </c>
      <c r="E3326">
        <v>108616.528415778</v>
      </c>
      <c r="F3326" s="1">
        <v>46056.099097222221</v>
      </c>
      <c r="G3326">
        <v>52.873665815978299</v>
      </c>
      <c r="H3326" t="s">
        <v>31</v>
      </c>
      <c r="I3326" s="2"/>
      <c r="J3326" t="s">
        <v>16</v>
      </c>
      <c r="K3326">
        <v>577007.90534456098</v>
      </c>
      <c r="L3326" t="s">
        <v>17</v>
      </c>
      <c r="M3326">
        <v>-390363.07434589602</v>
      </c>
      <c r="N3326">
        <v>0.18824097106766299</v>
      </c>
    </row>
    <row r="3327" spans="2:14" x14ac:dyDescent="0.25">
      <c r="B3327" t="s">
        <v>14</v>
      </c>
      <c r="C3327" s="1">
        <v>46057.999988425923</v>
      </c>
      <c r="D3327">
        <v>25.154517263662001</v>
      </c>
      <c r="E3327">
        <v>108616.528415778</v>
      </c>
      <c r="F3327" s="1">
        <v>46056.099097222221</v>
      </c>
      <c r="G3327">
        <v>52.873665815978299</v>
      </c>
      <c r="H3327" t="s">
        <v>31</v>
      </c>
      <c r="I3327" s="2"/>
      <c r="J3327" t="s">
        <v>16</v>
      </c>
      <c r="K3327">
        <v>577007.90534456098</v>
      </c>
      <c r="L3327" t="s">
        <v>17</v>
      </c>
      <c r="M3327">
        <v>0</v>
      </c>
      <c r="N3327">
        <v>0.18824097106766299</v>
      </c>
    </row>
    <row r="3328" spans="2:14" x14ac:dyDescent="0.25">
      <c r="B3328" t="s">
        <v>14</v>
      </c>
      <c r="C3328" s="1">
        <v>46056.999988425923</v>
      </c>
      <c r="D3328">
        <v>25.154517263662001</v>
      </c>
      <c r="E3328">
        <v>108616.528415778</v>
      </c>
      <c r="F3328" s="1">
        <v>46056.099097222221</v>
      </c>
      <c r="G3328">
        <v>52.873665815978299</v>
      </c>
      <c r="H3328" t="s">
        <v>31</v>
      </c>
      <c r="I3328" s="2"/>
      <c r="J3328" t="s">
        <v>16</v>
      </c>
      <c r="K3328">
        <v>577007.90534456098</v>
      </c>
      <c r="L3328" t="s">
        <v>17</v>
      </c>
      <c r="M3328">
        <v>0</v>
      </c>
      <c r="N3328">
        <v>0.18824097106766299</v>
      </c>
    </row>
    <row r="3329" spans="2:14" x14ac:dyDescent="0.25">
      <c r="B3329" t="s">
        <v>14</v>
      </c>
      <c r="C3329" s="1">
        <v>46055.999988425923</v>
      </c>
      <c r="D3329">
        <v>25.154517263662001</v>
      </c>
      <c r="E3329">
        <v>120966.764997515</v>
      </c>
      <c r="F3329" s="1">
        <v>46053.605474537035</v>
      </c>
      <c r="G3329">
        <v>52.873665815978299</v>
      </c>
      <c r="H3329" t="s">
        <v>31</v>
      </c>
      <c r="I3329" s="2"/>
      <c r="J3329" t="s">
        <v>16</v>
      </c>
      <c r="K3329">
        <v>577007.90534456098</v>
      </c>
      <c r="L3329" t="s">
        <v>17</v>
      </c>
      <c r="M3329">
        <v>12350.236581736701</v>
      </c>
      <c r="N3329">
        <v>0.209644900662634</v>
      </c>
    </row>
    <row r="3330" spans="2:14" x14ac:dyDescent="0.25">
      <c r="B3330" t="s">
        <v>14</v>
      </c>
      <c r="C3330" s="1">
        <v>46054.999988425923</v>
      </c>
      <c r="D3330">
        <v>25.154517263662001</v>
      </c>
      <c r="E3330">
        <v>120966.764997515</v>
      </c>
      <c r="F3330" s="1">
        <v>46053.605474537035</v>
      </c>
      <c r="G3330">
        <v>52.873665815978299</v>
      </c>
      <c r="H3330" t="s">
        <v>31</v>
      </c>
      <c r="I3330" s="2"/>
      <c r="J3330" t="s">
        <v>16</v>
      </c>
      <c r="K3330">
        <v>577007.90534456098</v>
      </c>
      <c r="L3330" t="s">
        <v>17</v>
      </c>
      <c r="M3330">
        <v>0</v>
      </c>
      <c r="N3330">
        <v>0.209644900662634</v>
      </c>
    </row>
    <row r="3331" spans="2:14" x14ac:dyDescent="0.25">
      <c r="B3331" t="s">
        <v>14</v>
      </c>
      <c r="C3331" s="1">
        <v>46053.999988425923</v>
      </c>
      <c r="D3331">
        <v>25.154517263662001</v>
      </c>
      <c r="E3331">
        <v>120966.764997515</v>
      </c>
      <c r="F3331" s="1">
        <v>46053.605474537035</v>
      </c>
      <c r="G3331">
        <v>52.873665815978299</v>
      </c>
      <c r="H3331" t="s">
        <v>31</v>
      </c>
      <c r="I3331" s="2"/>
      <c r="J3331" t="s">
        <v>16</v>
      </c>
      <c r="K3331">
        <v>577007.90534456098</v>
      </c>
      <c r="L3331" t="s">
        <v>17</v>
      </c>
      <c r="M3331">
        <v>0</v>
      </c>
      <c r="N3331">
        <v>0.209644900662634</v>
      </c>
    </row>
    <row r="3332" spans="2:14" x14ac:dyDescent="0.25">
      <c r="B3332" t="s">
        <v>14</v>
      </c>
      <c r="C3332" s="1">
        <v>46052.999988425923</v>
      </c>
      <c r="D3332">
        <v>25.154517263662001</v>
      </c>
      <c r="E3332">
        <v>513985.53924112697</v>
      </c>
      <c r="F3332" s="1">
        <v>46050.099814814814</v>
      </c>
      <c r="G3332">
        <v>52.873665815978299</v>
      </c>
      <c r="H3332" t="s">
        <v>31</v>
      </c>
      <c r="I3332" s="2"/>
      <c r="J3332" t="s">
        <v>16</v>
      </c>
      <c r="K3332">
        <v>577007.90534456098</v>
      </c>
      <c r="L3332" t="s">
        <v>17</v>
      </c>
      <c r="M3332">
        <v>393018.77424361202</v>
      </c>
      <c r="N3332">
        <v>0.89077729174992804</v>
      </c>
    </row>
    <row r="3333" spans="2:14" x14ac:dyDescent="0.25">
      <c r="B3333" t="s">
        <v>14</v>
      </c>
      <c r="C3333" s="1">
        <v>46051.999988425923</v>
      </c>
      <c r="D3333">
        <v>25.154517263662001</v>
      </c>
      <c r="E3333">
        <v>513985.53924112697</v>
      </c>
      <c r="F3333" s="1">
        <v>46050.099814814814</v>
      </c>
      <c r="G3333">
        <v>52.873665815978299</v>
      </c>
      <c r="H3333" t="s">
        <v>31</v>
      </c>
      <c r="I3333" s="2"/>
      <c r="J3333" t="s">
        <v>16</v>
      </c>
      <c r="K3333">
        <v>577007.90534456098</v>
      </c>
      <c r="L3333" t="s">
        <v>17</v>
      </c>
      <c r="M3333">
        <v>0</v>
      </c>
      <c r="N3333">
        <v>0.89077729174992804</v>
      </c>
    </row>
    <row r="3334" spans="2:14" x14ac:dyDescent="0.25">
      <c r="B3334" t="s">
        <v>14</v>
      </c>
      <c r="C3334" s="1">
        <v>46050.999988425923</v>
      </c>
      <c r="D3334">
        <v>25.154517263662001</v>
      </c>
      <c r="E3334">
        <v>513985.53924112697</v>
      </c>
      <c r="F3334" s="1">
        <v>46050.099814814814</v>
      </c>
      <c r="G3334">
        <v>52.873665815978299</v>
      </c>
      <c r="H3334" t="s">
        <v>31</v>
      </c>
      <c r="I3334" s="2"/>
      <c r="J3334" t="s">
        <v>16</v>
      </c>
      <c r="K3334">
        <v>577007.90534456098</v>
      </c>
      <c r="L3334" t="s">
        <v>17</v>
      </c>
      <c r="M3334">
        <v>0</v>
      </c>
      <c r="N3334">
        <v>0.89077729174992804</v>
      </c>
    </row>
    <row r="3335" spans="2:14" x14ac:dyDescent="0.25">
      <c r="B3335" t="s">
        <v>14</v>
      </c>
      <c r="C3335" s="1">
        <v>46049.999988425923</v>
      </c>
      <c r="D3335">
        <v>25.154517263662001</v>
      </c>
      <c r="E3335">
        <v>73931.869052002105</v>
      </c>
      <c r="F3335" s="1">
        <v>46047.606307870374</v>
      </c>
      <c r="G3335">
        <v>52.873665815978299</v>
      </c>
      <c r="H3335" t="s">
        <v>31</v>
      </c>
      <c r="I3335" s="2"/>
      <c r="J3335" t="s">
        <v>16</v>
      </c>
      <c r="K3335">
        <v>577007.90534456098</v>
      </c>
      <c r="L3335" t="s">
        <v>17</v>
      </c>
      <c r="M3335">
        <v>-440053.670189125</v>
      </c>
      <c r="N3335">
        <v>0.12812973334889299</v>
      </c>
    </row>
    <row r="3336" spans="2:14" x14ac:dyDescent="0.25">
      <c r="B3336" t="s">
        <v>14</v>
      </c>
      <c r="C3336" s="1">
        <v>46048.999988425923</v>
      </c>
      <c r="D3336">
        <v>25.154517263662001</v>
      </c>
      <c r="E3336">
        <v>73931.869052002105</v>
      </c>
      <c r="F3336" s="1">
        <v>46047.606307870374</v>
      </c>
      <c r="G3336">
        <v>52.873665815978299</v>
      </c>
      <c r="H3336" t="s">
        <v>31</v>
      </c>
      <c r="I3336" s="2"/>
      <c r="J3336" t="s">
        <v>16</v>
      </c>
      <c r="K3336">
        <v>577007.90534456098</v>
      </c>
      <c r="L3336" t="s">
        <v>17</v>
      </c>
      <c r="M3336">
        <v>0</v>
      </c>
      <c r="N3336">
        <v>0.12812973334889299</v>
      </c>
    </row>
    <row r="3337" spans="2:14" x14ac:dyDescent="0.25">
      <c r="B3337" t="s">
        <v>14</v>
      </c>
      <c r="C3337" s="1">
        <v>46047.999988425923</v>
      </c>
      <c r="D3337">
        <v>25.154517263662001</v>
      </c>
      <c r="E3337">
        <v>73931.869052002105</v>
      </c>
      <c r="F3337" s="1">
        <v>46047.606307870374</v>
      </c>
      <c r="G3337">
        <v>52.873665815978299</v>
      </c>
      <c r="H3337" t="s">
        <v>31</v>
      </c>
      <c r="I3337" s="2"/>
      <c r="J3337" t="s">
        <v>16</v>
      </c>
      <c r="K3337">
        <v>577007.90534456098</v>
      </c>
      <c r="L3337" t="s">
        <v>17</v>
      </c>
      <c r="M3337">
        <v>0</v>
      </c>
      <c r="N3337">
        <v>0.12812973334889299</v>
      </c>
    </row>
    <row r="3338" spans="2:14" x14ac:dyDescent="0.25">
      <c r="B3338" t="s">
        <v>14</v>
      </c>
      <c r="C3338" s="1">
        <v>46046.999988425923</v>
      </c>
      <c r="D3338">
        <v>25.154517263662001</v>
      </c>
      <c r="E3338">
        <v>59186.016925203097</v>
      </c>
      <c r="F3338" s="1">
        <v>46041.605486111112</v>
      </c>
      <c r="G3338">
        <v>52.873665815978299</v>
      </c>
      <c r="H3338" t="s">
        <v>31</v>
      </c>
      <c r="I3338" s="2"/>
      <c r="J3338" t="s">
        <v>16</v>
      </c>
      <c r="K3338">
        <v>577007.90534456098</v>
      </c>
      <c r="L3338" t="s">
        <v>17</v>
      </c>
      <c r="M3338">
        <v>-14745.852126799</v>
      </c>
      <c r="N3338">
        <v>0.102574013938093</v>
      </c>
    </row>
    <row r="3339" spans="2:14" x14ac:dyDescent="0.25">
      <c r="B3339" t="s">
        <v>14</v>
      </c>
      <c r="C3339" s="1">
        <v>46045.999988425923</v>
      </c>
      <c r="D3339">
        <v>25.154517263662001</v>
      </c>
      <c r="E3339">
        <v>59186.016925203097</v>
      </c>
      <c r="F3339" s="1">
        <v>46041.605486111112</v>
      </c>
      <c r="G3339">
        <v>52.873665815978299</v>
      </c>
      <c r="H3339" t="s">
        <v>31</v>
      </c>
      <c r="I3339" s="2"/>
      <c r="J3339" t="s">
        <v>16</v>
      </c>
      <c r="K3339">
        <v>577007.90534456098</v>
      </c>
      <c r="L3339" t="s">
        <v>17</v>
      </c>
      <c r="M3339">
        <v>0</v>
      </c>
      <c r="N3339">
        <v>0.102574013938093</v>
      </c>
    </row>
    <row r="3340" spans="2:14" x14ac:dyDescent="0.25">
      <c r="B3340" t="s">
        <v>14</v>
      </c>
      <c r="C3340" s="1">
        <v>46044.999988425923</v>
      </c>
      <c r="D3340">
        <v>25.154517263662001</v>
      </c>
      <c r="E3340">
        <v>59186.016925203097</v>
      </c>
      <c r="F3340" s="1">
        <v>46041.605486111112</v>
      </c>
      <c r="G3340">
        <v>52.873665815978299</v>
      </c>
      <c r="H3340" t="s">
        <v>31</v>
      </c>
      <c r="I3340" s="2"/>
      <c r="J3340" t="s">
        <v>16</v>
      </c>
      <c r="K3340">
        <v>577007.90534456098</v>
      </c>
      <c r="L3340" t="s">
        <v>17</v>
      </c>
      <c r="M3340">
        <v>0</v>
      </c>
      <c r="N3340">
        <v>0.102574013938093</v>
      </c>
    </row>
    <row r="3341" spans="2:14" x14ac:dyDescent="0.25">
      <c r="B3341" t="s">
        <v>14</v>
      </c>
      <c r="C3341" s="1">
        <v>46043.999988425923</v>
      </c>
      <c r="D3341">
        <v>25.154517263662001</v>
      </c>
      <c r="E3341">
        <v>59186.016925203097</v>
      </c>
      <c r="F3341" s="1">
        <v>46041.605486111112</v>
      </c>
      <c r="G3341">
        <v>52.873665815978299</v>
      </c>
      <c r="H3341" t="s">
        <v>31</v>
      </c>
      <c r="I3341" s="2"/>
      <c r="J3341" t="s">
        <v>16</v>
      </c>
      <c r="K3341">
        <v>577007.90534456098</v>
      </c>
      <c r="L3341" t="s">
        <v>17</v>
      </c>
      <c r="M3341">
        <v>0</v>
      </c>
      <c r="N3341">
        <v>0.102574013938093</v>
      </c>
    </row>
    <row r="3342" spans="2:14" x14ac:dyDescent="0.25">
      <c r="B3342" t="s">
        <v>14</v>
      </c>
      <c r="C3342" s="1">
        <v>46042.999988425923</v>
      </c>
      <c r="D3342">
        <v>25.154517263662001</v>
      </c>
      <c r="E3342">
        <v>59186.016925203097</v>
      </c>
      <c r="F3342" s="1">
        <v>46041.605486111112</v>
      </c>
      <c r="G3342">
        <v>52.873665815978299</v>
      </c>
      <c r="H3342" t="s">
        <v>31</v>
      </c>
      <c r="I3342" s="2"/>
      <c r="J3342" t="s">
        <v>16</v>
      </c>
      <c r="K3342">
        <v>577007.90534456098</v>
      </c>
      <c r="L3342" t="s">
        <v>17</v>
      </c>
      <c r="M3342">
        <v>0</v>
      </c>
      <c r="N3342">
        <v>0.102574013938093</v>
      </c>
    </row>
    <row r="3343" spans="2:14" x14ac:dyDescent="0.25">
      <c r="B3343" t="s">
        <v>14</v>
      </c>
      <c r="C3343" s="1">
        <v>46041.999988425923</v>
      </c>
      <c r="D3343">
        <v>25.154517263662001</v>
      </c>
      <c r="E3343">
        <v>59186.016925203097</v>
      </c>
      <c r="F3343" s="1">
        <v>46041.605486111112</v>
      </c>
      <c r="G3343">
        <v>52.873665815978299</v>
      </c>
      <c r="H3343" t="s">
        <v>31</v>
      </c>
      <c r="I3343" s="2"/>
      <c r="J3343" t="s">
        <v>16</v>
      </c>
      <c r="K3343">
        <v>577007.90534456098</v>
      </c>
      <c r="L3343" t="s">
        <v>17</v>
      </c>
      <c r="M3343">
        <v>0</v>
      </c>
      <c r="N3343">
        <v>0.102574013938093</v>
      </c>
    </row>
    <row r="3344" spans="2:14" x14ac:dyDescent="0.25">
      <c r="B3344" t="s">
        <v>14</v>
      </c>
      <c r="C3344" s="1">
        <v>46040.999988425923</v>
      </c>
      <c r="D3344">
        <v>25.154517263662001</v>
      </c>
      <c r="E3344">
        <v>73140.203130412599</v>
      </c>
      <c r="F3344" s="1">
        <v>46038.099826388891</v>
      </c>
      <c r="G3344">
        <v>52.873665815978299</v>
      </c>
      <c r="H3344" t="s">
        <v>31</v>
      </c>
      <c r="I3344" s="2"/>
      <c r="J3344" t="s">
        <v>16</v>
      </c>
      <c r="K3344">
        <v>577007.90534456098</v>
      </c>
      <c r="L3344" t="s">
        <v>17</v>
      </c>
      <c r="M3344">
        <v>13954.1862052095</v>
      </c>
      <c r="N3344">
        <v>0.12675771415425699</v>
      </c>
    </row>
    <row r="3345" spans="2:14" x14ac:dyDescent="0.25">
      <c r="B3345" t="s">
        <v>14</v>
      </c>
      <c r="C3345" s="1">
        <v>46039.999988425923</v>
      </c>
      <c r="D3345">
        <v>25.154517263662001</v>
      </c>
      <c r="E3345">
        <v>73140.203130412599</v>
      </c>
      <c r="F3345" s="1">
        <v>46038.099826388891</v>
      </c>
      <c r="G3345">
        <v>52.873665815978299</v>
      </c>
      <c r="H3345" t="s">
        <v>31</v>
      </c>
      <c r="I3345" s="2"/>
      <c r="J3345" t="s">
        <v>16</v>
      </c>
      <c r="K3345">
        <v>577007.90534456098</v>
      </c>
      <c r="L3345" t="s">
        <v>17</v>
      </c>
      <c r="M3345">
        <v>0</v>
      </c>
      <c r="N3345">
        <v>0.12675771415425699</v>
      </c>
    </row>
    <row r="3346" spans="2:14" x14ac:dyDescent="0.25">
      <c r="B3346" t="s">
        <v>14</v>
      </c>
      <c r="C3346" s="1">
        <v>46038.999988425923</v>
      </c>
      <c r="D3346">
        <v>25.154517263662001</v>
      </c>
      <c r="E3346">
        <v>73140.203130412599</v>
      </c>
      <c r="F3346" s="1">
        <v>46038.099826388891</v>
      </c>
      <c r="G3346">
        <v>52.873665815978299</v>
      </c>
      <c r="H3346" t="s">
        <v>31</v>
      </c>
      <c r="I3346" s="2"/>
      <c r="J3346" t="s">
        <v>16</v>
      </c>
      <c r="K3346">
        <v>577007.90534456098</v>
      </c>
      <c r="L3346" t="s">
        <v>17</v>
      </c>
      <c r="M3346">
        <v>0</v>
      </c>
      <c r="N3346">
        <v>0.12675771415425699</v>
      </c>
    </row>
    <row r="3347" spans="2:14" x14ac:dyDescent="0.25">
      <c r="B3347" t="s">
        <v>14</v>
      </c>
      <c r="C3347" s="1">
        <v>46037.999988425923</v>
      </c>
      <c r="D3347">
        <v>25.154517263662001</v>
      </c>
      <c r="E3347">
        <v>480970.96495689999</v>
      </c>
      <c r="F3347" s="1">
        <v>46035.606319444443</v>
      </c>
      <c r="G3347">
        <v>52.873665815978299</v>
      </c>
      <c r="H3347" t="s">
        <v>31</v>
      </c>
      <c r="I3347" s="2"/>
      <c r="J3347" t="s">
        <v>16</v>
      </c>
      <c r="K3347">
        <v>577007.90534456098</v>
      </c>
      <c r="L3347" t="s">
        <v>17</v>
      </c>
      <c r="M3347">
        <v>407830.76182648703</v>
      </c>
      <c r="N3347">
        <v>0.83356044258992801</v>
      </c>
    </row>
    <row r="3348" spans="2:14" x14ac:dyDescent="0.25">
      <c r="B3348" t="s">
        <v>14</v>
      </c>
      <c r="C3348" s="1">
        <v>46036.999988425923</v>
      </c>
      <c r="D3348">
        <v>25.154517263662001</v>
      </c>
      <c r="E3348">
        <v>480970.96495689999</v>
      </c>
      <c r="F3348" s="1">
        <v>46035.606319444443</v>
      </c>
      <c r="G3348">
        <v>52.873665815978299</v>
      </c>
      <c r="H3348" t="s">
        <v>31</v>
      </c>
      <c r="I3348" s="2"/>
      <c r="J3348" t="s">
        <v>16</v>
      </c>
      <c r="K3348">
        <v>577007.90534456098</v>
      </c>
      <c r="L3348" t="s">
        <v>17</v>
      </c>
      <c r="M3348">
        <v>0</v>
      </c>
      <c r="N3348">
        <v>0.83356044258992801</v>
      </c>
    </row>
    <row r="3349" spans="2:14" x14ac:dyDescent="0.25">
      <c r="B3349" t="s">
        <v>14</v>
      </c>
      <c r="C3349" s="1">
        <v>46035.999988425923</v>
      </c>
      <c r="D3349">
        <v>25.154517263662001</v>
      </c>
      <c r="E3349">
        <v>480970.96495689999</v>
      </c>
      <c r="F3349" s="1">
        <v>46035.606319444443</v>
      </c>
      <c r="G3349">
        <v>52.873665815978299</v>
      </c>
      <c r="H3349" t="s">
        <v>31</v>
      </c>
      <c r="I3349" s="2"/>
      <c r="J3349" t="s">
        <v>16</v>
      </c>
      <c r="K3349">
        <v>577007.90534456098</v>
      </c>
      <c r="L3349" t="s">
        <v>17</v>
      </c>
      <c r="M3349">
        <v>0</v>
      </c>
      <c r="N3349">
        <v>0.83356044258992801</v>
      </c>
    </row>
    <row r="3350" spans="2:14" x14ac:dyDescent="0.25">
      <c r="B3350" t="s">
        <v>14</v>
      </c>
      <c r="C3350" s="1">
        <v>46034.999988425923</v>
      </c>
      <c r="D3350">
        <v>25.154517263662001</v>
      </c>
      <c r="E3350">
        <v>512332.048851659</v>
      </c>
      <c r="F3350" s="1">
        <v>46032.099108796298</v>
      </c>
      <c r="G3350">
        <v>52.873665815978299</v>
      </c>
      <c r="H3350" t="s">
        <v>31</v>
      </c>
      <c r="I3350" s="2"/>
      <c r="J3350" t="s">
        <v>16</v>
      </c>
      <c r="K3350">
        <v>577007.90534456098</v>
      </c>
      <c r="L3350" t="s">
        <v>17</v>
      </c>
      <c r="M3350">
        <v>31361.0838947593</v>
      </c>
      <c r="N3350">
        <v>0.88791166309189296</v>
      </c>
    </row>
    <row r="3351" spans="2:14" x14ac:dyDescent="0.25">
      <c r="B3351" t="s">
        <v>14</v>
      </c>
      <c r="C3351" s="1">
        <v>46033.999988425923</v>
      </c>
      <c r="D3351">
        <v>25.154517263662001</v>
      </c>
      <c r="E3351">
        <v>512332.048851659</v>
      </c>
      <c r="F3351" s="1">
        <v>46032.099108796298</v>
      </c>
      <c r="G3351">
        <v>52.873665815978299</v>
      </c>
      <c r="H3351" t="s">
        <v>31</v>
      </c>
      <c r="I3351" s="2"/>
      <c r="J3351" t="s">
        <v>16</v>
      </c>
      <c r="K3351">
        <v>577007.90534456098</v>
      </c>
      <c r="L3351" t="s">
        <v>17</v>
      </c>
      <c r="M3351">
        <v>0</v>
      </c>
      <c r="N3351">
        <v>0.88791166309189296</v>
      </c>
    </row>
    <row r="3352" spans="2:14" x14ac:dyDescent="0.25">
      <c r="B3352" t="s">
        <v>14</v>
      </c>
      <c r="C3352" s="1">
        <v>46032.999988425923</v>
      </c>
      <c r="D3352">
        <v>25.154517263662001</v>
      </c>
      <c r="E3352">
        <v>512332.048851659</v>
      </c>
      <c r="F3352" s="1">
        <v>46032.099108796298</v>
      </c>
      <c r="G3352">
        <v>52.873665815978299</v>
      </c>
      <c r="H3352" t="s">
        <v>31</v>
      </c>
      <c r="I3352" s="2"/>
      <c r="J3352" t="s">
        <v>16</v>
      </c>
      <c r="K3352">
        <v>577007.90534456098</v>
      </c>
      <c r="L3352" t="s">
        <v>17</v>
      </c>
      <c r="M3352">
        <v>0</v>
      </c>
      <c r="N3352">
        <v>0.88791166309189296</v>
      </c>
    </row>
    <row r="3353" spans="2:14" x14ac:dyDescent="0.25">
      <c r="B3353" t="s">
        <v>14</v>
      </c>
      <c r="C3353" s="1">
        <v>46031.999988425923</v>
      </c>
      <c r="D3353">
        <v>25.154517263662001</v>
      </c>
      <c r="E3353">
        <v>349980.04284644901</v>
      </c>
      <c r="F3353" s="1">
        <v>46029.605486111112</v>
      </c>
      <c r="G3353">
        <v>52.873665815978299</v>
      </c>
      <c r="H3353" t="s">
        <v>31</v>
      </c>
      <c r="I3353" s="2"/>
      <c r="J3353" t="s">
        <v>16</v>
      </c>
      <c r="K3353">
        <v>577007.90534456098</v>
      </c>
      <c r="L3353" t="s">
        <v>17</v>
      </c>
      <c r="M3353">
        <v>-162352.006005209</v>
      </c>
      <c r="N3353">
        <v>0.60654289066881695</v>
      </c>
    </row>
    <row r="3354" spans="2:14" x14ac:dyDescent="0.25">
      <c r="B3354" t="s">
        <v>14</v>
      </c>
      <c r="C3354" s="1">
        <v>46030.999988425923</v>
      </c>
      <c r="D3354">
        <v>25.154517263662001</v>
      </c>
      <c r="E3354">
        <v>349980.04284644901</v>
      </c>
      <c r="F3354" s="1">
        <v>46029.605486111112</v>
      </c>
      <c r="G3354">
        <v>52.873665815978299</v>
      </c>
      <c r="H3354" t="s">
        <v>31</v>
      </c>
      <c r="I3354" s="2"/>
      <c r="J3354" t="s">
        <v>16</v>
      </c>
      <c r="K3354">
        <v>577007.90534456098</v>
      </c>
      <c r="L3354" t="s">
        <v>17</v>
      </c>
      <c r="M3354">
        <v>0</v>
      </c>
      <c r="N3354">
        <v>0.60654289066881695</v>
      </c>
    </row>
    <row r="3355" spans="2:14" x14ac:dyDescent="0.25">
      <c r="B3355" t="s">
        <v>14</v>
      </c>
      <c r="C3355" s="1">
        <v>46029.999988425923</v>
      </c>
      <c r="D3355">
        <v>25.154517263662001</v>
      </c>
      <c r="E3355">
        <v>349980.04284644901</v>
      </c>
      <c r="F3355" s="1">
        <v>46029.605486111112</v>
      </c>
      <c r="G3355">
        <v>52.873665815978299</v>
      </c>
      <c r="H3355" t="s">
        <v>31</v>
      </c>
      <c r="I3355" s="2"/>
      <c r="J3355" t="s">
        <v>16</v>
      </c>
      <c r="K3355">
        <v>577007.90534456098</v>
      </c>
      <c r="L3355" t="s">
        <v>17</v>
      </c>
      <c r="M3355">
        <v>0</v>
      </c>
      <c r="N3355">
        <v>0.60654289066881695</v>
      </c>
    </row>
    <row r="3356" spans="2:14" x14ac:dyDescent="0.25">
      <c r="B3356" t="s">
        <v>14</v>
      </c>
      <c r="C3356" s="1">
        <v>46028.999988425923</v>
      </c>
      <c r="D3356">
        <v>25.154517263662001</v>
      </c>
      <c r="E3356">
        <v>88293.223871067807</v>
      </c>
      <c r="F3356" s="1">
        <v>46026.09983796296</v>
      </c>
      <c r="G3356">
        <v>52.873665815978299</v>
      </c>
      <c r="H3356" t="s">
        <v>31</v>
      </c>
      <c r="I3356" s="2"/>
      <c r="J3356" t="s">
        <v>16</v>
      </c>
      <c r="K3356">
        <v>577007.90534456098</v>
      </c>
      <c r="L3356" t="s">
        <v>17</v>
      </c>
      <c r="M3356">
        <v>-261686.818975381</v>
      </c>
      <c r="N3356">
        <v>0.15301908873907599</v>
      </c>
    </row>
    <row r="3357" spans="2:14" x14ac:dyDescent="0.25">
      <c r="B3357" t="s">
        <v>14</v>
      </c>
      <c r="C3357" s="1">
        <v>46027.999988425923</v>
      </c>
      <c r="D3357">
        <v>25.154517263662001</v>
      </c>
      <c r="E3357">
        <v>88293.223871067807</v>
      </c>
      <c r="F3357" s="1">
        <v>46026.09983796296</v>
      </c>
      <c r="G3357">
        <v>52.873665815978299</v>
      </c>
      <c r="H3357" t="s">
        <v>31</v>
      </c>
      <c r="I3357" s="2"/>
      <c r="J3357" t="s">
        <v>16</v>
      </c>
      <c r="K3357">
        <v>577007.90534456098</v>
      </c>
      <c r="L3357" t="s">
        <v>17</v>
      </c>
      <c r="M3357">
        <v>0</v>
      </c>
      <c r="N3357">
        <v>0.15301908873907599</v>
      </c>
    </row>
    <row r="3358" spans="2:14" x14ac:dyDescent="0.25">
      <c r="B3358" t="s">
        <v>14</v>
      </c>
      <c r="C3358" s="1">
        <v>46026.999988425923</v>
      </c>
      <c r="D3358">
        <v>25.154517263662001</v>
      </c>
      <c r="E3358">
        <v>88293.223871067807</v>
      </c>
      <c r="F3358" s="1">
        <v>46026.09983796296</v>
      </c>
      <c r="G3358">
        <v>52.873665815978299</v>
      </c>
      <c r="H3358" t="s">
        <v>31</v>
      </c>
      <c r="I3358" s="2"/>
      <c r="J3358" t="s">
        <v>16</v>
      </c>
      <c r="K3358">
        <v>577007.90534456098</v>
      </c>
      <c r="L3358" t="s">
        <v>17</v>
      </c>
      <c r="M3358">
        <v>0</v>
      </c>
      <c r="N3358">
        <v>0.15301908873907599</v>
      </c>
    </row>
    <row r="3359" spans="2:14" x14ac:dyDescent="0.25">
      <c r="B3359" t="s">
        <v>14</v>
      </c>
      <c r="C3359" s="1">
        <v>46025.999988425923</v>
      </c>
      <c r="D3359">
        <v>25.154517263662001</v>
      </c>
      <c r="E3359">
        <v>68137.328028227203</v>
      </c>
      <c r="F3359" s="1">
        <v>46023.60633101852</v>
      </c>
      <c r="G3359">
        <v>52.873665815978299</v>
      </c>
      <c r="H3359" t="s">
        <v>31</v>
      </c>
      <c r="I3359" s="2"/>
      <c r="J3359" t="s">
        <v>16</v>
      </c>
      <c r="K3359">
        <v>577007.90534456098</v>
      </c>
      <c r="L3359" t="s">
        <v>17</v>
      </c>
      <c r="M3359">
        <v>-20155.8958428406</v>
      </c>
      <c r="N3359">
        <v>0.118087338833839</v>
      </c>
    </row>
    <row r="3360" spans="2:14" x14ac:dyDescent="0.25">
      <c r="B3360" t="s">
        <v>14</v>
      </c>
      <c r="C3360" s="1">
        <v>46024.999988425923</v>
      </c>
      <c r="D3360">
        <v>25.154517263662001</v>
      </c>
      <c r="E3360">
        <v>68137.328028227203</v>
      </c>
      <c r="F3360" s="1">
        <v>46023.60633101852</v>
      </c>
      <c r="G3360">
        <v>52.873665815978299</v>
      </c>
      <c r="H3360" t="s">
        <v>31</v>
      </c>
      <c r="I3360" s="2"/>
      <c r="J3360" t="s">
        <v>16</v>
      </c>
      <c r="K3360">
        <v>577007.90534456098</v>
      </c>
      <c r="L3360" t="s">
        <v>17</v>
      </c>
      <c r="M3360">
        <v>0</v>
      </c>
      <c r="N3360">
        <v>0.118087338833839</v>
      </c>
    </row>
    <row r="3361" spans="2:14" x14ac:dyDescent="0.25">
      <c r="B3361" t="s">
        <v>14</v>
      </c>
      <c r="C3361" s="1">
        <v>46023.999988425923</v>
      </c>
      <c r="D3361">
        <v>25.154517263662001</v>
      </c>
      <c r="E3361">
        <v>68137.328028227203</v>
      </c>
      <c r="F3361" s="1">
        <v>46023.60633101852</v>
      </c>
      <c r="G3361">
        <v>52.873665815978299</v>
      </c>
      <c r="H3361" t="s">
        <v>31</v>
      </c>
      <c r="I3361" s="2"/>
      <c r="J3361" t="s">
        <v>16</v>
      </c>
      <c r="K3361">
        <v>577007.90534456098</v>
      </c>
      <c r="L3361" t="s">
        <v>17</v>
      </c>
      <c r="M3361">
        <v>0</v>
      </c>
      <c r="N3361">
        <v>0.118087338833839</v>
      </c>
    </row>
    <row r="3362" spans="2:14" x14ac:dyDescent="0.25">
      <c r="B3362" t="s">
        <v>14</v>
      </c>
      <c r="C3362" s="1">
        <v>46246.999988425923</v>
      </c>
      <c r="D3362">
        <v>25.154518501383201</v>
      </c>
      <c r="E3362">
        <v>39213.2230849349</v>
      </c>
      <c r="F3362" s="1">
        <v>46246.605821759258</v>
      </c>
      <c r="G3362">
        <v>52.874655869045299</v>
      </c>
      <c r="H3362" t="s">
        <v>32</v>
      </c>
      <c r="I3362" s="2"/>
      <c r="J3362" t="s">
        <v>16</v>
      </c>
      <c r="K3362">
        <v>577007.90534456098</v>
      </c>
      <c r="L3362" t="s">
        <v>17</v>
      </c>
      <c r="M3362">
        <v>0</v>
      </c>
      <c r="N3362">
        <v>6.7959594178382599E-2</v>
      </c>
    </row>
    <row r="3363" spans="2:14" x14ac:dyDescent="0.25">
      <c r="B3363" t="s">
        <v>14</v>
      </c>
      <c r="C3363" s="1">
        <v>46245.999988425923</v>
      </c>
      <c r="D3363">
        <v>25.154518501383201</v>
      </c>
      <c r="E3363">
        <v>51794.760537533897</v>
      </c>
      <c r="F3363" s="1">
        <v>46243.09915509259</v>
      </c>
      <c r="G3363">
        <v>52.874655869045299</v>
      </c>
      <c r="H3363" t="s">
        <v>32</v>
      </c>
      <c r="I3363" s="2"/>
      <c r="J3363" t="s">
        <v>16</v>
      </c>
      <c r="K3363">
        <v>577007.90534456098</v>
      </c>
      <c r="L3363" t="s">
        <v>17</v>
      </c>
      <c r="M3363">
        <v>12581.537452598899</v>
      </c>
      <c r="N3363">
        <v>8.9764386341647295E-2</v>
      </c>
    </row>
    <row r="3364" spans="2:14" x14ac:dyDescent="0.25">
      <c r="B3364" t="s">
        <v>14</v>
      </c>
      <c r="C3364" s="1">
        <v>46244.999988425923</v>
      </c>
      <c r="D3364">
        <v>25.154518501383201</v>
      </c>
      <c r="E3364">
        <v>51794.760537533897</v>
      </c>
      <c r="F3364" s="1">
        <v>46243.09915509259</v>
      </c>
      <c r="G3364">
        <v>52.874655869045299</v>
      </c>
      <c r="H3364" t="s">
        <v>32</v>
      </c>
      <c r="I3364" s="2"/>
      <c r="J3364" t="s">
        <v>16</v>
      </c>
      <c r="K3364">
        <v>577007.90534456098</v>
      </c>
      <c r="L3364" t="s">
        <v>17</v>
      </c>
      <c r="M3364">
        <v>0</v>
      </c>
      <c r="N3364">
        <v>8.9764386341647295E-2</v>
      </c>
    </row>
    <row r="3365" spans="2:14" x14ac:dyDescent="0.25">
      <c r="B3365" t="s">
        <v>14</v>
      </c>
      <c r="C3365" s="1">
        <v>46243.999988425923</v>
      </c>
      <c r="D3365">
        <v>25.154518501383201</v>
      </c>
      <c r="E3365">
        <v>51794.760537533897</v>
      </c>
      <c r="F3365" s="1">
        <v>46243.09915509259</v>
      </c>
      <c r="G3365">
        <v>52.874655869045299</v>
      </c>
      <c r="H3365" t="s">
        <v>32</v>
      </c>
      <c r="I3365" s="2"/>
      <c r="J3365" t="s">
        <v>16</v>
      </c>
      <c r="K3365">
        <v>577007.90534456098</v>
      </c>
      <c r="L3365" t="s">
        <v>17</v>
      </c>
      <c r="M3365">
        <v>0</v>
      </c>
      <c r="N3365">
        <v>8.9764386341647295E-2</v>
      </c>
    </row>
    <row r="3366" spans="2:14" x14ac:dyDescent="0.25">
      <c r="B3366" t="s">
        <v>14</v>
      </c>
      <c r="C3366" s="1">
        <v>46242.999988425923</v>
      </c>
      <c r="D3366">
        <v>25.154518501383201</v>
      </c>
      <c r="E3366">
        <v>38191.688535285102</v>
      </c>
      <c r="F3366" s="1">
        <v>46240.605520833335</v>
      </c>
      <c r="G3366">
        <v>52.874655869045299</v>
      </c>
      <c r="H3366" t="s">
        <v>32</v>
      </c>
      <c r="I3366" s="2"/>
      <c r="J3366" t="s">
        <v>16</v>
      </c>
      <c r="K3366">
        <v>577007.90534456098</v>
      </c>
      <c r="L3366" t="s">
        <v>17</v>
      </c>
      <c r="M3366">
        <v>-13603.0720022487</v>
      </c>
      <c r="N3366">
        <v>6.6189194604671694E-2</v>
      </c>
    </row>
    <row r="3367" spans="2:14" x14ac:dyDescent="0.25">
      <c r="B3367" t="s">
        <v>14</v>
      </c>
      <c r="C3367" s="1">
        <v>46241.999988425923</v>
      </c>
      <c r="D3367">
        <v>25.154518501383201</v>
      </c>
      <c r="E3367">
        <v>38191.688535285102</v>
      </c>
      <c r="F3367" s="1">
        <v>46240.605520833335</v>
      </c>
      <c r="G3367">
        <v>52.874655869045299</v>
      </c>
      <c r="H3367" t="s">
        <v>32</v>
      </c>
      <c r="I3367" s="2"/>
      <c r="J3367" t="s">
        <v>16</v>
      </c>
      <c r="K3367">
        <v>577007.90534456098</v>
      </c>
      <c r="L3367" t="s">
        <v>17</v>
      </c>
      <c r="M3367">
        <v>0</v>
      </c>
      <c r="N3367">
        <v>6.6189194604671694E-2</v>
      </c>
    </row>
    <row r="3368" spans="2:14" x14ac:dyDescent="0.25">
      <c r="B3368" t="s">
        <v>14</v>
      </c>
      <c r="C3368" s="1">
        <v>46240.999988425923</v>
      </c>
      <c r="D3368">
        <v>25.154518501383201</v>
      </c>
      <c r="E3368">
        <v>38191.688535285102</v>
      </c>
      <c r="F3368" s="1">
        <v>46240.605520833335</v>
      </c>
      <c r="G3368">
        <v>52.874655869045299</v>
      </c>
      <c r="H3368" t="s">
        <v>32</v>
      </c>
      <c r="I3368" s="2"/>
      <c r="J3368" t="s">
        <v>16</v>
      </c>
      <c r="K3368">
        <v>577007.90534456098</v>
      </c>
      <c r="L3368" t="s">
        <v>17</v>
      </c>
      <c r="M3368">
        <v>0</v>
      </c>
      <c r="N3368">
        <v>6.6189194604671694E-2</v>
      </c>
    </row>
    <row r="3369" spans="2:14" x14ac:dyDescent="0.25">
      <c r="B3369" t="s">
        <v>14</v>
      </c>
      <c r="C3369" s="1">
        <v>46239.999988425923</v>
      </c>
      <c r="D3369">
        <v>25.154518501383201</v>
      </c>
      <c r="E3369">
        <v>54637.285654611798</v>
      </c>
      <c r="F3369" s="1">
        <v>46237.099328703705</v>
      </c>
      <c r="G3369">
        <v>52.874655869045299</v>
      </c>
      <c r="H3369" t="s">
        <v>32</v>
      </c>
      <c r="I3369" s="2"/>
      <c r="J3369" t="s">
        <v>16</v>
      </c>
      <c r="K3369">
        <v>577007.90534456098</v>
      </c>
      <c r="L3369" t="s">
        <v>17</v>
      </c>
      <c r="M3369">
        <v>16445.5971193267</v>
      </c>
      <c r="N3369">
        <v>9.4690705531989397E-2</v>
      </c>
    </row>
    <row r="3370" spans="2:14" x14ac:dyDescent="0.25">
      <c r="B3370" t="s">
        <v>14</v>
      </c>
      <c r="C3370" s="1">
        <v>46238.999988425923</v>
      </c>
      <c r="D3370">
        <v>25.154518501383201</v>
      </c>
      <c r="E3370">
        <v>54637.285654611798</v>
      </c>
      <c r="F3370" s="1">
        <v>46237.099328703705</v>
      </c>
      <c r="G3370">
        <v>52.874655869045299</v>
      </c>
      <c r="H3370" t="s">
        <v>32</v>
      </c>
      <c r="I3370" s="2"/>
      <c r="J3370" t="s">
        <v>16</v>
      </c>
      <c r="K3370">
        <v>577007.90534456098</v>
      </c>
      <c r="L3370" t="s">
        <v>17</v>
      </c>
      <c r="M3370">
        <v>0</v>
      </c>
      <c r="N3370">
        <v>9.4690705531989397E-2</v>
      </c>
    </row>
    <row r="3371" spans="2:14" x14ac:dyDescent="0.25">
      <c r="B3371" t="s">
        <v>14</v>
      </c>
      <c r="C3371" s="1">
        <v>46237.999988425923</v>
      </c>
      <c r="D3371">
        <v>25.154518501383201</v>
      </c>
      <c r="E3371">
        <v>54637.285654611798</v>
      </c>
      <c r="F3371" s="1">
        <v>46237.099328703705</v>
      </c>
      <c r="G3371">
        <v>52.874655869045299</v>
      </c>
      <c r="H3371" t="s">
        <v>32</v>
      </c>
      <c r="I3371" s="2"/>
      <c r="J3371" t="s">
        <v>16</v>
      </c>
      <c r="K3371">
        <v>577007.90534456098</v>
      </c>
      <c r="L3371" t="s">
        <v>17</v>
      </c>
      <c r="M3371">
        <v>0</v>
      </c>
      <c r="N3371">
        <v>9.4690705531989397E-2</v>
      </c>
    </row>
    <row r="3372" spans="2:14" x14ac:dyDescent="0.25">
      <c r="B3372" t="s">
        <v>14</v>
      </c>
      <c r="C3372" s="1">
        <v>46236.999988425923</v>
      </c>
      <c r="D3372">
        <v>25.154518501383201</v>
      </c>
      <c r="E3372">
        <v>39799.657353761402</v>
      </c>
      <c r="F3372" s="1">
        <v>46234.605810185189</v>
      </c>
      <c r="G3372">
        <v>52.874655869045299</v>
      </c>
      <c r="H3372" t="s">
        <v>32</v>
      </c>
      <c r="I3372" s="2"/>
      <c r="J3372" t="s">
        <v>16</v>
      </c>
      <c r="K3372">
        <v>577007.90534456098</v>
      </c>
      <c r="L3372" t="s">
        <v>17</v>
      </c>
      <c r="M3372">
        <v>-14837.6283008503</v>
      </c>
      <c r="N3372">
        <v>6.8975930806346605E-2</v>
      </c>
    </row>
    <row r="3373" spans="2:14" x14ac:dyDescent="0.25">
      <c r="B3373" t="s">
        <v>14</v>
      </c>
      <c r="C3373" s="1">
        <v>46235.999988425923</v>
      </c>
      <c r="D3373">
        <v>25.154518501383201</v>
      </c>
      <c r="E3373">
        <v>39799.657353761402</v>
      </c>
      <c r="F3373" s="1">
        <v>46234.605810185189</v>
      </c>
      <c r="G3373">
        <v>52.874655869045299</v>
      </c>
      <c r="H3373" t="s">
        <v>32</v>
      </c>
      <c r="I3373" s="2"/>
      <c r="J3373" t="s">
        <v>16</v>
      </c>
      <c r="K3373">
        <v>577007.90534456098</v>
      </c>
      <c r="L3373" t="s">
        <v>17</v>
      </c>
      <c r="M3373">
        <v>0</v>
      </c>
      <c r="N3373">
        <v>6.8975930806346605E-2</v>
      </c>
    </row>
    <row r="3374" spans="2:14" x14ac:dyDescent="0.25">
      <c r="B3374" t="s">
        <v>14</v>
      </c>
      <c r="C3374" s="1">
        <v>46234.999988425923</v>
      </c>
      <c r="D3374">
        <v>25.154518501383201</v>
      </c>
      <c r="E3374">
        <v>39799.657353761402</v>
      </c>
      <c r="F3374" s="1">
        <v>46234.605810185189</v>
      </c>
      <c r="G3374">
        <v>52.874655869045299</v>
      </c>
      <c r="H3374" t="s">
        <v>32</v>
      </c>
      <c r="I3374" s="2"/>
      <c r="J3374" t="s">
        <v>16</v>
      </c>
      <c r="K3374">
        <v>577007.90534456098</v>
      </c>
      <c r="L3374" t="s">
        <v>17</v>
      </c>
      <c r="M3374">
        <v>0</v>
      </c>
      <c r="N3374">
        <v>6.8975930806346605E-2</v>
      </c>
    </row>
    <row r="3375" spans="2:14" x14ac:dyDescent="0.25">
      <c r="B3375" t="s">
        <v>14</v>
      </c>
      <c r="C3375" s="1">
        <v>46233.999988425923</v>
      </c>
      <c r="D3375">
        <v>25.154518501383201</v>
      </c>
      <c r="E3375">
        <v>52075.793073382403</v>
      </c>
      <c r="F3375" s="1">
        <v>46231.09915509259</v>
      </c>
      <c r="G3375">
        <v>52.874655869045299</v>
      </c>
      <c r="H3375" t="s">
        <v>32</v>
      </c>
      <c r="I3375" s="2"/>
      <c r="J3375" t="s">
        <v>16</v>
      </c>
      <c r="K3375">
        <v>577007.90534456098</v>
      </c>
      <c r="L3375" t="s">
        <v>17</v>
      </c>
      <c r="M3375">
        <v>12276.135719620899</v>
      </c>
      <c r="N3375">
        <v>9.0251437789721903E-2</v>
      </c>
    </row>
    <row r="3376" spans="2:14" x14ac:dyDescent="0.25">
      <c r="B3376" t="s">
        <v>14</v>
      </c>
      <c r="C3376" s="1">
        <v>46232.999988425923</v>
      </c>
      <c r="D3376">
        <v>25.154518501383201</v>
      </c>
      <c r="E3376">
        <v>52075.793073382403</v>
      </c>
      <c r="F3376" s="1">
        <v>46231.09915509259</v>
      </c>
      <c r="G3376">
        <v>52.874655869045299</v>
      </c>
      <c r="H3376" t="s">
        <v>32</v>
      </c>
      <c r="I3376" s="2"/>
      <c r="J3376" t="s">
        <v>16</v>
      </c>
      <c r="K3376">
        <v>577007.90534456098</v>
      </c>
      <c r="L3376" t="s">
        <v>17</v>
      </c>
      <c r="M3376">
        <v>0</v>
      </c>
      <c r="N3376">
        <v>9.0251437789721903E-2</v>
      </c>
    </row>
    <row r="3377" spans="2:14" x14ac:dyDescent="0.25">
      <c r="B3377" t="s">
        <v>14</v>
      </c>
      <c r="C3377" s="1">
        <v>46231.999988425923</v>
      </c>
      <c r="D3377">
        <v>25.154518501383201</v>
      </c>
      <c r="E3377">
        <v>52075.793073382403</v>
      </c>
      <c r="F3377" s="1">
        <v>46231.09915509259</v>
      </c>
      <c r="G3377">
        <v>52.874655869045299</v>
      </c>
      <c r="H3377" t="s">
        <v>32</v>
      </c>
      <c r="I3377" s="2"/>
      <c r="J3377" t="s">
        <v>16</v>
      </c>
      <c r="K3377">
        <v>577007.90534456098</v>
      </c>
      <c r="L3377" t="s">
        <v>17</v>
      </c>
      <c r="M3377">
        <v>0</v>
      </c>
      <c r="N3377">
        <v>9.0251437789721903E-2</v>
      </c>
    </row>
    <row r="3378" spans="2:14" x14ac:dyDescent="0.25">
      <c r="B3378" t="s">
        <v>14</v>
      </c>
      <c r="C3378" s="1">
        <v>46230.999988425923</v>
      </c>
      <c r="D3378">
        <v>25.154518501383201</v>
      </c>
      <c r="E3378">
        <v>35140.266678371801</v>
      </c>
      <c r="F3378" s="1">
        <v>46228.605520833335</v>
      </c>
      <c r="G3378">
        <v>52.874655869045299</v>
      </c>
      <c r="H3378" t="s">
        <v>32</v>
      </c>
      <c r="I3378" s="2"/>
      <c r="J3378" t="s">
        <v>16</v>
      </c>
      <c r="K3378">
        <v>577007.90534456098</v>
      </c>
      <c r="L3378" t="s">
        <v>17</v>
      </c>
      <c r="M3378">
        <v>-16935.526395010598</v>
      </c>
      <c r="N3378">
        <v>6.0900840964020597E-2</v>
      </c>
    </row>
    <row r="3379" spans="2:14" x14ac:dyDescent="0.25">
      <c r="B3379" t="s">
        <v>14</v>
      </c>
      <c r="C3379" s="1">
        <v>46229.999988425923</v>
      </c>
      <c r="D3379">
        <v>25.154518501383201</v>
      </c>
      <c r="E3379">
        <v>35140.266678371801</v>
      </c>
      <c r="F3379" s="1">
        <v>46228.605520833335</v>
      </c>
      <c r="G3379">
        <v>52.874655869045299</v>
      </c>
      <c r="H3379" t="s">
        <v>32</v>
      </c>
      <c r="I3379" s="2"/>
      <c r="J3379" t="s">
        <v>16</v>
      </c>
      <c r="K3379">
        <v>577007.90534456098</v>
      </c>
      <c r="L3379" t="s">
        <v>17</v>
      </c>
      <c r="M3379">
        <v>0</v>
      </c>
      <c r="N3379">
        <v>6.0900840964020597E-2</v>
      </c>
    </row>
    <row r="3380" spans="2:14" x14ac:dyDescent="0.25">
      <c r="B3380" t="s">
        <v>14</v>
      </c>
      <c r="C3380" s="1">
        <v>46228.999988425923</v>
      </c>
      <c r="D3380">
        <v>25.154518501383201</v>
      </c>
      <c r="E3380">
        <v>35140.266678371801</v>
      </c>
      <c r="F3380" s="1">
        <v>46228.605520833335</v>
      </c>
      <c r="G3380">
        <v>52.874655869045299</v>
      </c>
      <c r="H3380" t="s">
        <v>32</v>
      </c>
      <c r="I3380" s="2"/>
      <c r="J3380" t="s">
        <v>16</v>
      </c>
      <c r="K3380">
        <v>577007.90534456098</v>
      </c>
      <c r="L3380" t="s">
        <v>17</v>
      </c>
      <c r="M3380">
        <v>0</v>
      </c>
      <c r="N3380">
        <v>6.0900840964020597E-2</v>
      </c>
    </row>
    <row r="3381" spans="2:14" x14ac:dyDescent="0.25">
      <c r="B3381" t="s">
        <v>14</v>
      </c>
      <c r="C3381" s="1">
        <v>46227.999988425923</v>
      </c>
      <c r="D3381">
        <v>25.154518501383201</v>
      </c>
      <c r="E3381">
        <v>55402.336166708497</v>
      </c>
      <c r="F3381" s="1">
        <v>46225.099317129629</v>
      </c>
      <c r="G3381">
        <v>52.874655869045299</v>
      </c>
      <c r="H3381" t="s">
        <v>32</v>
      </c>
      <c r="I3381" s="2"/>
      <c r="J3381" t="s">
        <v>16</v>
      </c>
      <c r="K3381">
        <v>577007.90534456098</v>
      </c>
      <c r="L3381" t="s">
        <v>17</v>
      </c>
      <c r="M3381">
        <v>20262.069488336601</v>
      </c>
      <c r="N3381">
        <v>9.6016598132437805E-2</v>
      </c>
    </row>
    <row r="3382" spans="2:14" x14ac:dyDescent="0.25">
      <c r="B3382" t="s">
        <v>14</v>
      </c>
      <c r="C3382" s="1">
        <v>46226.999988425923</v>
      </c>
      <c r="D3382">
        <v>25.154518501383201</v>
      </c>
      <c r="E3382">
        <v>55402.336166708497</v>
      </c>
      <c r="F3382" s="1">
        <v>46225.099317129629</v>
      </c>
      <c r="G3382">
        <v>52.874655869045299</v>
      </c>
      <c r="H3382" t="s">
        <v>32</v>
      </c>
      <c r="I3382" s="2"/>
      <c r="J3382" t="s">
        <v>16</v>
      </c>
      <c r="K3382">
        <v>577007.90534456098</v>
      </c>
      <c r="L3382" t="s">
        <v>17</v>
      </c>
      <c r="M3382">
        <v>0</v>
      </c>
      <c r="N3382">
        <v>9.6016598132437805E-2</v>
      </c>
    </row>
    <row r="3383" spans="2:14" x14ac:dyDescent="0.25">
      <c r="B3383" t="s">
        <v>14</v>
      </c>
      <c r="C3383" s="1">
        <v>46225.999988425923</v>
      </c>
      <c r="D3383">
        <v>25.154518501383201</v>
      </c>
      <c r="E3383">
        <v>55402.336166708497</v>
      </c>
      <c r="F3383" s="1">
        <v>46225.099317129629</v>
      </c>
      <c r="G3383">
        <v>52.874655869045299</v>
      </c>
      <c r="H3383" t="s">
        <v>32</v>
      </c>
      <c r="I3383" s="2"/>
      <c r="J3383" t="s">
        <v>16</v>
      </c>
      <c r="K3383">
        <v>577007.90534456098</v>
      </c>
      <c r="L3383" t="s">
        <v>17</v>
      </c>
      <c r="M3383">
        <v>0</v>
      </c>
      <c r="N3383">
        <v>9.6016598132437805E-2</v>
      </c>
    </row>
    <row r="3384" spans="2:14" x14ac:dyDescent="0.25">
      <c r="B3384" t="s">
        <v>14</v>
      </c>
      <c r="C3384" s="1">
        <v>46224.999988425923</v>
      </c>
      <c r="D3384">
        <v>25.154518501383201</v>
      </c>
      <c r="E3384">
        <v>44997.468636609701</v>
      </c>
      <c r="F3384" s="1">
        <v>46222.605810185189</v>
      </c>
      <c r="G3384">
        <v>52.874655869045299</v>
      </c>
      <c r="H3384" t="s">
        <v>32</v>
      </c>
      <c r="I3384" s="2"/>
      <c r="J3384" t="s">
        <v>16</v>
      </c>
      <c r="K3384">
        <v>577007.90534456098</v>
      </c>
      <c r="L3384" t="s">
        <v>17</v>
      </c>
      <c r="M3384">
        <v>-10404.8675300987</v>
      </c>
      <c r="N3384">
        <v>7.7984145832004498E-2</v>
      </c>
    </row>
    <row r="3385" spans="2:14" x14ac:dyDescent="0.25">
      <c r="B3385" t="s">
        <v>14</v>
      </c>
      <c r="C3385" s="1">
        <v>46223.999988425923</v>
      </c>
      <c r="D3385">
        <v>25.154518501383201</v>
      </c>
      <c r="E3385">
        <v>44997.468636609701</v>
      </c>
      <c r="F3385" s="1">
        <v>46222.605810185189</v>
      </c>
      <c r="G3385">
        <v>52.874655869045299</v>
      </c>
      <c r="H3385" t="s">
        <v>32</v>
      </c>
      <c r="I3385" s="2"/>
      <c r="J3385" t="s">
        <v>16</v>
      </c>
      <c r="K3385">
        <v>577007.90534456098</v>
      </c>
      <c r="L3385" t="s">
        <v>17</v>
      </c>
      <c r="M3385">
        <v>0</v>
      </c>
      <c r="N3385">
        <v>7.7984145832004498E-2</v>
      </c>
    </row>
    <row r="3386" spans="2:14" x14ac:dyDescent="0.25">
      <c r="B3386" t="s">
        <v>14</v>
      </c>
      <c r="C3386" s="1">
        <v>46222.999988425923</v>
      </c>
      <c r="D3386">
        <v>25.154518501383201</v>
      </c>
      <c r="E3386">
        <v>44997.468636609701</v>
      </c>
      <c r="F3386" s="1">
        <v>46222.605810185189</v>
      </c>
      <c r="G3386">
        <v>52.874655869045299</v>
      </c>
      <c r="H3386" t="s">
        <v>32</v>
      </c>
      <c r="I3386" s="2"/>
      <c r="J3386" t="s">
        <v>16</v>
      </c>
      <c r="K3386">
        <v>577007.90534456098</v>
      </c>
      <c r="L3386" t="s">
        <v>17</v>
      </c>
      <c r="M3386">
        <v>0</v>
      </c>
      <c r="N3386">
        <v>7.7984145832004498E-2</v>
      </c>
    </row>
    <row r="3387" spans="2:14" x14ac:dyDescent="0.25">
      <c r="B3387" t="s">
        <v>14</v>
      </c>
      <c r="C3387" s="1">
        <v>46221.999988425923</v>
      </c>
      <c r="D3387">
        <v>25.154518501383201</v>
      </c>
      <c r="E3387">
        <v>48307.932932969998</v>
      </c>
      <c r="F3387" s="1">
        <v>46219.099143518521</v>
      </c>
      <c r="G3387">
        <v>52.874655869045299</v>
      </c>
      <c r="H3387" t="s">
        <v>32</v>
      </c>
      <c r="I3387" s="2"/>
      <c r="J3387" t="s">
        <v>16</v>
      </c>
      <c r="K3387">
        <v>577007.90534456098</v>
      </c>
      <c r="L3387" t="s">
        <v>17</v>
      </c>
      <c r="M3387">
        <v>3310.4642963602601</v>
      </c>
      <c r="N3387">
        <v>8.3721440357256094E-2</v>
      </c>
    </row>
    <row r="3388" spans="2:14" x14ac:dyDescent="0.25">
      <c r="B3388" t="s">
        <v>14</v>
      </c>
      <c r="C3388" s="1">
        <v>46220.999988425923</v>
      </c>
      <c r="D3388">
        <v>25.154518501383201</v>
      </c>
      <c r="E3388">
        <v>48307.932932969998</v>
      </c>
      <c r="F3388" s="1">
        <v>46219.099143518521</v>
      </c>
      <c r="G3388">
        <v>52.874655869045299</v>
      </c>
      <c r="H3388" t="s">
        <v>32</v>
      </c>
      <c r="I3388" s="2"/>
      <c r="J3388" t="s">
        <v>16</v>
      </c>
      <c r="K3388">
        <v>577007.90534456098</v>
      </c>
      <c r="L3388" t="s">
        <v>17</v>
      </c>
      <c r="M3388">
        <v>0</v>
      </c>
      <c r="N3388">
        <v>8.3721440357256094E-2</v>
      </c>
    </row>
    <row r="3389" spans="2:14" x14ac:dyDescent="0.25">
      <c r="B3389" t="s">
        <v>14</v>
      </c>
      <c r="C3389" s="1">
        <v>46219.999988425923</v>
      </c>
      <c r="D3389">
        <v>25.154518501383201</v>
      </c>
      <c r="E3389">
        <v>48307.932932969998</v>
      </c>
      <c r="F3389" s="1">
        <v>46219.099143518521</v>
      </c>
      <c r="G3389">
        <v>52.874655869045299</v>
      </c>
      <c r="H3389" t="s">
        <v>32</v>
      </c>
      <c r="I3389" s="2"/>
      <c r="J3389" t="s">
        <v>16</v>
      </c>
      <c r="K3389">
        <v>577007.90534456098</v>
      </c>
      <c r="L3389" t="s">
        <v>17</v>
      </c>
      <c r="M3389">
        <v>0</v>
      </c>
      <c r="N3389">
        <v>8.3721440357256094E-2</v>
      </c>
    </row>
    <row r="3390" spans="2:14" x14ac:dyDescent="0.25">
      <c r="B3390" t="s">
        <v>14</v>
      </c>
      <c r="C3390" s="1">
        <v>46218.999988425923</v>
      </c>
      <c r="D3390">
        <v>25.154518501383201</v>
      </c>
      <c r="E3390">
        <v>41264.168334457303</v>
      </c>
      <c r="F3390" s="1">
        <v>46216.605509259258</v>
      </c>
      <c r="G3390">
        <v>52.874655869045299</v>
      </c>
      <c r="H3390" t="s">
        <v>32</v>
      </c>
      <c r="I3390" s="2"/>
      <c r="J3390" t="s">
        <v>16</v>
      </c>
      <c r="K3390">
        <v>577007.90534456098</v>
      </c>
      <c r="L3390" t="s">
        <v>17</v>
      </c>
      <c r="M3390">
        <v>-7043.7645985126701</v>
      </c>
      <c r="N3390">
        <v>7.1514043312485204E-2</v>
      </c>
    </row>
    <row r="3391" spans="2:14" x14ac:dyDescent="0.25">
      <c r="B3391" t="s">
        <v>14</v>
      </c>
      <c r="C3391" s="1">
        <v>46217.999988425923</v>
      </c>
      <c r="D3391">
        <v>25.154518501383201</v>
      </c>
      <c r="E3391">
        <v>41264.168334457303</v>
      </c>
      <c r="F3391" s="1">
        <v>46216.605509259258</v>
      </c>
      <c r="G3391">
        <v>52.874655869045299</v>
      </c>
      <c r="H3391" t="s">
        <v>32</v>
      </c>
      <c r="I3391" s="2"/>
      <c r="J3391" t="s">
        <v>16</v>
      </c>
      <c r="K3391">
        <v>577007.90534456098</v>
      </c>
      <c r="L3391" t="s">
        <v>17</v>
      </c>
      <c r="M3391">
        <v>0</v>
      </c>
      <c r="N3391">
        <v>7.1514043312485204E-2</v>
      </c>
    </row>
    <row r="3392" spans="2:14" x14ac:dyDescent="0.25">
      <c r="B3392" t="s">
        <v>14</v>
      </c>
      <c r="C3392" s="1">
        <v>46216.999988425923</v>
      </c>
      <c r="D3392">
        <v>25.154518501383201</v>
      </c>
      <c r="E3392">
        <v>41264.168334457303</v>
      </c>
      <c r="F3392" s="1">
        <v>46216.605509259258</v>
      </c>
      <c r="G3392">
        <v>52.874655869045299</v>
      </c>
      <c r="H3392" t="s">
        <v>32</v>
      </c>
      <c r="I3392" s="2"/>
      <c r="J3392" t="s">
        <v>16</v>
      </c>
      <c r="K3392">
        <v>577007.90534456098</v>
      </c>
      <c r="L3392" t="s">
        <v>17</v>
      </c>
      <c r="M3392">
        <v>0</v>
      </c>
      <c r="N3392">
        <v>7.1514043312485204E-2</v>
      </c>
    </row>
    <row r="3393" spans="2:14" x14ac:dyDescent="0.25">
      <c r="B3393" t="s">
        <v>14</v>
      </c>
      <c r="C3393" s="1">
        <v>46215.999988425923</v>
      </c>
      <c r="D3393">
        <v>25.154518501383201</v>
      </c>
      <c r="E3393">
        <v>58070.914060756797</v>
      </c>
      <c r="F3393" s="1">
        <v>46213.099305555559</v>
      </c>
      <c r="G3393">
        <v>52.874655869045299</v>
      </c>
      <c r="H3393" t="s">
        <v>32</v>
      </c>
      <c r="I3393" s="2"/>
      <c r="J3393" t="s">
        <v>16</v>
      </c>
      <c r="K3393">
        <v>577007.90534456098</v>
      </c>
      <c r="L3393" t="s">
        <v>17</v>
      </c>
      <c r="M3393">
        <v>16806.745726299399</v>
      </c>
      <c r="N3393">
        <v>0.10064145312893</v>
      </c>
    </row>
    <row r="3394" spans="2:14" x14ac:dyDescent="0.25">
      <c r="B3394" t="s">
        <v>14</v>
      </c>
      <c r="C3394" s="1">
        <v>46214.999988425923</v>
      </c>
      <c r="D3394">
        <v>25.154518501383201</v>
      </c>
      <c r="E3394">
        <v>58070.914060756797</v>
      </c>
      <c r="F3394" s="1">
        <v>46213.099305555559</v>
      </c>
      <c r="G3394">
        <v>52.874655869045299</v>
      </c>
      <c r="H3394" t="s">
        <v>32</v>
      </c>
      <c r="I3394" s="2"/>
      <c r="J3394" t="s">
        <v>16</v>
      </c>
      <c r="K3394">
        <v>577007.90534456098</v>
      </c>
      <c r="L3394" t="s">
        <v>17</v>
      </c>
      <c r="M3394">
        <v>0</v>
      </c>
      <c r="N3394">
        <v>0.10064145312893</v>
      </c>
    </row>
    <row r="3395" spans="2:14" x14ac:dyDescent="0.25">
      <c r="B3395" t="s">
        <v>14</v>
      </c>
      <c r="C3395" s="1">
        <v>46213.999988425923</v>
      </c>
      <c r="D3395">
        <v>25.154518501383201</v>
      </c>
      <c r="E3395">
        <v>58070.914060756797</v>
      </c>
      <c r="F3395" s="1">
        <v>46213.099305555559</v>
      </c>
      <c r="G3395">
        <v>52.874655869045299</v>
      </c>
      <c r="H3395" t="s">
        <v>32</v>
      </c>
      <c r="I3395" s="2"/>
      <c r="J3395" t="s">
        <v>16</v>
      </c>
      <c r="K3395">
        <v>577007.90534456098</v>
      </c>
      <c r="L3395" t="s">
        <v>17</v>
      </c>
      <c r="M3395">
        <v>0</v>
      </c>
      <c r="N3395">
        <v>0.10064145312893</v>
      </c>
    </row>
    <row r="3396" spans="2:14" x14ac:dyDescent="0.25">
      <c r="B3396" t="s">
        <v>14</v>
      </c>
      <c r="C3396" s="1">
        <v>46212.999988425923</v>
      </c>
      <c r="D3396">
        <v>25.154518501383201</v>
      </c>
      <c r="E3396">
        <v>43708.909970548397</v>
      </c>
      <c r="F3396" s="1">
        <v>46210.605798611112</v>
      </c>
      <c r="G3396">
        <v>52.874655869045299</v>
      </c>
      <c r="H3396" t="s">
        <v>32</v>
      </c>
      <c r="I3396" s="2"/>
      <c r="J3396" t="s">
        <v>16</v>
      </c>
      <c r="K3396">
        <v>577007.90534456098</v>
      </c>
      <c r="L3396" t="s">
        <v>17</v>
      </c>
      <c r="M3396">
        <v>-14362.0040902083</v>
      </c>
      <c r="N3396">
        <v>7.5750972500883806E-2</v>
      </c>
    </row>
    <row r="3397" spans="2:14" x14ac:dyDescent="0.25">
      <c r="B3397" t="s">
        <v>14</v>
      </c>
      <c r="C3397" s="1">
        <v>46211.999988425923</v>
      </c>
      <c r="D3397">
        <v>25.154518501383201</v>
      </c>
      <c r="E3397">
        <v>43708.909970548397</v>
      </c>
      <c r="F3397" s="1">
        <v>46210.605798611112</v>
      </c>
      <c r="G3397">
        <v>52.874655869045299</v>
      </c>
      <c r="H3397" t="s">
        <v>32</v>
      </c>
      <c r="I3397" s="2"/>
      <c r="J3397" t="s">
        <v>16</v>
      </c>
      <c r="K3397">
        <v>577007.90534456098</v>
      </c>
      <c r="L3397" t="s">
        <v>17</v>
      </c>
      <c r="M3397">
        <v>0</v>
      </c>
      <c r="N3397">
        <v>7.5750972500883806E-2</v>
      </c>
    </row>
    <row r="3398" spans="2:14" x14ac:dyDescent="0.25">
      <c r="B3398" t="s">
        <v>14</v>
      </c>
      <c r="C3398" s="1">
        <v>46210.999988425923</v>
      </c>
      <c r="D3398">
        <v>25.154518501383201</v>
      </c>
      <c r="E3398">
        <v>43708.909970548397</v>
      </c>
      <c r="F3398" s="1">
        <v>46210.605798611112</v>
      </c>
      <c r="G3398">
        <v>52.874655869045299</v>
      </c>
      <c r="H3398" t="s">
        <v>32</v>
      </c>
      <c r="I3398" s="2"/>
      <c r="J3398" t="s">
        <v>16</v>
      </c>
      <c r="K3398">
        <v>577007.90534456098</v>
      </c>
      <c r="L3398" t="s">
        <v>17</v>
      </c>
      <c r="M3398">
        <v>0</v>
      </c>
      <c r="N3398">
        <v>7.5750972500883806E-2</v>
      </c>
    </row>
    <row r="3399" spans="2:14" x14ac:dyDescent="0.25">
      <c r="B3399" t="s">
        <v>14</v>
      </c>
      <c r="C3399" s="1">
        <v>46209.999988425923</v>
      </c>
      <c r="D3399">
        <v>25.154518501383201</v>
      </c>
      <c r="E3399">
        <v>49499.152219500596</v>
      </c>
      <c r="F3399" s="1">
        <v>46207.099131944444</v>
      </c>
      <c r="G3399">
        <v>52.874655869045299</v>
      </c>
      <c r="H3399" t="s">
        <v>32</v>
      </c>
      <c r="I3399" s="2"/>
      <c r="J3399" t="s">
        <v>16</v>
      </c>
      <c r="K3399">
        <v>577007.90534456098</v>
      </c>
      <c r="L3399" t="s">
        <v>17</v>
      </c>
      <c r="M3399">
        <v>5790.2422489521496</v>
      </c>
      <c r="N3399">
        <v>8.5785916901679304E-2</v>
      </c>
    </row>
    <row r="3400" spans="2:14" x14ac:dyDescent="0.25">
      <c r="B3400" t="s">
        <v>14</v>
      </c>
      <c r="C3400" s="1">
        <v>46208.999988425923</v>
      </c>
      <c r="D3400">
        <v>25.154518501383201</v>
      </c>
      <c r="E3400">
        <v>49499.152219500596</v>
      </c>
      <c r="F3400" s="1">
        <v>46207.099131944444</v>
      </c>
      <c r="G3400">
        <v>52.874655869045299</v>
      </c>
      <c r="H3400" t="s">
        <v>32</v>
      </c>
      <c r="I3400" s="2"/>
      <c r="J3400" t="s">
        <v>16</v>
      </c>
      <c r="K3400">
        <v>577007.90534456098</v>
      </c>
      <c r="L3400" t="s">
        <v>17</v>
      </c>
      <c r="M3400">
        <v>0</v>
      </c>
      <c r="N3400">
        <v>8.5785916901679304E-2</v>
      </c>
    </row>
    <row r="3401" spans="2:14" x14ac:dyDescent="0.25">
      <c r="B3401" t="s">
        <v>14</v>
      </c>
      <c r="C3401" s="1">
        <v>46207.999988425923</v>
      </c>
      <c r="D3401">
        <v>25.154518501383201</v>
      </c>
      <c r="E3401">
        <v>49499.152219500596</v>
      </c>
      <c r="F3401" s="1">
        <v>46207.099131944444</v>
      </c>
      <c r="G3401">
        <v>52.874655869045299</v>
      </c>
      <c r="H3401" t="s">
        <v>32</v>
      </c>
      <c r="I3401" s="2"/>
      <c r="J3401" t="s">
        <v>16</v>
      </c>
      <c r="K3401">
        <v>577007.90534456098</v>
      </c>
      <c r="L3401" t="s">
        <v>17</v>
      </c>
      <c r="M3401">
        <v>0</v>
      </c>
      <c r="N3401">
        <v>8.5785916901679304E-2</v>
      </c>
    </row>
    <row r="3402" spans="2:14" x14ac:dyDescent="0.25">
      <c r="B3402" t="s">
        <v>14</v>
      </c>
      <c r="C3402" s="1">
        <v>46206.999988425923</v>
      </c>
      <c r="D3402">
        <v>25.154518501383201</v>
      </c>
      <c r="E3402">
        <v>40385.011260448897</v>
      </c>
      <c r="F3402" s="1">
        <v>46204.605509259258</v>
      </c>
      <c r="G3402">
        <v>52.874655869045299</v>
      </c>
      <c r="H3402" t="s">
        <v>32</v>
      </c>
      <c r="I3402" s="2"/>
      <c r="J3402" t="s">
        <v>16</v>
      </c>
      <c r="K3402">
        <v>577007.90534456098</v>
      </c>
      <c r="L3402" t="s">
        <v>17</v>
      </c>
      <c r="M3402">
        <v>-9114.1409590516705</v>
      </c>
      <c r="N3402">
        <v>6.9990395081906104E-2</v>
      </c>
    </row>
    <row r="3403" spans="2:14" x14ac:dyDescent="0.25">
      <c r="B3403" t="s">
        <v>14</v>
      </c>
      <c r="C3403" s="1">
        <v>46205.999988425923</v>
      </c>
      <c r="D3403">
        <v>25.154518501383201</v>
      </c>
      <c r="E3403">
        <v>40385.011260448897</v>
      </c>
      <c r="F3403" s="1">
        <v>46204.605509259258</v>
      </c>
      <c r="G3403">
        <v>52.874655869045299</v>
      </c>
      <c r="H3403" t="s">
        <v>32</v>
      </c>
      <c r="I3403" s="2"/>
      <c r="J3403" t="s">
        <v>16</v>
      </c>
      <c r="K3403">
        <v>577007.90534456098</v>
      </c>
      <c r="L3403" t="s">
        <v>17</v>
      </c>
      <c r="M3403">
        <v>0</v>
      </c>
      <c r="N3403">
        <v>6.9990395081906104E-2</v>
      </c>
    </row>
    <row r="3404" spans="2:14" x14ac:dyDescent="0.25">
      <c r="B3404" t="s">
        <v>14</v>
      </c>
      <c r="C3404" s="1">
        <v>46204.999988425923</v>
      </c>
      <c r="D3404">
        <v>25.154518501383201</v>
      </c>
      <c r="E3404">
        <v>40385.011260448897</v>
      </c>
      <c r="F3404" s="1">
        <v>46204.605509259258</v>
      </c>
      <c r="G3404">
        <v>52.874655869045299</v>
      </c>
      <c r="H3404" t="s">
        <v>32</v>
      </c>
      <c r="I3404" s="2"/>
      <c r="J3404" t="s">
        <v>16</v>
      </c>
      <c r="K3404">
        <v>577007.90534456098</v>
      </c>
      <c r="L3404" t="s">
        <v>17</v>
      </c>
      <c r="M3404">
        <v>0</v>
      </c>
      <c r="N3404">
        <v>6.9990395081906104E-2</v>
      </c>
    </row>
    <row r="3405" spans="2:14" x14ac:dyDescent="0.25">
      <c r="B3405" t="s">
        <v>14</v>
      </c>
      <c r="C3405" s="1">
        <v>46203.999988425923</v>
      </c>
      <c r="D3405">
        <v>25.154518501383201</v>
      </c>
      <c r="E3405">
        <v>50369.347277354398</v>
      </c>
      <c r="F3405" s="1">
        <v>46201.099305555559</v>
      </c>
      <c r="G3405">
        <v>52.874655869045299</v>
      </c>
      <c r="H3405" t="s">
        <v>32</v>
      </c>
      <c r="I3405" s="2"/>
      <c r="J3405" t="s">
        <v>16</v>
      </c>
      <c r="K3405">
        <v>577007.90534456098</v>
      </c>
      <c r="L3405" t="s">
        <v>17</v>
      </c>
      <c r="M3405">
        <v>9984.3360169054904</v>
      </c>
      <c r="N3405">
        <v>8.7294033254667905E-2</v>
      </c>
    </row>
    <row r="3406" spans="2:14" x14ac:dyDescent="0.25">
      <c r="B3406" t="s">
        <v>14</v>
      </c>
      <c r="C3406" s="1">
        <v>46202.999988425923</v>
      </c>
      <c r="D3406">
        <v>25.154518501383201</v>
      </c>
      <c r="E3406">
        <v>50369.347277354398</v>
      </c>
      <c r="F3406" s="1">
        <v>46201.099305555559</v>
      </c>
      <c r="G3406">
        <v>52.874655869045299</v>
      </c>
      <c r="H3406" t="s">
        <v>32</v>
      </c>
      <c r="I3406" s="2"/>
      <c r="J3406" t="s">
        <v>16</v>
      </c>
      <c r="K3406">
        <v>577007.90534456098</v>
      </c>
      <c r="L3406" t="s">
        <v>17</v>
      </c>
      <c r="M3406">
        <v>0</v>
      </c>
      <c r="N3406">
        <v>8.7294033254667905E-2</v>
      </c>
    </row>
    <row r="3407" spans="2:14" x14ac:dyDescent="0.25">
      <c r="B3407" t="s">
        <v>14</v>
      </c>
      <c r="C3407" s="1">
        <v>46201.999988425923</v>
      </c>
      <c r="D3407">
        <v>25.154518501383201</v>
      </c>
      <c r="E3407">
        <v>50369.347277354398</v>
      </c>
      <c r="F3407" s="1">
        <v>46201.099305555559</v>
      </c>
      <c r="G3407">
        <v>52.874655869045299</v>
      </c>
      <c r="H3407" t="s">
        <v>32</v>
      </c>
      <c r="I3407" s="2"/>
      <c r="J3407" t="s">
        <v>16</v>
      </c>
      <c r="K3407">
        <v>577007.90534456098</v>
      </c>
      <c r="L3407" t="s">
        <v>17</v>
      </c>
      <c r="M3407">
        <v>0</v>
      </c>
      <c r="N3407">
        <v>8.7294033254667905E-2</v>
      </c>
    </row>
    <row r="3408" spans="2:14" x14ac:dyDescent="0.25">
      <c r="B3408" t="s">
        <v>14</v>
      </c>
      <c r="C3408" s="1">
        <v>46200.999988425923</v>
      </c>
      <c r="D3408">
        <v>25.154518501383201</v>
      </c>
      <c r="E3408">
        <v>42415.126398340399</v>
      </c>
      <c r="F3408" s="1">
        <v>46198.605787037035</v>
      </c>
      <c r="G3408">
        <v>52.874655869045299</v>
      </c>
      <c r="H3408" t="s">
        <v>32</v>
      </c>
      <c r="I3408" s="2"/>
      <c r="J3408" t="s">
        <v>16</v>
      </c>
      <c r="K3408">
        <v>577007.90534456098</v>
      </c>
      <c r="L3408" t="s">
        <v>17</v>
      </c>
      <c r="M3408">
        <v>-7954.2208790139903</v>
      </c>
      <c r="N3408">
        <v>7.3508743997211204E-2</v>
      </c>
    </row>
    <row r="3409" spans="2:14" x14ac:dyDescent="0.25">
      <c r="B3409" t="s">
        <v>14</v>
      </c>
      <c r="C3409" s="1">
        <v>46199.999988425923</v>
      </c>
      <c r="D3409">
        <v>25.154518501383201</v>
      </c>
      <c r="E3409">
        <v>42415.126398340399</v>
      </c>
      <c r="F3409" s="1">
        <v>46198.605787037035</v>
      </c>
      <c r="G3409">
        <v>52.874655869045299</v>
      </c>
      <c r="H3409" t="s">
        <v>32</v>
      </c>
      <c r="I3409" s="2"/>
      <c r="J3409" t="s">
        <v>16</v>
      </c>
      <c r="K3409">
        <v>577007.90534456098</v>
      </c>
      <c r="L3409" t="s">
        <v>17</v>
      </c>
      <c r="M3409">
        <v>0</v>
      </c>
      <c r="N3409">
        <v>7.3508743997211204E-2</v>
      </c>
    </row>
    <row r="3410" spans="2:14" x14ac:dyDescent="0.25">
      <c r="B3410" t="s">
        <v>14</v>
      </c>
      <c r="C3410" s="1">
        <v>46198.999988425923</v>
      </c>
      <c r="D3410">
        <v>25.154518501383201</v>
      </c>
      <c r="E3410">
        <v>42415.126398340399</v>
      </c>
      <c r="F3410" s="1">
        <v>46198.605787037035</v>
      </c>
      <c r="G3410">
        <v>52.874655869045299</v>
      </c>
      <c r="H3410" t="s">
        <v>32</v>
      </c>
      <c r="I3410" s="2"/>
      <c r="J3410" t="s">
        <v>16</v>
      </c>
      <c r="K3410">
        <v>577007.90534456098</v>
      </c>
      <c r="L3410" t="s">
        <v>17</v>
      </c>
      <c r="M3410">
        <v>0</v>
      </c>
      <c r="N3410">
        <v>7.3508743997211204E-2</v>
      </c>
    </row>
    <row r="3411" spans="2:14" x14ac:dyDescent="0.25">
      <c r="B3411" t="s">
        <v>14</v>
      </c>
      <c r="C3411" s="1">
        <v>46197.999988425923</v>
      </c>
      <c r="D3411">
        <v>25.154518501383201</v>
      </c>
      <c r="E3411">
        <v>32421.552260409499</v>
      </c>
      <c r="F3411" s="1">
        <v>46194.099780092591</v>
      </c>
      <c r="G3411">
        <v>52.874655869045299</v>
      </c>
      <c r="H3411" t="s">
        <v>32</v>
      </c>
      <c r="I3411" s="2"/>
      <c r="J3411" t="s">
        <v>16</v>
      </c>
      <c r="K3411">
        <v>577007.90534456098</v>
      </c>
      <c r="L3411" t="s">
        <v>17</v>
      </c>
      <c r="M3411">
        <v>-9993.5741379308693</v>
      </c>
      <c r="N3411">
        <v>5.6189095435441101E-2</v>
      </c>
    </row>
    <row r="3412" spans="2:14" x14ac:dyDescent="0.25">
      <c r="B3412" t="s">
        <v>14</v>
      </c>
      <c r="C3412" s="1">
        <v>46196.999988425923</v>
      </c>
      <c r="D3412">
        <v>25.154518501383201</v>
      </c>
      <c r="E3412">
        <v>32421.552260409499</v>
      </c>
      <c r="F3412" s="1">
        <v>46194.099780092591</v>
      </c>
      <c r="G3412">
        <v>52.874655869045299</v>
      </c>
      <c r="H3412" t="s">
        <v>32</v>
      </c>
      <c r="I3412" s="2"/>
      <c r="J3412" t="s">
        <v>16</v>
      </c>
      <c r="K3412">
        <v>577007.90534456098</v>
      </c>
      <c r="L3412" t="s">
        <v>17</v>
      </c>
      <c r="M3412">
        <v>0</v>
      </c>
      <c r="N3412">
        <v>5.6189095435441101E-2</v>
      </c>
    </row>
    <row r="3413" spans="2:14" x14ac:dyDescent="0.25">
      <c r="B3413" t="s">
        <v>14</v>
      </c>
      <c r="C3413" s="1">
        <v>46195.999988425923</v>
      </c>
      <c r="D3413">
        <v>25.154518501383201</v>
      </c>
      <c r="E3413">
        <v>32421.552260409499</v>
      </c>
      <c r="F3413" s="1">
        <v>46194.099780092591</v>
      </c>
      <c r="G3413">
        <v>52.874655869045299</v>
      </c>
      <c r="H3413" t="s">
        <v>32</v>
      </c>
      <c r="I3413" s="2"/>
      <c r="J3413" t="s">
        <v>16</v>
      </c>
      <c r="K3413">
        <v>577007.90534456098</v>
      </c>
      <c r="L3413" t="s">
        <v>17</v>
      </c>
      <c r="M3413">
        <v>0</v>
      </c>
      <c r="N3413">
        <v>5.6189095435441101E-2</v>
      </c>
    </row>
    <row r="3414" spans="2:14" x14ac:dyDescent="0.25">
      <c r="B3414" t="s">
        <v>14</v>
      </c>
      <c r="C3414" s="1">
        <v>46194.999988425923</v>
      </c>
      <c r="D3414">
        <v>25.154518501383201</v>
      </c>
      <c r="E3414">
        <v>32421.552260409499</v>
      </c>
      <c r="F3414" s="1">
        <v>46194.099780092591</v>
      </c>
      <c r="G3414">
        <v>52.874655869045299</v>
      </c>
      <c r="H3414" t="s">
        <v>32</v>
      </c>
      <c r="I3414" s="2"/>
      <c r="J3414" t="s">
        <v>16</v>
      </c>
      <c r="K3414">
        <v>577007.90534456098</v>
      </c>
      <c r="L3414" t="s">
        <v>17</v>
      </c>
      <c r="M3414">
        <v>0</v>
      </c>
      <c r="N3414">
        <v>5.6189095435441101E-2</v>
      </c>
    </row>
    <row r="3415" spans="2:14" x14ac:dyDescent="0.25">
      <c r="B3415" t="s">
        <v>14</v>
      </c>
      <c r="C3415" s="1">
        <v>46193.999988425923</v>
      </c>
      <c r="D3415">
        <v>25.154518501383201</v>
      </c>
      <c r="E3415">
        <v>38530.976524794401</v>
      </c>
      <c r="F3415" s="1">
        <v>46191.606261574074</v>
      </c>
      <c r="G3415">
        <v>52.874655869045299</v>
      </c>
      <c r="H3415" t="s">
        <v>32</v>
      </c>
      <c r="I3415" s="2"/>
      <c r="J3415" t="s">
        <v>16</v>
      </c>
      <c r="K3415">
        <v>577007.90534456098</v>
      </c>
      <c r="L3415" t="s">
        <v>17</v>
      </c>
      <c r="M3415">
        <v>6109.4242643848902</v>
      </c>
      <c r="N3415">
        <v>6.6777207327489901E-2</v>
      </c>
    </row>
    <row r="3416" spans="2:14" x14ac:dyDescent="0.25">
      <c r="B3416" t="s">
        <v>14</v>
      </c>
      <c r="C3416" s="1">
        <v>46192.999988425923</v>
      </c>
      <c r="D3416">
        <v>25.154518501383201</v>
      </c>
      <c r="E3416">
        <v>38530.976524794401</v>
      </c>
      <c r="F3416" s="1">
        <v>46191.606261574074</v>
      </c>
      <c r="G3416">
        <v>52.874655869045299</v>
      </c>
      <c r="H3416" t="s">
        <v>32</v>
      </c>
      <c r="I3416" s="2"/>
      <c r="J3416" t="s">
        <v>16</v>
      </c>
      <c r="K3416">
        <v>577007.90534456098</v>
      </c>
      <c r="L3416" t="s">
        <v>17</v>
      </c>
      <c r="M3416">
        <v>0</v>
      </c>
      <c r="N3416">
        <v>6.6777207327489901E-2</v>
      </c>
    </row>
    <row r="3417" spans="2:14" x14ac:dyDescent="0.25">
      <c r="B3417" t="s">
        <v>14</v>
      </c>
      <c r="C3417" s="1">
        <v>46191.999988425923</v>
      </c>
      <c r="D3417">
        <v>25.154518501383201</v>
      </c>
      <c r="E3417">
        <v>38530.976524794401</v>
      </c>
      <c r="F3417" s="1">
        <v>46191.606261574074</v>
      </c>
      <c r="G3417">
        <v>52.874655869045299</v>
      </c>
      <c r="H3417" t="s">
        <v>32</v>
      </c>
      <c r="I3417" s="2"/>
      <c r="J3417" t="s">
        <v>16</v>
      </c>
      <c r="K3417">
        <v>577007.90534456098</v>
      </c>
      <c r="L3417" t="s">
        <v>17</v>
      </c>
      <c r="M3417">
        <v>0</v>
      </c>
      <c r="N3417">
        <v>6.6777207327489901E-2</v>
      </c>
    </row>
    <row r="3418" spans="2:14" x14ac:dyDescent="0.25">
      <c r="B3418" t="s">
        <v>14</v>
      </c>
      <c r="C3418" s="1">
        <v>46190.999988425923</v>
      </c>
      <c r="D3418">
        <v>25.154518501383201</v>
      </c>
      <c r="E3418">
        <v>56643.664021393102</v>
      </c>
      <c r="F3418" s="1">
        <v>46189.099270833336</v>
      </c>
      <c r="G3418">
        <v>52.874655869045299</v>
      </c>
      <c r="H3418" t="s">
        <v>32</v>
      </c>
      <c r="I3418" s="2"/>
      <c r="J3418" t="s">
        <v>16</v>
      </c>
      <c r="K3418">
        <v>577007.90534456098</v>
      </c>
      <c r="L3418" t="s">
        <v>17</v>
      </c>
      <c r="M3418">
        <v>18112.687496598599</v>
      </c>
      <c r="N3418">
        <v>9.81679167594217E-2</v>
      </c>
    </row>
    <row r="3419" spans="2:14" x14ac:dyDescent="0.25">
      <c r="B3419" t="s">
        <v>14</v>
      </c>
      <c r="C3419" s="1">
        <v>46189.999988425923</v>
      </c>
      <c r="D3419">
        <v>25.154518501383201</v>
      </c>
      <c r="E3419">
        <v>56643.664021393102</v>
      </c>
      <c r="F3419" s="1">
        <v>46189.099270833336</v>
      </c>
      <c r="G3419">
        <v>52.874655869045299</v>
      </c>
      <c r="H3419" t="s">
        <v>32</v>
      </c>
      <c r="I3419" s="2"/>
      <c r="J3419" t="s">
        <v>16</v>
      </c>
      <c r="K3419">
        <v>577007.90534456098</v>
      </c>
      <c r="L3419" t="s">
        <v>17</v>
      </c>
      <c r="M3419">
        <v>0</v>
      </c>
      <c r="N3419">
        <v>9.81679167594217E-2</v>
      </c>
    </row>
    <row r="3420" spans="2:14" x14ac:dyDescent="0.25">
      <c r="B3420" t="s">
        <v>14</v>
      </c>
      <c r="C3420" s="1">
        <v>46188.999988425923</v>
      </c>
      <c r="D3420">
        <v>25.154518501383201</v>
      </c>
      <c r="E3420">
        <v>40167.560215212703</v>
      </c>
      <c r="F3420" s="1">
        <v>46186.60564814815</v>
      </c>
      <c r="G3420">
        <v>52.874655869045299</v>
      </c>
      <c r="H3420" t="s">
        <v>32</v>
      </c>
      <c r="I3420" s="2"/>
      <c r="J3420" t="s">
        <v>16</v>
      </c>
      <c r="K3420">
        <v>577007.90534456098</v>
      </c>
      <c r="L3420" t="s">
        <v>17</v>
      </c>
      <c r="M3420">
        <v>-16476.103806180399</v>
      </c>
      <c r="N3420">
        <v>6.9613535348751601E-2</v>
      </c>
    </row>
    <row r="3421" spans="2:14" x14ac:dyDescent="0.25">
      <c r="B3421" t="s">
        <v>14</v>
      </c>
      <c r="C3421" s="1">
        <v>46187.999988425923</v>
      </c>
      <c r="D3421">
        <v>25.154518501383201</v>
      </c>
      <c r="E3421">
        <v>40167.560215212703</v>
      </c>
      <c r="F3421" s="1">
        <v>46186.60564814815</v>
      </c>
      <c r="G3421">
        <v>52.874655869045299</v>
      </c>
      <c r="H3421" t="s">
        <v>32</v>
      </c>
      <c r="I3421" s="2"/>
      <c r="J3421" t="s">
        <v>16</v>
      </c>
      <c r="K3421">
        <v>577007.90534456098</v>
      </c>
      <c r="L3421" t="s">
        <v>17</v>
      </c>
      <c r="M3421">
        <v>0</v>
      </c>
      <c r="N3421">
        <v>6.9613535348751601E-2</v>
      </c>
    </row>
    <row r="3422" spans="2:14" x14ac:dyDescent="0.25">
      <c r="B3422" t="s">
        <v>14</v>
      </c>
      <c r="C3422" s="1">
        <v>46186.999988425923</v>
      </c>
      <c r="D3422">
        <v>25.154518501383201</v>
      </c>
      <c r="E3422">
        <v>40167.560215212703</v>
      </c>
      <c r="F3422" s="1">
        <v>46186.60564814815</v>
      </c>
      <c r="G3422">
        <v>52.874655869045299</v>
      </c>
      <c r="H3422" t="s">
        <v>32</v>
      </c>
      <c r="I3422" s="2"/>
      <c r="J3422" t="s">
        <v>16</v>
      </c>
      <c r="K3422">
        <v>577007.90534456098</v>
      </c>
      <c r="L3422" t="s">
        <v>17</v>
      </c>
      <c r="M3422">
        <v>0</v>
      </c>
      <c r="N3422">
        <v>6.9613535348751601E-2</v>
      </c>
    </row>
    <row r="3423" spans="2:14" x14ac:dyDescent="0.25">
      <c r="B3423" t="s">
        <v>14</v>
      </c>
      <c r="C3423" s="1">
        <v>46185.999988425923</v>
      </c>
      <c r="D3423">
        <v>25.154518501383201</v>
      </c>
      <c r="E3423">
        <v>54943.810056170798</v>
      </c>
      <c r="F3423" s="1">
        <v>46182.099780092591</v>
      </c>
      <c r="G3423">
        <v>52.874655869045299</v>
      </c>
      <c r="H3423" t="s">
        <v>32</v>
      </c>
      <c r="I3423" s="2"/>
      <c r="J3423" t="s">
        <v>16</v>
      </c>
      <c r="K3423">
        <v>577007.90534456098</v>
      </c>
      <c r="L3423" t="s">
        <v>17</v>
      </c>
      <c r="M3423">
        <v>14776.2498409581</v>
      </c>
      <c r="N3423">
        <v>9.5221936384668804E-2</v>
      </c>
    </row>
    <row r="3424" spans="2:14" x14ac:dyDescent="0.25">
      <c r="B3424" t="s">
        <v>14</v>
      </c>
      <c r="C3424" s="1">
        <v>46184.999988425923</v>
      </c>
      <c r="D3424">
        <v>25.154518501383201</v>
      </c>
      <c r="E3424">
        <v>54943.810056170798</v>
      </c>
      <c r="F3424" s="1">
        <v>46182.099780092591</v>
      </c>
      <c r="G3424">
        <v>52.874655869045299</v>
      </c>
      <c r="H3424" t="s">
        <v>32</v>
      </c>
      <c r="I3424" s="2"/>
      <c r="J3424" t="s">
        <v>16</v>
      </c>
      <c r="K3424">
        <v>577007.90534456098</v>
      </c>
      <c r="L3424" t="s">
        <v>17</v>
      </c>
      <c r="M3424">
        <v>0</v>
      </c>
      <c r="N3424">
        <v>9.5221936384668804E-2</v>
      </c>
    </row>
    <row r="3425" spans="2:14" x14ac:dyDescent="0.25">
      <c r="B3425" t="s">
        <v>14</v>
      </c>
      <c r="C3425" s="1">
        <v>46183.999988425923</v>
      </c>
      <c r="D3425">
        <v>25.154518501383201</v>
      </c>
      <c r="E3425">
        <v>54943.810056170798</v>
      </c>
      <c r="F3425" s="1">
        <v>46182.099780092591</v>
      </c>
      <c r="G3425">
        <v>52.874655869045299</v>
      </c>
      <c r="H3425" t="s">
        <v>32</v>
      </c>
      <c r="I3425" s="2"/>
      <c r="J3425" t="s">
        <v>16</v>
      </c>
      <c r="K3425">
        <v>577007.90534456098</v>
      </c>
      <c r="L3425" t="s">
        <v>17</v>
      </c>
      <c r="M3425">
        <v>0</v>
      </c>
      <c r="N3425">
        <v>9.5221936384668804E-2</v>
      </c>
    </row>
    <row r="3426" spans="2:14" x14ac:dyDescent="0.25">
      <c r="B3426" t="s">
        <v>14</v>
      </c>
      <c r="C3426" s="1">
        <v>46182.999988425923</v>
      </c>
      <c r="D3426">
        <v>25.154518501383201</v>
      </c>
      <c r="E3426">
        <v>54943.810056170798</v>
      </c>
      <c r="F3426" s="1">
        <v>46182.099780092591</v>
      </c>
      <c r="G3426">
        <v>52.874655869045299</v>
      </c>
      <c r="H3426" t="s">
        <v>32</v>
      </c>
      <c r="I3426" s="2"/>
      <c r="J3426" t="s">
        <v>16</v>
      </c>
      <c r="K3426">
        <v>577007.90534456098</v>
      </c>
      <c r="L3426" t="s">
        <v>17</v>
      </c>
      <c r="M3426">
        <v>0</v>
      </c>
      <c r="N3426">
        <v>9.5221936384668804E-2</v>
      </c>
    </row>
    <row r="3427" spans="2:14" x14ac:dyDescent="0.25">
      <c r="B3427" t="s">
        <v>14</v>
      </c>
      <c r="C3427" s="1">
        <v>46181.999988425923</v>
      </c>
      <c r="D3427">
        <v>25.154518501383201</v>
      </c>
      <c r="E3427">
        <v>40746.979962842001</v>
      </c>
      <c r="F3427" s="1">
        <v>46179.606273148151</v>
      </c>
      <c r="G3427">
        <v>52.874655869045299</v>
      </c>
      <c r="H3427" t="s">
        <v>32</v>
      </c>
      <c r="I3427" s="2"/>
      <c r="J3427" t="s">
        <v>16</v>
      </c>
      <c r="K3427">
        <v>577007.90534456098</v>
      </c>
      <c r="L3427" t="s">
        <v>17</v>
      </c>
      <c r="M3427">
        <v>-14196.830093328699</v>
      </c>
      <c r="N3427">
        <v>7.06177152607812E-2</v>
      </c>
    </row>
    <row r="3428" spans="2:14" x14ac:dyDescent="0.25">
      <c r="B3428" t="s">
        <v>14</v>
      </c>
      <c r="C3428" s="1">
        <v>46180.999988425923</v>
      </c>
      <c r="D3428">
        <v>25.154518501383201</v>
      </c>
      <c r="E3428">
        <v>40746.979962842001</v>
      </c>
      <c r="F3428" s="1">
        <v>46179.606273148151</v>
      </c>
      <c r="G3428">
        <v>52.874655869045299</v>
      </c>
      <c r="H3428" t="s">
        <v>32</v>
      </c>
      <c r="I3428" s="2"/>
      <c r="J3428" t="s">
        <v>16</v>
      </c>
      <c r="K3428">
        <v>577007.90534456098</v>
      </c>
      <c r="L3428" t="s">
        <v>17</v>
      </c>
      <c r="M3428">
        <v>0</v>
      </c>
      <c r="N3428">
        <v>7.06177152607812E-2</v>
      </c>
    </row>
    <row r="3429" spans="2:14" x14ac:dyDescent="0.25">
      <c r="B3429" t="s">
        <v>14</v>
      </c>
      <c r="C3429" s="1">
        <v>46179.999988425923</v>
      </c>
      <c r="D3429">
        <v>25.154518501383201</v>
      </c>
      <c r="E3429">
        <v>40746.979962842001</v>
      </c>
      <c r="F3429" s="1">
        <v>46179.606273148151</v>
      </c>
      <c r="G3429">
        <v>52.874655869045299</v>
      </c>
      <c r="H3429" t="s">
        <v>32</v>
      </c>
      <c r="I3429" s="2"/>
      <c r="J3429" t="s">
        <v>16</v>
      </c>
      <c r="K3429">
        <v>577007.90534456098</v>
      </c>
      <c r="L3429" t="s">
        <v>17</v>
      </c>
      <c r="M3429">
        <v>0</v>
      </c>
      <c r="N3429">
        <v>7.06177152607812E-2</v>
      </c>
    </row>
    <row r="3430" spans="2:14" x14ac:dyDescent="0.25">
      <c r="B3430" t="s">
        <v>14</v>
      </c>
      <c r="C3430" s="1">
        <v>46178.999988425923</v>
      </c>
      <c r="D3430">
        <v>25.154518501383201</v>
      </c>
      <c r="E3430">
        <v>57161.814996888301</v>
      </c>
      <c r="F3430" s="1">
        <v>46177.099259259259</v>
      </c>
      <c r="G3430">
        <v>52.874655869045299</v>
      </c>
      <c r="H3430" t="s">
        <v>32</v>
      </c>
      <c r="I3430" s="2"/>
      <c r="J3430" t="s">
        <v>16</v>
      </c>
      <c r="K3430">
        <v>577007.90534456098</v>
      </c>
      <c r="L3430" t="s">
        <v>17</v>
      </c>
      <c r="M3430">
        <v>16414.8350340463</v>
      </c>
      <c r="N3430">
        <v>9.9065913079222204E-2</v>
      </c>
    </row>
    <row r="3431" spans="2:14" x14ac:dyDescent="0.25">
      <c r="B3431" t="s">
        <v>14</v>
      </c>
      <c r="C3431" s="1">
        <v>46177.999988425923</v>
      </c>
      <c r="D3431">
        <v>25.154518501383201</v>
      </c>
      <c r="E3431">
        <v>57161.814996888301</v>
      </c>
      <c r="F3431" s="1">
        <v>46177.099259259259</v>
      </c>
      <c r="G3431">
        <v>52.874655869045299</v>
      </c>
      <c r="H3431" t="s">
        <v>32</v>
      </c>
      <c r="I3431" s="2"/>
      <c r="J3431" t="s">
        <v>16</v>
      </c>
      <c r="K3431">
        <v>577007.90534456098</v>
      </c>
      <c r="L3431" t="s">
        <v>17</v>
      </c>
      <c r="M3431">
        <v>0</v>
      </c>
      <c r="N3431">
        <v>9.9065913079222204E-2</v>
      </c>
    </row>
    <row r="3432" spans="2:14" x14ac:dyDescent="0.25">
      <c r="B3432" t="s">
        <v>14</v>
      </c>
      <c r="C3432" s="1">
        <v>46176.999988425923</v>
      </c>
      <c r="D3432">
        <v>25.154518501383201</v>
      </c>
      <c r="E3432">
        <v>56424.215175878897</v>
      </c>
      <c r="F3432" s="1">
        <v>46176.099143518521</v>
      </c>
      <c r="G3432">
        <v>52.874655869045299</v>
      </c>
      <c r="H3432" t="s">
        <v>32</v>
      </c>
      <c r="I3432" s="2"/>
      <c r="J3432" t="s">
        <v>16</v>
      </c>
      <c r="K3432">
        <v>577007.90534456098</v>
      </c>
      <c r="L3432" t="s">
        <v>17</v>
      </c>
      <c r="M3432">
        <v>-737.59982100949799</v>
      </c>
      <c r="N3432">
        <v>9.7787594681540899E-2</v>
      </c>
    </row>
    <row r="3433" spans="2:14" x14ac:dyDescent="0.25">
      <c r="B3433" t="s">
        <v>14</v>
      </c>
      <c r="C3433" s="1">
        <v>46175.999988425923</v>
      </c>
      <c r="D3433">
        <v>25.154518501383201</v>
      </c>
      <c r="E3433">
        <v>37789.036613657598</v>
      </c>
      <c r="F3433" s="1">
        <v>46173.605520833335</v>
      </c>
      <c r="G3433">
        <v>52.874655869045299</v>
      </c>
      <c r="H3433" t="s">
        <v>32</v>
      </c>
      <c r="I3433" s="2"/>
      <c r="J3433" t="s">
        <v>16</v>
      </c>
      <c r="K3433">
        <v>577007.90534456098</v>
      </c>
      <c r="L3433" t="s">
        <v>17</v>
      </c>
      <c r="M3433">
        <v>-18635.178562221201</v>
      </c>
      <c r="N3433">
        <v>6.5491367212883803E-2</v>
      </c>
    </row>
    <row r="3434" spans="2:14" x14ac:dyDescent="0.25">
      <c r="B3434" t="s">
        <v>14</v>
      </c>
      <c r="C3434" s="1">
        <v>46174.999988425923</v>
      </c>
      <c r="D3434">
        <v>25.154518501383201</v>
      </c>
      <c r="E3434">
        <v>37789.036613657598</v>
      </c>
      <c r="F3434" s="1">
        <v>46173.605520833335</v>
      </c>
      <c r="G3434">
        <v>52.874655869045299</v>
      </c>
      <c r="H3434" t="s">
        <v>32</v>
      </c>
      <c r="I3434" s="2"/>
      <c r="J3434" t="s">
        <v>16</v>
      </c>
      <c r="K3434">
        <v>577007.90534456098</v>
      </c>
      <c r="L3434" t="s">
        <v>17</v>
      </c>
      <c r="M3434">
        <v>0</v>
      </c>
      <c r="N3434">
        <v>6.5491367212883803E-2</v>
      </c>
    </row>
    <row r="3435" spans="2:14" x14ac:dyDescent="0.25">
      <c r="B3435" t="s">
        <v>14</v>
      </c>
      <c r="C3435" s="1">
        <v>46173.999988425923</v>
      </c>
      <c r="D3435">
        <v>25.154518501383201</v>
      </c>
      <c r="E3435">
        <v>37789.036613657598</v>
      </c>
      <c r="F3435" s="1">
        <v>46173.605520833335</v>
      </c>
      <c r="G3435">
        <v>52.874655869045299</v>
      </c>
      <c r="H3435" t="s">
        <v>32</v>
      </c>
      <c r="I3435" s="2"/>
      <c r="J3435" t="s">
        <v>16</v>
      </c>
      <c r="K3435">
        <v>577007.90534456098</v>
      </c>
      <c r="L3435" t="s">
        <v>17</v>
      </c>
      <c r="M3435">
        <v>0</v>
      </c>
      <c r="N3435">
        <v>6.5491367212883803E-2</v>
      </c>
    </row>
    <row r="3436" spans="2:14" x14ac:dyDescent="0.25">
      <c r="B3436" t="s">
        <v>14</v>
      </c>
      <c r="C3436" s="1">
        <v>46172.999988425923</v>
      </c>
      <c r="D3436">
        <v>25.154518501383201</v>
      </c>
      <c r="E3436">
        <v>49137.191725917197</v>
      </c>
      <c r="F3436" s="1">
        <v>46170.099791666667</v>
      </c>
      <c r="G3436">
        <v>52.874655869045299</v>
      </c>
      <c r="H3436" t="s">
        <v>32</v>
      </c>
      <c r="I3436" s="2"/>
      <c r="J3436" t="s">
        <v>16</v>
      </c>
      <c r="K3436">
        <v>577007.90534456098</v>
      </c>
      <c r="L3436" t="s">
        <v>17</v>
      </c>
      <c r="M3436">
        <v>11348.155112259599</v>
      </c>
      <c r="N3436">
        <v>8.5158610949315997E-2</v>
      </c>
    </row>
    <row r="3437" spans="2:14" x14ac:dyDescent="0.25">
      <c r="B3437" t="s">
        <v>14</v>
      </c>
      <c r="C3437" s="1">
        <v>46171.999988425923</v>
      </c>
      <c r="D3437">
        <v>25.154518501383201</v>
      </c>
      <c r="E3437">
        <v>49137.191725917197</v>
      </c>
      <c r="F3437" s="1">
        <v>46170.099791666667</v>
      </c>
      <c r="G3437">
        <v>52.874655869045299</v>
      </c>
      <c r="H3437" t="s">
        <v>32</v>
      </c>
      <c r="I3437" s="2"/>
      <c r="J3437" t="s">
        <v>16</v>
      </c>
      <c r="K3437">
        <v>577007.90534456098</v>
      </c>
      <c r="L3437" t="s">
        <v>17</v>
      </c>
      <c r="M3437">
        <v>0</v>
      </c>
      <c r="N3437">
        <v>8.5158610949315997E-2</v>
      </c>
    </row>
    <row r="3438" spans="2:14" x14ac:dyDescent="0.25">
      <c r="B3438" t="s">
        <v>14</v>
      </c>
      <c r="C3438" s="1">
        <v>46170.999988425923</v>
      </c>
      <c r="D3438">
        <v>25.154518501383201</v>
      </c>
      <c r="E3438">
        <v>49137.191725917197</v>
      </c>
      <c r="F3438" s="1">
        <v>46170.099791666667</v>
      </c>
      <c r="G3438">
        <v>52.874655869045299</v>
      </c>
      <c r="H3438" t="s">
        <v>32</v>
      </c>
      <c r="I3438" s="2"/>
      <c r="J3438" t="s">
        <v>16</v>
      </c>
      <c r="K3438">
        <v>577007.90534456098</v>
      </c>
      <c r="L3438" t="s">
        <v>17</v>
      </c>
      <c r="M3438">
        <v>0</v>
      </c>
      <c r="N3438">
        <v>8.5158610949315997E-2</v>
      </c>
    </row>
    <row r="3439" spans="2:14" x14ac:dyDescent="0.25">
      <c r="B3439" t="s">
        <v>14</v>
      </c>
      <c r="C3439" s="1">
        <v>46169.999988425923</v>
      </c>
      <c r="D3439">
        <v>25.154518501383201</v>
      </c>
      <c r="E3439">
        <v>42820.607891350897</v>
      </c>
      <c r="F3439" s="1">
        <v>46167.60628472222</v>
      </c>
      <c r="G3439">
        <v>52.874655869045299</v>
      </c>
      <c r="H3439" t="s">
        <v>32</v>
      </c>
      <c r="I3439" s="2"/>
      <c r="J3439" t="s">
        <v>16</v>
      </c>
      <c r="K3439">
        <v>577007.90534456098</v>
      </c>
      <c r="L3439" t="s">
        <v>17</v>
      </c>
      <c r="M3439">
        <v>-6316.5838345662896</v>
      </c>
      <c r="N3439">
        <v>7.4211475258351201E-2</v>
      </c>
    </row>
    <row r="3440" spans="2:14" x14ac:dyDescent="0.25">
      <c r="B3440" t="s">
        <v>14</v>
      </c>
      <c r="C3440" s="1">
        <v>46168.999988425923</v>
      </c>
      <c r="D3440">
        <v>25.154518501383201</v>
      </c>
      <c r="E3440">
        <v>42820.607891350897</v>
      </c>
      <c r="F3440" s="1">
        <v>46167.60628472222</v>
      </c>
      <c r="G3440">
        <v>52.874655869045299</v>
      </c>
      <c r="H3440" t="s">
        <v>32</v>
      </c>
      <c r="I3440" s="2"/>
      <c r="J3440" t="s">
        <v>16</v>
      </c>
      <c r="K3440">
        <v>577007.90534456098</v>
      </c>
      <c r="L3440" t="s">
        <v>17</v>
      </c>
      <c r="M3440">
        <v>0</v>
      </c>
      <c r="N3440">
        <v>7.4211475258351201E-2</v>
      </c>
    </row>
    <row r="3441" spans="2:14" x14ac:dyDescent="0.25">
      <c r="B3441" t="s">
        <v>14</v>
      </c>
      <c r="C3441" s="1">
        <v>46167.999988425923</v>
      </c>
      <c r="D3441">
        <v>25.154518501383201</v>
      </c>
      <c r="E3441">
        <v>42820.607891350897</v>
      </c>
      <c r="F3441" s="1">
        <v>46167.60628472222</v>
      </c>
      <c r="G3441">
        <v>52.874655869045299</v>
      </c>
      <c r="H3441" t="s">
        <v>32</v>
      </c>
      <c r="I3441" s="2"/>
      <c r="J3441" t="s">
        <v>16</v>
      </c>
      <c r="K3441">
        <v>577007.90534456098</v>
      </c>
      <c r="L3441" t="s">
        <v>17</v>
      </c>
      <c r="M3441">
        <v>0</v>
      </c>
      <c r="N3441">
        <v>7.4211475258351201E-2</v>
      </c>
    </row>
    <row r="3442" spans="2:14" x14ac:dyDescent="0.25">
      <c r="B3442" t="s">
        <v>14</v>
      </c>
      <c r="C3442" s="1">
        <v>46166.999988425923</v>
      </c>
      <c r="D3442">
        <v>25.154518501383201</v>
      </c>
      <c r="E3442">
        <v>55064.558651329004</v>
      </c>
      <c r="F3442" s="1">
        <v>46165.099259259259</v>
      </c>
      <c r="G3442">
        <v>52.874655869045299</v>
      </c>
      <c r="H3442" t="s">
        <v>32</v>
      </c>
      <c r="I3442" s="2"/>
      <c r="J3442" t="s">
        <v>16</v>
      </c>
      <c r="K3442">
        <v>577007.90534456098</v>
      </c>
      <c r="L3442" t="s">
        <v>17</v>
      </c>
      <c r="M3442">
        <v>12243.950759978001</v>
      </c>
      <c r="N3442">
        <v>9.5431203179871804E-2</v>
      </c>
    </row>
    <row r="3443" spans="2:14" x14ac:dyDescent="0.25">
      <c r="B3443" t="s">
        <v>14</v>
      </c>
      <c r="C3443" s="1">
        <v>46165.999988425923</v>
      </c>
      <c r="D3443">
        <v>25.154518501383201</v>
      </c>
      <c r="E3443">
        <v>55064.558651329004</v>
      </c>
      <c r="F3443" s="1">
        <v>46165.099259259259</v>
      </c>
      <c r="G3443">
        <v>52.874655869045299</v>
      </c>
      <c r="H3443" t="s">
        <v>32</v>
      </c>
      <c r="I3443" s="2"/>
      <c r="J3443" t="s">
        <v>16</v>
      </c>
      <c r="K3443">
        <v>577007.90534456098</v>
      </c>
      <c r="L3443" t="s">
        <v>17</v>
      </c>
      <c r="M3443">
        <v>0</v>
      </c>
      <c r="N3443">
        <v>9.5431203179871804E-2</v>
      </c>
    </row>
    <row r="3444" spans="2:14" x14ac:dyDescent="0.25">
      <c r="B3444" t="s">
        <v>14</v>
      </c>
      <c r="C3444" s="1">
        <v>46164.999988425923</v>
      </c>
      <c r="D3444">
        <v>25.154518501383201</v>
      </c>
      <c r="E3444">
        <v>50263.674765395299</v>
      </c>
      <c r="F3444" s="1">
        <v>46164.099143518521</v>
      </c>
      <c r="G3444">
        <v>52.874655869045299</v>
      </c>
      <c r="H3444" t="s">
        <v>32</v>
      </c>
      <c r="I3444" s="2"/>
      <c r="J3444" t="s">
        <v>16</v>
      </c>
      <c r="K3444">
        <v>577007.90534456098</v>
      </c>
      <c r="L3444" t="s">
        <v>17</v>
      </c>
      <c r="M3444">
        <v>-4800.8838859337202</v>
      </c>
      <c r="N3444">
        <v>8.7110894495250099E-2</v>
      </c>
    </row>
    <row r="3445" spans="2:14" x14ac:dyDescent="0.25">
      <c r="B3445" t="s">
        <v>14</v>
      </c>
      <c r="C3445" s="1">
        <v>46163.999988425923</v>
      </c>
      <c r="D3445">
        <v>25.154518501383201</v>
      </c>
      <c r="E3445">
        <v>42132.350139990303</v>
      </c>
      <c r="F3445" s="1">
        <v>46162.605624999997</v>
      </c>
      <c r="G3445">
        <v>52.874655869045299</v>
      </c>
      <c r="H3445" t="s">
        <v>32</v>
      </c>
      <c r="I3445" s="2"/>
      <c r="J3445" t="s">
        <v>16</v>
      </c>
      <c r="K3445">
        <v>577007.90534456098</v>
      </c>
      <c r="L3445" t="s">
        <v>17</v>
      </c>
      <c r="M3445">
        <v>-8131.32462540501</v>
      </c>
      <c r="N3445">
        <v>7.3018670541144304E-2</v>
      </c>
    </row>
    <row r="3446" spans="2:14" x14ac:dyDescent="0.25">
      <c r="B3446" t="s">
        <v>14</v>
      </c>
      <c r="C3446" s="1">
        <v>46162.999988425923</v>
      </c>
      <c r="D3446">
        <v>25.154518501383201</v>
      </c>
      <c r="E3446">
        <v>42132.350139990303</v>
      </c>
      <c r="F3446" s="1">
        <v>46162.605624999997</v>
      </c>
      <c r="G3446">
        <v>52.874655869045299</v>
      </c>
      <c r="H3446" t="s">
        <v>32</v>
      </c>
      <c r="I3446" s="2"/>
      <c r="J3446" t="s">
        <v>16</v>
      </c>
      <c r="K3446">
        <v>577007.90534456098</v>
      </c>
      <c r="L3446" t="s">
        <v>17</v>
      </c>
      <c r="M3446">
        <v>0</v>
      </c>
      <c r="N3446">
        <v>7.3018670541144304E-2</v>
      </c>
    </row>
    <row r="3447" spans="2:14" x14ac:dyDescent="0.25">
      <c r="B3447" t="s">
        <v>14</v>
      </c>
      <c r="C3447" s="1">
        <v>46161.999988425923</v>
      </c>
      <c r="D3447">
        <v>25.154518501383201</v>
      </c>
      <c r="E3447">
        <v>33919.360319195403</v>
      </c>
      <c r="F3447" s="1">
        <v>46161.605509259258</v>
      </c>
      <c r="G3447">
        <v>52.874655869045299</v>
      </c>
      <c r="H3447" t="s">
        <v>32</v>
      </c>
      <c r="I3447" s="2"/>
      <c r="J3447" t="s">
        <v>16</v>
      </c>
      <c r="K3447">
        <v>577007.90534456098</v>
      </c>
      <c r="L3447" t="s">
        <v>17</v>
      </c>
      <c r="M3447">
        <v>-8212.9898207949009</v>
      </c>
      <c r="N3447">
        <v>5.8784914392014102E-2</v>
      </c>
    </row>
    <row r="3448" spans="2:14" x14ac:dyDescent="0.25">
      <c r="B3448" t="s">
        <v>14</v>
      </c>
      <c r="C3448" s="1">
        <v>46160.999988425923</v>
      </c>
      <c r="D3448">
        <v>25.154518501383201</v>
      </c>
      <c r="E3448">
        <v>55824.1062192073</v>
      </c>
      <c r="F3448" s="1">
        <v>46158.099791666667</v>
      </c>
      <c r="G3448">
        <v>52.874655869045299</v>
      </c>
      <c r="H3448" t="s">
        <v>32</v>
      </c>
      <c r="I3448" s="2"/>
      <c r="J3448" t="s">
        <v>16</v>
      </c>
      <c r="K3448">
        <v>577007.90534456098</v>
      </c>
      <c r="L3448" t="s">
        <v>17</v>
      </c>
      <c r="M3448">
        <v>21904.745900011902</v>
      </c>
      <c r="N3448">
        <v>9.6747558745961804E-2</v>
      </c>
    </row>
    <row r="3449" spans="2:14" x14ac:dyDescent="0.25">
      <c r="B3449" t="s">
        <v>14</v>
      </c>
      <c r="C3449" s="1">
        <v>46159.999988425923</v>
      </c>
      <c r="D3449">
        <v>25.154518501383201</v>
      </c>
      <c r="E3449">
        <v>55824.1062192073</v>
      </c>
      <c r="F3449" s="1">
        <v>46158.099791666667</v>
      </c>
      <c r="G3449">
        <v>52.874655869045299</v>
      </c>
      <c r="H3449" t="s">
        <v>32</v>
      </c>
      <c r="I3449" s="2"/>
      <c r="J3449" t="s">
        <v>16</v>
      </c>
      <c r="K3449">
        <v>577007.90534456098</v>
      </c>
      <c r="L3449" t="s">
        <v>17</v>
      </c>
      <c r="M3449">
        <v>0</v>
      </c>
      <c r="N3449">
        <v>9.6747558745961804E-2</v>
      </c>
    </row>
    <row r="3450" spans="2:14" x14ac:dyDescent="0.25">
      <c r="B3450" t="s">
        <v>14</v>
      </c>
      <c r="C3450" s="1">
        <v>46158.999988425923</v>
      </c>
      <c r="D3450">
        <v>25.154518501383201</v>
      </c>
      <c r="E3450">
        <v>55824.1062192073</v>
      </c>
      <c r="F3450" s="1">
        <v>46158.099791666667</v>
      </c>
      <c r="G3450">
        <v>52.874655869045299</v>
      </c>
      <c r="H3450" t="s">
        <v>32</v>
      </c>
      <c r="I3450" s="2"/>
      <c r="J3450" t="s">
        <v>16</v>
      </c>
      <c r="K3450">
        <v>577007.90534456098</v>
      </c>
      <c r="L3450" t="s">
        <v>17</v>
      </c>
      <c r="M3450">
        <v>0</v>
      </c>
      <c r="N3450">
        <v>9.6747558745961804E-2</v>
      </c>
    </row>
    <row r="3451" spans="2:14" x14ac:dyDescent="0.25">
      <c r="B3451" t="s">
        <v>14</v>
      </c>
      <c r="C3451" s="1">
        <v>46157.999988425923</v>
      </c>
      <c r="D3451">
        <v>25.154518501383201</v>
      </c>
      <c r="E3451">
        <v>41178.632075802299</v>
      </c>
      <c r="F3451" s="1">
        <v>46155.60628472222</v>
      </c>
      <c r="G3451">
        <v>52.874655869045299</v>
      </c>
      <c r="H3451" t="s">
        <v>32</v>
      </c>
      <c r="I3451" s="2"/>
      <c r="J3451" t="s">
        <v>16</v>
      </c>
      <c r="K3451">
        <v>577007.90534456098</v>
      </c>
      <c r="L3451" t="s">
        <v>17</v>
      </c>
      <c r="M3451">
        <v>-14645.474143404999</v>
      </c>
      <c r="N3451">
        <v>7.1365802260910799E-2</v>
      </c>
    </row>
    <row r="3452" spans="2:14" x14ac:dyDescent="0.25">
      <c r="B3452" t="s">
        <v>14</v>
      </c>
      <c r="C3452" s="1">
        <v>46156.999988425923</v>
      </c>
      <c r="D3452">
        <v>25.154518501383201</v>
      </c>
      <c r="E3452">
        <v>41178.632075802299</v>
      </c>
      <c r="F3452" s="1">
        <v>46155.60628472222</v>
      </c>
      <c r="G3452">
        <v>52.874655869045299</v>
      </c>
      <c r="H3452" t="s">
        <v>32</v>
      </c>
      <c r="I3452" s="2"/>
      <c r="J3452" t="s">
        <v>16</v>
      </c>
      <c r="K3452">
        <v>577007.90534456098</v>
      </c>
      <c r="L3452" t="s">
        <v>17</v>
      </c>
      <c r="M3452">
        <v>0</v>
      </c>
      <c r="N3452">
        <v>7.1365802260910799E-2</v>
      </c>
    </row>
    <row r="3453" spans="2:14" x14ac:dyDescent="0.25">
      <c r="B3453" t="s">
        <v>14</v>
      </c>
      <c r="C3453" s="1">
        <v>46155.999988425923</v>
      </c>
      <c r="D3453">
        <v>25.154518501383201</v>
      </c>
      <c r="E3453">
        <v>41178.632075802299</v>
      </c>
      <c r="F3453" s="1">
        <v>46155.60628472222</v>
      </c>
      <c r="G3453">
        <v>52.874655869045299</v>
      </c>
      <c r="H3453" t="s">
        <v>32</v>
      </c>
      <c r="I3453" s="2"/>
      <c r="J3453" t="s">
        <v>16</v>
      </c>
      <c r="K3453">
        <v>577007.90534456098</v>
      </c>
      <c r="L3453" t="s">
        <v>17</v>
      </c>
      <c r="M3453">
        <v>0</v>
      </c>
      <c r="N3453">
        <v>7.1365802260910799E-2</v>
      </c>
    </row>
    <row r="3454" spans="2:14" x14ac:dyDescent="0.25">
      <c r="B3454" t="s">
        <v>14</v>
      </c>
      <c r="C3454" s="1">
        <v>46154.999988425923</v>
      </c>
      <c r="D3454">
        <v>25.154518501383201</v>
      </c>
      <c r="E3454">
        <v>58489.220359335799</v>
      </c>
      <c r="F3454" s="1">
        <v>46153.099247685182</v>
      </c>
      <c r="G3454">
        <v>52.874655869045299</v>
      </c>
      <c r="H3454" t="s">
        <v>32</v>
      </c>
      <c r="I3454" s="2"/>
      <c r="J3454" t="s">
        <v>16</v>
      </c>
      <c r="K3454">
        <v>577007.90534456098</v>
      </c>
      <c r="L3454" t="s">
        <v>17</v>
      </c>
      <c r="M3454">
        <v>17310.5882835335</v>
      </c>
      <c r="N3454">
        <v>0.101366410784976</v>
      </c>
    </row>
    <row r="3455" spans="2:14" x14ac:dyDescent="0.25">
      <c r="B3455" t="s">
        <v>14</v>
      </c>
      <c r="C3455" s="1">
        <v>46153.999988425923</v>
      </c>
      <c r="D3455">
        <v>25.154518501383201</v>
      </c>
      <c r="E3455">
        <v>58489.220359335799</v>
      </c>
      <c r="F3455" s="1">
        <v>46153.099247685182</v>
      </c>
      <c r="G3455">
        <v>52.874655869045299</v>
      </c>
      <c r="H3455" t="s">
        <v>32</v>
      </c>
      <c r="I3455" s="2"/>
      <c r="J3455" t="s">
        <v>16</v>
      </c>
      <c r="K3455">
        <v>577007.90534456098</v>
      </c>
      <c r="L3455" t="s">
        <v>17</v>
      </c>
      <c r="M3455">
        <v>0</v>
      </c>
      <c r="N3455">
        <v>0.101366410784976</v>
      </c>
    </row>
    <row r="3456" spans="2:14" x14ac:dyDescent="0.25">
      <c r="B3456" t="s">
        <v>14</v>
      </c>
      <c r="C3456" s="1">
        <v>46152.999988425923</v>
      </c>
      <c r="D3456">
        <v>25.154518501383201</v>
      </c>
      <c r="E3456">
        <v>41784.892402453901</v>
      </c>
      <c r="F3456" s="1">
        <v>46150.605613425927</v>
      </c>
      <c r="G3456">
        <v>52.874655869045299</v>
      </c>
      <c r="H3456" t="s">
        <v>32</v>
      </c>
      <c r="I3456" s="2"/>
      <c r="J3456" t="s">
        <v>16</v>
      </c>
      <c r="K3456">
        <v>577007.90534456098</v>
      </c>
      <c r="L3456" t="s">
        <v>17</v>
      </c>
      <c r="M3456">
        <v>-16704.327956881902</v>
      </c>
      <c r="N3456">
        <v>7.2416499003600296E-2</v>
      </c>
    </row>
    <row r="3457" spans="2:14" x14ac:dyDescent="0.25">
      <c r="B3457" t="s">
        <v>14</v>
      </c>
      <c r="C3457" s="1">
        <v>46151.999988425923</v>
      </c>
      <c r="D3457">
        <v>25.154518501383201</v>
      </c>
      <c r="E3457">
        <v>41784.892402453901</v>
      </c>
      <c r="F3457" s="1">
        <v>46150.605613425927</v>
      </c>
      <c r="G3457">
        <v>52.874655869045299</v>
      </c>
      <c r="H3457" t="s">
        <v>32</v>
      </c>
      <c r="I3457" s="2"/>
      <c r="J3457" t="s">
        <v>16</v>
      </c>
      <c r="K3457">
        <v>577007.90534456098</v>
      </c>
      <c r="L3457" t="s">
        <v>17</v>
      </c>
      <c r="M3457">
        <v>0</v>
      </c>
      <c r="N3457">
        <v>7.2416499003600296E-2</v>
      </c>
    </row>
    <row r="3458" spans="2:14" x14ac:dyDescent="0.25">
      <c r="B3458" t="s">
        <v>14</v>
      </c>
      <c r="C3458" s="1">
        <v>46150.999988425923</v>
      </c>
      <c r="D3458">
        <v>25.154518501383201</v>
      </c>
      <c r="E3458">
        <v>41784.892402453901</v>
      </c>
      <c r="F3458" s="1">
        <v>46150.605613425927</v>
      </c>
      <c r="G3458">
        <v>52.874655869045299</v>
      </c>
      <c r="H3458" t="s">
        <v>32</v>
      </c>
      <c r="I3458" s="2"/>
      <c r="J3458" t="s">
        <v>16</v>
      </c>
      <c r="K3458">
        <v>577007.90534456098</v>
      </c>
      <c r="L3458" t="s">
        <v>17</v>
      </c>
      <c r="M3458">
        <v>0</v>
      </c>
      <c r="N3458">
        <v>7.2416499003600296E-2</v>
      </c>
    </row>
    <row r="3459" spans="2:14" x14ac:dyDescent="0.25">
      <c r="B3459" t="s">
        <v>14</v>
      </c>
      <c r="C3459" s="1">
        <v>46149.999988425923</v>
      </c>
      <c r="D3459">
        <v>25.154518501383201</v>
      </c>
      <c r="E3459">
        <v>39721.575365123797</v>
      </c>
      <c r="F3459" s="1">
        <v>46149.605497685188</v>
      </c>
      <c r="G3459">
        <v>52.874655869045299</v>
      </c>
      <c r="H3459" t="s">
        <v>32</v>
      </c>
      <c r="I3459" s="2"/>
      <c r="J3459" t="s">
        <v>16</v>
      </c>
      <c r="K3459">
        <v>577007.90534456098</v>
      </c>
      <c r="L3459" t="s">
        <v>17</v>
      </c>
      <c r="M3459">
        <v>-2063.31703733012</v>
      </c>
      <c r="N3459">
        <v>6.8840608589936E-2</v>
      </c>
    </row>
    <row r="3460" spans="2:14" x14ac:dyDescent="0.25">
      <c r="B3460" t="s">
        <v>14</v>
      </c>
      <c r="C3460" s="1">
        <v>46148.999988425923</v>
      </c>
      <c r="D3460">
        <v>25.154518501383201</v>
      </c>
      <c r="E3460">
        <v>54879.319207884902</v>
      </c>
      <c r="F3460" s="1">
        <v>46146.099803240744</v>
      </c>
      <c r="G3460">
        <v>52.874655869045299</v>
      </c>
      <c r="H3460" t="s">
        <v>32</v>
      </c>
      <c r="I3460" s="2"/>
      <c r="J3460" t="s">
        <v>16</v>
      </c>
      <c r="K3460">
        <v>577007.90534456098</v>
      </c>
      <c r="L3460" t="s">
        <v>17</v>
      </c>
      <c r="M3460">
        <v>15157.7438427611</v>
      </c>
      <c r="N3460">
        <v>9.5110168681508206E-2</v>
      </c>
    </row>
    <row r="3461" spans="2:14" x14ac:dyDescent="0.25">
      <c r="B3461" t="s">
        <v>14</v>
      </c>
      <c r="C3461" s="1">
        <v>46147.999988425923</v>
      </c>
      <c r="D3461">
        <v>25.154518501383201</v>
      </c>
      <c r="E3461">
        <v>54879.319207884902</v>
      </c>
      <c r="F3461" s="1">
        <v>46146.099803240744</v>
      </c>
      <c r="G3461">
        <v>52.874655869045299</v>
      </c>
      <c r="H3461" t="s">
        <v>32</v>
      </c>
      <c r="I3461" s="2"/>
      <c r="J3461" t="s">
        <v>16</v>
      </c>
      <c r="K3461">
        <v>577007.90534456098</v>
      </c>
      <c r="L3461" t="s">
        <v>17</v>
      </c>
      <c r="M3461">
        <v>0</v>
      </c>
      <c r="N3461">
        <v>9.5110168681508206E-2</v>
      </c>
    </row>
    <row r="3462" spans="2:14" x14ac:dyDescent="0.25">
      <c r="B3462" t="s">
        <v>14</v>
      </c>
      <c r="C3462" s="1">
        <v>46146.999988425923</v>
      </c>
      <c r="D3462">
        <v>25.154518501383201</v>
      </c>
      <c r="E3462">
        <v>54879.319207884902</v>
      </c>
      <c r="F3462" s="1">
        <v>46146.099803240744</v>
      </c>
      <c r="G3462">
        <v>52.874655869045299</v>
      </c>
      <c r="H3462" t="s">
        <v>32</v>
      </c>
      <c r="I3462" s="2"/>
      <c r="J3462" t="s">
        <v>16</v>
      </c>
      <c r="K3462">
        <v>577007.90534456098</v>
      </c>
      <c r="L3462" t="s">
        <v>17</v>
      </c>
      <c r="M3462">
        <v>0</v>
      </c>
      <c r="N3462">
        <v>9.5110168681508206E-2</v>
      </c>
    </row>
    <row r="3463" spans="2:14" x14ac:dyDescent="0.25">
      <c r="B3463" t="s">
        <v>14</v>
      </c>
      <c r="C3463" s="1">
        <v>46145.999988425923</v>
      </c>
      <c r="D3463">
        <v>25.154518501383201</v>
      </c>
      <c r="E3463">
        <v>40253.964976449701</v>
      </c>
      <c r="F3463" s="1">
        <v>46143.606296296297</v>
      </c>
      <c r="G3463">
        <v>52.874655869045299</v>
      </c>
      <c r="H3463" t="s">
        <v>32</v>
      </c>
      <c r="I3463" s="2"/>
      <c r="J3463" t="s">
        <v>16</v>
      </c>
      <c r="K3463">
        <v>577007.90534456098</v>
      </c>
      <c r="L3463" t="s">
        <v>17</v>
      </c>
      <c r="M3463">
        <v>-14625.3542314352</v>
      </c>
      <c r="N3463">
        <v>6.9763281583485395E-2</v>
      </c>
    </row>
    <row r="3464" spans="2:14" x14ac:dyDescent="0.25">
      <c r="B3464" t="s">
        <v>14</v>
      </c>
      <c r="C3464" s="1">
        <v>46144.999988425923</v>
      </c>
      <c r="D3464">
        <v>25.154518501383201</v>
      </c>
      <c r="E3464">
        <v>40253.964976449701</v>
      </c>
      <c r="F3464" s="1">
        <v>46143.606296296297</v>
      </c>
      <c r="G3464">
        <v>52.874655869045299</v>
      </c>
      <c r="H3464" t="s">
        <v>32</v>
      </c>
      <c r="I3464" s="2"/>
      <c r="J3464" t="s">
        <v>16</v>
      </c>
      <c r="K3464">
        <v>577007.90534456098</v>
      </c>
      <c r="L3464" t="s">
        <v>17</v>
      </c>
      <c r="M3464">
        <v>0</v>
      </c>
      <c r="N3464">
        <v>6.9763281583485395E-2</v>
      </c>
    </row>
    <row r="3465" spans="2:14" x14ac:dyDescent="0.25">
      <c r="B3465" t="s">
        <v>14</v>
      </c>
      <c r="C3465" s="1">
        <v>46143.999988425923</v>
      </c>
      <c r="D3465">
        <v>25.154518501383201</v>
      </c>
      <c r="E3465">
        <v>40253.964976449701</v>
      </c>
      <c r="F3465" s="1">
        <v>46143.606296296297</v>
      </c>
      <c r="G3465">
        <v>52.874655869045299</v>
      </c>
      <c r="H3465" t="s">
        <v>32</v>
      </c>
      <c r="I3465" s="2"/>
      <c r="J3465" t="s">
        <v>16</v>
      </c>
      <c r="K3465">
        <v>577007.90534456098</v>
      </c>
      <c r="L3465" t="s">
        <v>17</v>
      </c>
      <c r="M3465">
        <v>0</v>
      </c>
      <c r="N3465">
        <v>6.9763281583485395E-2</v>
      </c>
    </row>
    <row r="3466" spans="2:14" x14ac:dyDescent="0.25">
      <c r="B3466" t="s">
        <v>14</v>
      </c>
      <c r="C3466" s="1">
        <v>46142.999988425923</v>
      </c>
      <c r="D3466">
        <v>25.154518501383201</v>
      </c>
      <c r="E3466">
        <v>51364.689962054203</v>
      </c>
      <c r="F3466" s="1">
        <v>46140.099120370367</v>
      </c>
      <c r="G3466">
        <v>52.874655869045299</v>
      </c>
      <c r="H3466" t="s">
        <v>32</v>
      </c>
      <c r="I3466" s="2"/>
      <c r="J3466" t="s">
        <v>16</v>
      </c>
      <c r="K3466">
        <v>577007.90534456098</v>
      </c>
      <c r="L3466" t="s">
        <v>17</v>
      </c>
      <c r="M3466">
        <v>11110.7249856045</v>
      </c>
      <c r="N3466">
        <v>8.9019040270135796E-2</v>
      </c>
    </row>
    <row r="3467" spans="2:14" x14ac:dyDescent="0.25">
      <c r="B3467" t="s">
        <v>14</v>
      </c>
      <c r="C3467" s="1">
        <v>46141.999988425923</v>
      </c>
      <c r="D3467">
        <v>25.154518501383201</v>
      </c>
      <c r="E3467">
        <v>51364.689962054203</v>
      </c>
      <c r="F3467" s="1">
        <v>46140.099120370367</v>
      </c>
      <c r="G3467">
        <v>52.874655869045299</v>
      </c>
      <c r="H3467" t="s">
        <v>32</v>
      </c>
      <c r="I3467" s="2"/>
      <c r="J3467" t="s">
        <v>16</v>
      </c>
      <c r="K3467">
        <v>577007.90534456098</v>
      </c>
      <c r="L3467" t="s">
        <v>17</v>
      </c>
      <c r="M3467">
        <v>0</v>
      </c>
      <c r="N3467">
        <v>8.9019040270135796E-2</v>
      </c>
    </row>
    <row r="3468" spans="2:14" x14ac:dyDescent="0.25">
      <c r="B3468" t="s">
        <v>14</v>
      </c>
      <c r="C3468" s="1">
        <v>46140.999988425923</v>
      </c>
      <c r="D3468">
        <v>25.154518501383201</v>
      </c>
      <c r="E3468">
        <v>51364.689962054203</v>
      </c>
      <c r="F3468" s="1">
        <v>46140.099120370367</v>
      </c>
      <c r="G3468">
        <v>52.874655869045299</v>
      </c>
      <c r="H3468" t="s">
        <v>32</v>
      </c>
      <c r="I3468" s="2"/>
      <c r="J3468" t="s">
        <v>16</v>
      </c>
      <c r="K3468">
        <v>577007.90534456098</v>
      </c>
      <c r="L3468" t="s">
        <v>17</v>
      </c>
      <c r="M3468">
        <v>0</v>
      </c>
      <c r="N3468">
        <v>8.9019040270135796E-2</v>
      </c>
    </row>
    <row r="3469" spans="2:14" x14ac:dyDescent="0.25">
      <c r="B3469" t="s">
        <v>14</v>
      </c>
      <c r="C3469" s="1">
        <v>46139.999988425923</v>
      </c>
      <c r="D3469">
        <v>25.154518501383201</v>
      </c>
      <c r="E3469">
        <v>41483.982872701301</v>
      </c>
      <c r="F3469" s="1">
        <v>46137.605486111112</v>
      </c>
      <c r="G3469">
        <v>52.874655869045299</v>
      </c>
      <c r="H3469" t="s">
        <v>32</v>
      </c>
      <c r="I3469" s="2"/>
      <c r="J3469" t="s">
        <v>16</v>
      </c>
      <c r="K3469">
        <v>577007.90534456098</v>
      </c>
      <c r="L3469" t="s">
        <v>17</v>
      </c>
      <c r="M3469">
        <v>-9880.7070893528798</v>
      </c>
      <c r="N3469">
        <v>7.1894999164576603E-2</v>
      </c>
    </row>
    <row r="3470" spans="2:14" x14ac:dyDescent="0.25">
      <c r="B3470" t="s">
        <v>14</v>
      </c>
      <c r="C3470" s="1">
        <v>46138.999988425923</v>
      </c>
      <c r="D3470">
        <v>25.154518501383201</v>
      </c>
      <c r="E3470">
        <v>41483.982872701301</v>
      </c>
      <c r="F3470" s="1">
        <v>46137.605486111112</v>
      </c>
      <c r="G3470">
        <v>52.874655869045299</v>
      </c>
      <c r="H3470" t="s">
        <v>32</v>
      </c>
      <c r="I3470" s="2"/>
      <c r="J3470" t="s">
        <v>16</v>
      </c>
      <c r="K3470">
        <v>577007.90534456098</v>
      </c>
      <c r="L3470" t="s">
        <v>17</v>
      </c>
      <c r="M3470">
        <v>0</v>
      </c>
      <c r="N3470">
        <v>7.1894999164576603E-2</v>
      </c>
    </row>
    <row r="3471" spans="2:14" x14ac:dyDescent="0.25">
      <c r="B3471" t="s">
        <v>14</v>
      </c>
      <c r="C3471" s="1">
        <v>46137.999988425923</v>
      </c>
      <c r="D3471">
        <v>25.154518501383201</v>
      </c>
      <c r="E3471">
        <v>41483.982872701301</v>
      </c>
      <c r="F3471" s="1">
        <v>46137.605486111112</v>
      </c>
      <c r="G3471">
        <v>52.874655869045299</v>
      </c>
      <c r="H3471" t="s">
        <v>32</v>
      </c>
      <c r="I3471" s="2"/>
      <c r="J3471" t="s">
        <v>16</v>
      </c>
      <c r="K3471">
        <v>577007.90534456098</v>
      </c>
      <c r="L3471" t="s">
        <v>17</v>
      </c>
      <c r="M3471">
        <v>0</v>
      </c>
      <c r="N3471">
        <v>7.1894999164576603E-2</v>
      </c>
    </row>
    <row r="3472" spans="2:14" x14ac:dyDescent="0.25">
      <c r="B3472" t="s">
        <v>14</v>
      </c>
      <c r="C3472" s="1">
        <v>46136.999988425923</v>
      </c>
      <c r="D3472">
        <v>25.154518501383201</v>
      </c>
      <c r="E3472">
        <v>53167.051324073298</v>
      </c>
      <c r="F3472" s="1">
        <v>46134.099803240744</v>
      </c>
      <c r="G3472">
        <v>52.874655869045299</v>
      </c>
      <c r="H3472" t="s">
        <v>32</v>
      </c>
      <c r="I3472" s="2"/>
      <c r="J3472" t="s">
        <v>16</v>
      </c>
      <c r="K3472">
        <v>577007.90534456098</v>
      </c>
      <c r="L3472" t="s">
        <v>17</v>
      </c>
      <c r="M3472">
        <v>11683.068451371901</v>
      </c>
      <c r="N3472">
        <v>9.2142674011241696E-2</v>
      </c>
    </row>
    <row r="3473" spans="2:14" x14ac:dyDescent="0.25">
      <c r="B3473" t="s">
        <v>14</v>
      </c>
      <c r="C3473" s="1">
        <v>46135.999988425923</v>
      </c>
      <c r="D3473">
        <v>25.154518501383201</v>
      </c>
      <c r="E3473">
        <v>53167.051324073298</v>
      </c>
      <c r="F3473" s="1">
        <v>46134.099803240744</v>
      </c>
      <c r="G3473">
        <v>52.874655869045299</v>
      </c>
      <c r="H3473" t="s">
        <v>32</v>
      </c>
      <c r="I3473" s="2"/>
      <c r="J3473" t="s">
        <v>16</v>
      </c>
      <c r="K3473">
        <v>577007.90534456098</v>
      </c>
      <c r="L3473" t="s">
        <v>17</v>
      </c>
      <c r="M3473">
        <v>0</v>
      </c>
      <c r="N3473">
        <v>9.2142674011241696E-2</v>
      </c>
    </row>
    <row r="3474" spans="2:14" x14ac:dyDescent="0.25">
      <c r="B3474" t="s">
        <v>14</v>
      </c>
      <c r="C3474" s="1">
        <v>46134.999988425923</v>
      </c>
      <c r="D3474">
        <v>25.154518501383201</v>
      </c>
      <c r="E3474">
        <v>53167.051324073298</v>
      </c>
      <c r="F3474" s="1">
        <v>46134.099803240744</v>
      </c>
      <c r="G3474">
        <v>52.874655869045299</v>
      </c>
      <c r="H3474" t="s">
        <v>32</v>
      </c>
      <c r="I3474" s="2"/>
      <c r="J3474" t="s">
        <v>16</v>
      </c>
      <c r="K3474">
        <v>577007.90534456098</v>
      </c>
      <c r="L3474" t="s">
        <v>17</v>
      </c>
      <c r="M3474">
        <v>0</v>
      </c>
      <c r="N3474">
        <v>9.2142674011241696E-2</v>
      </c>
    </row>
    <row r="3475" spans="2:14" x14ac:dyDescent="0.25">
      <c r="B3475" t="s">
        <v>14</v>
      </c>
      <c r="C3475" s="1">
        <v>46133.999988425923</v>
      </c>
      <c r="D3475">
        <v>25.154518501383201</v>
      </c>
      <c r="E3475">
        <v>37466.3783832548</v>
      </c>
      <c r="F3475" s="1">
        <v>46131.606296296297</v>
      </c>
      <c r="G3475">
        <v>52.874655869045299</v>
      </c>
      <c r="H3475" t="s">
        <v>32</v>
      </c>
      <c r="I3475" s="2"/>
      <c r="J3475" t="s">
        <v>16</v>
      </c>
      <c r="K3475">
        <v>577007.90534456098</v>
      </c>
      <c r="L3475" t="s">
        <v>17</v>
      </c>
      <c r="M3475">
        <v>-15700.6729408184</v>
      </c>
      <c r="N3475">
        <v>6.4932175168175094E-2</v>
      </c>
    </row>
    <row r="3476" spans="2:14" x14ac:dyDescent="0.25">
      <c r="B3476" t="s">
        <v>14</v>
      </c>
      <c r="C3476" s="1">
        <v>46132.999988425923</v>
      </c>
      <c r="D3476">
        <v>25.154518501383201</v>
      </c>
      <c r="E3476">
        <v>37466.3783832548</v>
      </c>
      <c r="F3476" s="1">
        <v>46131.606296296297</v>
      </c>
      <c r="G3476">
        <v>52.874655869045299</v>
      </c>
      <c r="H3476" t="s">
        <v>32</v>
      </c>
      <c r="I3476" s="2"/>
      <c r="J3476" t="s">
        <v>16</v>
      </c>
      <c r="K3476">
        <v>577007.90534456098</v>
      </c>
      <c r="L3476" t="s">
        <v>17</v>
      </c>
      <c r="M3476">
        <v>0</v>
      </c>
      <c r="N3476">
        <v>6.4932175168175094E-2</v>
      </c>
    </row>
    <row r="3477" spans="2:14" x14ac:dyDescent="0.25">
      <c r="B3477" t="s">
        <v>14</v>
      </c>
      <c r="C3477" s="1">
        <v>46131.999988425923</v>
      </c>
      <c r="D3477">
        <v>25.154518501383201</v>
      </c>
      <c r="E3477">
        <v>37466.3783832548</v>
      </c>
      <c r="F3477" s="1">
        <v>46131.606296296297</v>
      </c>
      <c r="G3477">
        <v>52.874655869045299</v>
      </c>
      <c r="H3477" t="s">
        <v>32</v>
      </c>
      <c r="I3477" s="2"/>
      <c r="J3477" t="s">
        <v>16</v>
      </c>
      <c r="K3477">
        <v>577007.90534456098</v>
      </c>
      <c r="L3477" t="s">
        <v>17</v>
      </c>
      <c r="M3477">
        <v>0</v>
      </c>
      <c r="N3477">
        <v>6.4932175168175094E-2</v>
      </c>
    </row>
    <row r="3478" spans="2:14" x14ac:dyDescent="0.25">
      <c r="B3478" t="s">
        <v>14</v>
      </c>
      <c r="C3478" s="1">
        <v>46130.999988425923</v>
      </c>
      <c r="D3478">
        <v>25.154518501383201</v>
      </c>
      <c r="E3478">
        <v>52310.948275643597</v>
      </c>
      <c r="F3478" s="1">
        <v>46128.099108796298</v>
      </c>
      <c r="G3478">
        <v>52.874655869045299</v>
      </c>
      <c r="H3478" t="s">
        <v>32</v>
      </c>
      <c r="I3478" s="2"/>
      <c r="J3478" t="s">
        <v>16</v>
      </c>
      <c r="K3478">
        <v>577007.90534456098</v>
      </c>
      <c r="L3478" t="s">
        <v>17</v>
      </c>
      <c r="M3478">
        <v>14844.569892388699</v>
      </c>
      <c r="N3478">
        <v>9.0658980216927906E-2</v>
      </c>
    </row>
    <row r="3479" spans="2:14" x14ac:dyDescent="0.25">
      <c r="B3479" t="s">
        <v>14</v>
      </c>
      <c r="C3479" s="1">
        <v>46129.999988425923</v>
      </c>
      <c r="D3479">
        <v>25.154518501383201</v>
      </c>
      <c r="E3479">
        <v>52310.948275643597</v>
      </c>
      <c r="F3479" s="1">
        <v>46128.099108796298</v>
      </c>
      <c r="G3479">
        <v>52.874655869045299</v>
      </c>
      <c r="H3479" t="s">
        <v>32</v>
      </c>
      <c r="I3479" s="2"/>
      <c r="J3479" t="s">
        <v>16</v>
      </c>
      <c r="K3479">
        <v>577007.90534456098</v>
      </c>
      <c r="L3479" t="s">
        <v>17</v>
      </c>
      <c r="M3479">
        <v>0</v>
      </c>
      <c r="N3479">
        <v>9.0658980216927906E-2</v>
      </c>
    </row>
    <row r="3480" spans="2:14" x14ac:dyDescent="0.25">
      <c r="B3480" t="s">
        <v>14</v>
      </c>
      <c r="C3480" s="1">
        <v>46128.999988425923</v>
      </c>
      <c r="D3480">
        <v>25.154518501383201</v>
      </c>
      <c r="E3480">
        <v>52310.948275643597</v>
      </c>
      <c r="F3480" s="1">
        <v>46128.099108796298</v>
      </c>
      <c r="G3480">
        <v>52.874655869045299</v>
      </c>
      <c r="H3480" t="s">
        <v>32</v>
      </c>
      <c r="I3480" s="2"/>
      <c r="J3480" t="s">
        <v>16</v>
      </c>
      <c r="K3480">
        <v>577007.90534456098</v>
      </c>
      <c r="L3480" t="s">
        <v>17</v>
      </c>
      <c r="M3480">
        <v>0</v>
      </c>
      <c r="N3480">
        <v>9.0658980216927906E-2</v>
      </c>
    </row>
    <row r="3481" spans="2:14" x14ac:dyDescent="0.25">
      <c r="B3481" t="s">
        <v>14</v>
      </c>
      <c r="C3481" s="1">
        <v>46127.999988425923</v>
      </c>
      <c r="D3481">
        <v>25.154518501383201</v>
      </c>
      <c r="E3481">
        <v>41034.074565615498</v>
      </c>
      <c r="F3481" s="1">
        <v>46125.605486111112</v>
      </c>
      <c r="G3481">
        <v>52.874655869045299</v>
      </c>
      <c r="H3481" t="s">
        <v>32</v>
      </c>
      <c r="I3481" s="2"/>
      <c r="J3481" t="s">
        <v>16</v>
      </c>
      <c r="K3481">
        <v>577007.90534456098</v>
      </c>
      <c r="L3481" t="s">
        <v>17</v>
      </c>
      <c r="M3481">
        <v>-11276.8737100281</v>
      </c>
      <c r="N3481">
        <v>7.1115272746760605E-2</v>
      </c>
    </row>
    <row r="3482" spans="2:14" x14ac:dyDescent="0.25">
      <c r="B3482" t="s">
        <v>14</v>
      </c>
      <c r="C3482" s="1">
        <v>46126.999988425923</v>
      </c>
      <c r="D3482">
        <v>25.154518501383201</v>
      </c>
      <c r="E3482">
        <v>41034.074565615498</v>
      </c>
      <c r="F3482" s="1">
        <v>46125.605486111112</v>
      </c>
      <c r="G3482">
        <v>52.874655869045299</v>
      </c>
      <c r="H3482" t="s">
        <v>32</v>
      </c>
      <c r="I3482" s="2"/>
      <c r="J3482" t="s">
        <v>16</v>
      </c>
      <c r="K3482">
        <v>577007.90534456098</v>
      </c>
      <c r="L3482" t="s">
        <v>17</v>
      </c>
      <c r="M3482">
        <v>0</v>
      </c>
      <c r="N3482">
        <v>7.1115272746760605E-2</v>
      </c>
    </row>
    <row r="3483" spans="2:14" x14ac:dyDescent="0.25">
      <c r="B3483" t="s">
        <v>14</v>
      </c>
      <c r="C3483" s="1">
        <v>46125.999988425923</v>
      </c>
      <c r="D3483">
        <v>25.154518501383201</v>
      </c>
      <c r="E3483">
        <v>41034.074565615498</v>
      </c>
      <c r="F3483" s="1">
        <v>46125.605486111112</v>
      </c>
      <c r="G3483">
        <v>52.874655869045299</v>
      </c>
      <c r="H3483" t="s">
        <v>32</v>
      </c>
      <c r="I3483" s="2"/>
      <c r="J3483" t="s">
        <v>16</v>
      </c>
      <c r="K3483">
        <v>577007.90534456098</v>
      </c>
      <c r="L3483" t="s">
        <v>17</v>
      </c>
      <c r="M3483">
        <v>0</v>
      </c>
      <c r="N3483">
        <v>7.1115272746760605E-2</v>
      </c>
    </row>
    <row r="3484" spans="2:14" x14ac:dyDescent="0.25">
      <c r="B3484" t="s">
        <v>14</v>
      </c>
      <c r="C3484" s="1">
        <v>46124.999988425923</v>
      </c>
      <c r="D3484">
        <v>25.154518501383201</v>
      </c>
      <c r="E3484">
        <v>54243.265535857601</v>
      </c>
      <c r="F3484" s="1">
        <v>46122.099803240744</v>
      </c>
      <c r="G3484">
        <v>52.874655869045299</v>
      </c>
      <c r="H3484" t="s">
        <v>32</v>
      </c>
      <c r="I3484" s="2"/>
      <c r="J3484" t="s">
        <v>16</v>
      </c>
      <c r="K3484">
        <v>577007.90534456098</v>
      </c>
      <c r="L3484" t="s">
        <v>17</v>
      </c>
      <c r="M3484">
        <v>13209.1909702421</v>
      </c>
      <c r="N3484">
        <v>9.4007837732251104E-2</v>
      </c>
    </row>
    <row r="3485" spans="2:14" x14ac:dyDescent="0.25">
      <c r="B3485" t="s">
        <v>14</v>
      </c>
      <c r="C3485" s="1">
        <v>46123.999988425923</v>
      </c>
      <c r="D3485">
        <v>25.154518501383201</v>
      </c>
      <c r="E3485">
        <v>54243.265535857601</v>
      </c>
      <c r="F3485" s="1">
        <v>46122.099803240744</v>
      </c>
      <c r="G3485">
        <v>52.874655869045299</v>
      </c>
      <c r="H3485" t="s">
        <v>32</v>
      </c>
      <c r="I3485" s="2"/>
      <c r="J3485" t="s">
        <v>16</v>
      </c>
      <c r="K3485">
        <v>577007.90534456098</v>
      </c>
      <c r="L3485" t="s">
        <v>17</v>
      </c>
      <c r="M3485">
        <v>0</v>
      </c>
      <c r="N3485">
        <v>9.4007837732251104E-2</v>
      </c>
    </row>
    <row r="3486" spans="2:14" x14ac:dyDescent="0.25">
      <c r="B3486" t="s">
        <v>14</v>
      </c>
      <c r="C3486" s="1">
        <v>46122.999988425923</v>
      </c>
      <c r="D3486">
        <v>25.154518501383201</v>
      </c>
      <c r="E3486">
        <v>54243.265535857601</v>
      </c>
      <c r="F3486" s="1">
        <v>46122.099803240744</v>
      </c>
      <c r="G3486">
        <v>52.874655869045299</v>
      </c>
      <c r="H3486" t="s">
        <v>32</v>
      </c>
      <c r="I3486" s="2"/>
      <c r="J3486" t="s">
        <v>16</v>
      </c>
      <c r="K3486">
        <v>577007.90534456098</v>
      </c>
      <c r="L3486" t="s">
        <v>17</v>
      </c>
      <c r="M3486">
        <v>0</v>
      </c>
      <c r="N3486">
        <v>9.4007837732251104E-2</v>
      </c>
    </row>
    <row r="3487" spans="2:14" x14ac:dyDescent="0.25">
      <c r="B3487" t="s">
        <v>14</v>
      </c>
      <c r="C3487" s="1">
        <v>46121.999988425923</v>
      </c>
      <c r="D3487">
        <v>25.154518501383201</v>
      </c>
      <c r="E3487">
        <v>40172.552130871401</v>
      </c>
      <c r="F3487" s="1">
        <v>46119.606296296297</v>
      </c>
      <c r="G3487">
        <v>52.874655869045299</v>
      </c>
      <c r="H3487" t="s">
        <v>32</v>
      </c>
      <c r="I3487" s="2"/>
      <c r="J3487" t="s">
        <v>16</v>
      </c>
      <c r="K3487">
        <v>577007.90534456098</v>
      </c>
      <c r="L3487" t="s">
        <v>17</v>
      </c>
      <c r="M3487">
        <v>-14070.7134049861</v>
      </c>
      <c r="N3487">
        <v>6.9622186730496E-2</v>
      </c>
    </row>
    <row r="3488" spans="2:14" x14ac:dyDescent="0.25">
      <c r="B3488" t="s">
        <v>14</v>
      </c>
      <c r="C3488" s="1">
        <v>46120.999988425923</v>
      </c>
      <c r="D3488">
        <v>25.154518501383201</v>
      </c>
      <c r="E3488">
        <v>40172.552130871401</v>
      </c>
      <c r="F3488" s="1">
        <v>46119.606296296297</v>
      </c>
      <c r="G3488">
        <v>52.874655869045299</v>
      </c>
      <c r="H3488" t="s">
        <v>32</v>
      </c>
      <c r="I3488" s="2"/>
      <c r="J3488" t="s">
        <v>16</v>
      </c>
      <c r="K3488">
        <v>577007.90534456098</v>
      </c>
      <c r="L3488" t="s">
        <v>17</v>
      </c>
      <c r="M3488">
        <v>0</v>
      </c>
      <c r="N3488">
        <v>6.9622186730496E-2</v>
      </c>
    </row>
    <row r="3489" spans="2:14" x14ac:dyDescent="0.25">
      <c r="B3489" t="s">
        <v>14</v>
      </c>
      <c r="C3489" s="1">
        <v>46119.999988425923</v>
      </c>
      <c r="D3489">
        <v>25.154518501383201</v>
      </c>
      <c r="E3489">
        <v>40172.552130871401</v>
      </c>
      <c r="F3489" s="1">
        <v>46119.606296296297</v>
      </c>
      <c r="G3489">
        <v>52.874655869045299</v>
      </c>
      <c r="H3489" t="s">
        <v>32</v>
      </c>
      <c r="I3489" s="2"/>
      <c r="J3489" t="s">
        <v>16</v>
      </c>
      <c r="K3489">
        <v>577007.90534456098</v>
      </c>
      <c r="L3489" t="s">
        <v>17</v>
      </c>
      <c r="M3489">
        <v>0</v>
      </c>
      <c r="N3489">
        <v>6.9622186730496E-2</v>
      </c>
    </row>
    <row r="3490" spans="2:14" x14ac:dyDescent="0.25">
      <c r="B3490" t="s">
        <v>14</v>
      </c>
      <c r="C3490" s="1">
        <v>46118.999988425923</v>
      </c>
      <c r="D3490">
        <v>25.154518501383201</v>
      </c>
      <c r="E3490">
        <v>44473.944030506696</v>
      </c>
      <c r="F3490" s="1">
        <v>46116.099108796298</v>
      </c>
      <c r="G3490">
        <v>52.874655869045299</v>
      </c>
      <c r="H3490" t="s">
        <v>32</v>
      </c>
      <c r="I3490" s="2"/>
      <c r="J3490" t="s">
        <v>16</v>
      </c>
      <c r="K3490">
        <v>577007.90534456098</v>
      </c>
      <c r="L3490" t="s">
        <v>17</v>
      </c>
      <c r="M3490">
        <v>4301.3918996353104</v>
      </c>
      <c r="N3490">
        <v>7.7076836588484895E-2</v>
      </c>
    </row>
    <row r="3491" spans="2:14" x14ac:dyDescent="0.25">
      <c r="B3491" t="s">
        <v>14</v>
      </c>
      <c r="C3491" s="1">
        <v>46117.999988425923</v>
      </c>
      <c r="D3491">
        <v>25.154518501383201</v>
      </c>
      <c r="E3491">
        <v>44473.944030506696</v>
      </c>
      <c r="F3491" s="1">
        <v>46116.099108796298</v>
      </c>
      <c r="G3491">
        <v>52.874655869045299</v>
      </c>
      <c r="H3491" t="s">
        <v>32</v>
      </c>
      <c r="I3491" s="2"/>
      <c r="J3491" t="s">
        <v>16</v>
      </c>
      <c r="K3491">
        <v>577007.90534456098</v>
      </c>
      <c r="L3491" t="s">
        <v>17</v>
      </c>
      <c r="M3491">
        <v>0</v>
      </c>
      <c r="N3491">
        <v>7.7076836588484895E-2</v>
      </c>
    </row>
    <row r="3492" spans="2:14" x14ac:dyDescent="0.25">
      <c r="B3492" t="s">
        <v>14</v>
      </c>
      <c r="C3492" s="1">
        <v>46116.999988425923</v>
      </c>
      <c r="D3492">
        <v>25.154518501383201</v>
      </c>
      <c r="E3492">
        <v>44473.944030506696</v>
      </c>
      <c r="F3492" s="1">
        <v>46116.099108796298</v>
      </c>
      <c r="G3492">
        <v>52.874655869045299</v>
      </c>
      <c r="H3492" t="s">
        <v>32</v>
      </c>
      <c r="I3492" s="2"/>
      <c r="J3492" t="s">
        <v>16</v>
      </c>
      <c r="K3492">
        <v>577007.90534456098</v>
      </c>
      <c r="L3492" t="s">
        <v>17</v>
      </c>
      <c r="M3492">
        <v>0</v>
      </c>
      <c r="N3492">
        <v>7.7076836588484895E-2</v>
      </c>
    </row>
    <row r="3493" spans="2:14" x14ac:dyDescent="0.25">
      <c r="B3493" t="s">
        <v>14</v>
      </c>
      <c r="C3493" s="1">
        <v>46115.999988425923</v>
      </c>
      <c r="D3493">
        <v>25.154518501383201</v>
      </c>
      <c r="E3493">
        <v>32179.951132338399</v>
      </c>
      <c r="F3493" s="1">
        <v>46113.605474537035</v>
      </c>
      <c r="G3493">
        <v>52.874655869045299</v>
      </c>
      <c r="H3493" t="s">
        <v>32</v>
      </c>
      <c r="I3493" s="2"/>
      <c r="J3493" t="s">
        <v>16</v>
      </c>
      <c r="K3493">
        <v>577007.90534456098</v>
      </c>
      <c r="L3493" t="s">
        <v>17</v>
      </c>
      <c r="M3493">
        <v>-12293.992898168201</v>
      </c>
      <c r="N3493">
        <v>5.5770381712746502E-2</v>
      </c>
    </row>
    <row r="3494" spans="2:14" x14ac:dyDescent="0.25">
      <c r="B3494" t="s">
        <v>14</v>
      </c>
      <c r="C3494" s="1">
        <v>46114.999988425923</v>
      </c>
      <c r="D3494">
        <v>25.154518501383201</v>
      </c>
      <c r="E3494">
        <v>32179.951132338399</v>
      </c>
      <c r="F3494" s="1">
        <v>46113.605474537035</v>
      </c>
      <c r="G3494">
        <v>52.874655869045299</v>
      </c>
      <c r="H3494" t="s">
        <v>32</v>
      </c>
      <c r="I3494" s="2"/>
      <c r="J3494" t="s">
        <v>16</v>
      </c>
      <c r="K3494">
        <v>577007.90534456098</v>
      </c>
      <c r="L3494" t="s">
        <v>17</v>
      </c>
      <c r="M3494">
        <v>0</v>
      </c>
      <c r="N3494">
        <v>5.5770381712746502E-2</v>
      </c>
    </row>
    <row r="3495" spans="2:14" x14ac:dyDescent="0.25">
      <c r="B3495" t="s">
        <v>14</v>
      </c>
      <c r="C3495" s="1">
        <v>46113.999988425923</v>
      </c>
      <c r="D3495">
        <v>25.154518501383201</v>
      </c>
      <c r="E3495">
        <v>32179.951132338399</v>
      </c>
      <c r="F3495" s="1">
        <v>46113.605474537035</v>
      </c>
      <c r="G3495">
        <v>52.874655869045299</v>
      </c>
      <c r="H3495" t="s">
        <v>32</v>
      </c>
      <c r="I3495" s="2"/>
      <c r="J3495" t="s">
        <v>16</v>
      </c>
      <c r="K3495">
        <v>577007.90534456098</v>
      </c>
      <c r="L3495" t="s">
        <v>17</v>
      </c>
      <c r="M3495">
        <v>0</v>
      </c>
      <c r="N3495">
        <v>5.5770381712746502E-2</v>
      </c>
    </row>
    <row r="3496" spans="2:14" x14ac:dyDescent="0.25">
      <c r="B3496" t="s">
        <v>14</v>
      </c>
      <c r="C3496" s="1">
        <v>46112.999988425923</v>
      </c>
      <c r="D3496">
        <v>25.154518501383201</v>
      </c>
      <c r="E3496">
        <v>49177.499535362898</v>
      </c>
      <c r="F3496" s="1">
        <v>46110.099803240744</v>
      </c>
      <c r="G3496">
        <v>52.874655869045299</v>
      </c>
      <c r="H3496" t="s">
        <v>32</v>
      </c>
      <c r="I3496" s="2"/>
      <c r="J3496" t="s">
        <v>16</v>
      </c>
      <c r="K3496">
        <v>577007.90534456098</v>
      </c>
      <c r="L3496" t="s">
        <v>17</v>
      </c>
      <c r="M3496">
        <v>16997.548403024401</v>
      </c>
      <c r="N3496">
        <v>8.5228467547591905E-2</v>
      </c>
    </row>
    <row r="3497" spans="2:14" x14ac:dyDescent="0.25">
      <c r="B3497" t="s">
        <v>14</v>
      </c>
      <c r="C3497" s="1">
        <v>46111.999988425923</v>
      </c>
      <c r="D3497">
        <v>25.154518501383201</v>
      </c>
      <c r="E3497">
        <v>49177.499535362898</v>
      </c>
      <c r="F3497" s="1">
        <v>46110.099803240744</v>
      </c>
      <c r="G3497">
        <v>52.874655869045299</v>
      </c>
      <c r="H3497" t="s">
        <v>32</v>
      </c>
      <c r="I3497" s="2"/>
      <c r="J3497" t="s">
        <v>16</v>
      </c>
      <c r="K3497">
        <v>577007.90534456098</v>
      </c>
      <c r="L3497" t="s">
        <v>17</v>
      </c>
      <c r="M3497">
        <v>0</v>
      </c>
      <c r="N3497">
        <v>8.5228467547591905E-2</v>
      </c>
    </row>
    <row r="3498" spans="2:14" x14ac:dyDescent="0.25">
      <c r="B3498" t="s">
        <v>14</v>
      </c>
      <c r="C3498" s="1">
        <v>46110.999988425923</v>
      </c>
      <c r="D3498">
        <v>25.154518501383201</v>
      </c>
      <c r="E3498">
        <v>49177.499535362898</v>
      </c>
      <c r="F3498" s="1">
        <v>46110.099803240744</v>
      </c>
      <c r="G3498">
        <v>52.874655869045299</v>
      </c>
      <c r="H3498" t="s">
        <v>32</v>
      </c>
      <c r="I3498" s="2"/>
      <c r="J3498" t="s">
        <v>16</v>
      </c>
      <c r="K3498">
        <v>577007.90534456098</v>
      </c>
      <c r="L3498" t="s">
        <v>17</v>
      </c>
      <c r="M3498">
        <v>0</v>
      </c>
      <c r="N3498">
        <v>8.5228467547591905E-2</v>
      </c>
    </row>
    <row r="3499" spans="2:14" x14ac:dyDescent="0.25">
      <c r="B3499" t="s">
        <v>14</v>
      </c>
      <c r="C3499" s="1">
        <v>46109.999988425923</v>
      </c>
      <c r="D3499">
        <v>25.154518501383201</v>
      </c>
      <c r="E3499">
        <v>40934.540100293503</v>
      </c>
      <c r="F3499" s="1">
        <v>46107.606296296297</v>
      </c>
      <c r="G3499">
        <v>52.874655869045299</v>
      </c>
      <c r="H3499" t="s">
        <v>32</v>
      </c>
      <c r="I3499" s="2"/>
      <c r="J3499" t="s">
        <v>16</v>
      </c>
      <c r="K3499">
        <v>577007.90534456098</v>
      </c>
      <c r="L3499" t="s">
        <v>17</v>
      </c>
      <c r="M3499">
        <v>-8242.9594350693496</v>
      </c>
      <c r="N3499">
        <v>7.09427717040539E-2</v>
      </c>
    </row>
    <row r="3500" spans="2:14" x14ac:dyDescent="0.25">
      <c r="B3500" t="s">
        <v>14</v>
      </c>
      <c r="C3500" s="1">
        <v>46108.999988425923</v>
      </c>
      <c r="D3500">
        <v>25.154518501383201</v>
      </c>
      <c r="E3500">
        <v>40934.540100293503</v>
      </c>
      <c r="F3500" s="1">
        <v>46107.606296296297</v>
      </c>
      <c r="G3500">
        <v>52.874655869045299</v>
      </c>
      <c r="H3500" t="s">
        <v>32</v>
      </c>
      <c r="I3500" s="2"/>
      <c r="J3500" t="s">
        <v>16</v>
      </c>
      <c r="K3500">
        <v>577007.90534456098</v>
      </c>
      <c r="L3500" t="s">
        <v>17</v>
      </c>
      <c r="M3500">
        <v>0</v>
      </c>
      <c r="N3500">
        <v>7.09427717040539E-2</v>
      </c>
    </row>
    <row r="3501" spans="2:14" x14ac:dyDescent="0.25">
      <c r="B3501" t="s">
        <v>14</v>
      </c>
      <c r="C3501" s="1">
        <v>46107.999988425923</v>
      </c>
      <c r="D3501">
        <v>25.154518501383201</v>
      </c>
      <c r="E3501">
        <v>40934.540100293503</v>
      </c>
      <c r="F3501" s="1">
        <v>46107.606296296297</v>
      </c>
      <c r="G3501">
        <v>52.874655869045299</v>
      </c>
      <c r="H3501" t="s">
        <v>32</v>
      </c>
      <c r="I3501" s="2"/>
      <c r="J3501" t="s">
        <v>16</v>
      </c>
      <c r="K3501">
        <v>577007.90534456098</v>
      </c>
      <c r="L3501" t="s">
        <v>17</v>
      </c>
      <c r="M3501">
        <v>0</v>
      </c>
      <c r="N3501">
        <v>7.09427717040539E-2</v>
      </c>
    </row>
    <row r="3502" spans="2:14" x14ac:dyDescent="0.25">
      <c r="B3502" t="s">
        <v>14</v>
      </c>
      <c r="C3502" s="1">
        <v>46106.999988425923</v>
      </c>
      <c r="D3502">
        <v>25.154518501383201</v>
      </c>
      <c r="E3502">
        <v>45837.312699785201</v>
      </c>
      <c r="F3502" s="1">
        <v>46104.099108796298</v>
      </c>
      <c r="G3502">
        <v>52.874655869045299</v>
      </c>
      <c r="H3502" t="s">
        <v>32</v>
      </c>
      <c r="I3502" s="2"/>
      <c r="J3502" t="s">
        <v>16</v>
      </c>
      <c r="K3502">
        <v>577007.90534456098</v>
      </c>
      <c r="L3502" t="s">
        <v>17</v>
      </c>
      <c r="M3502">
        <v>4902.77259949164</v>
      </c>
      <c r="N3502">
        <v>7.9439661528403802E-2</v>
      </c>
    </row>
    <row r="3503" spans="2:14" x14ac:dyDescent="0.25">
      <c r="B3503" t="s">
        <v>14</v>
      </c>
      <c r="C3503" s="1">
        <v>46105.999988425923</v>
      </c>
      <c r="D3503">
        <v>25.154518501383201</v>
      </c>
      <c r="E3503">
        <v>45837.312699785201</v>
      </c>
      <c r="F3503" s="1">
        <v>46104.099108796298</v>
      </c>
      <c r="G3503">
        <v>52.874655869045299</v>
      </c>
      <c r="H3503" t="s">
        <v>32</v>
      </c>
      <c r="I3503" s="2"/>
      <c r="J3503" t="s">
        <v>16</v>
      </c>
      <c r="K3503">
        <v>577007.90534456098</v>
      </c>
      <c r="L3503" t="s">
        <v>17</v>
      </c>
      <c r="M3503">
        <v>0</v>
      </c>
      <c r="N3503">
        <v>7.9439661528403802E-2</v>
      </c>
    </row>
    <row r="3504" spans="2:14" x14ac:dyDescent="0.25">
      <c r="B3504" t="s">
        <v>14</v>
      </c>
      <c r="C3504" s="1">
        <v>46104.999988425923</v>
      </c>
      <c r="D3504">
        <v>25.154518501383201</v>
      </c>
      <c r="E3504">
        <v>45837.312699785201</v>
      </c>
      <c r="F3504" s="1">
        <v>46104.099108796298</v>
      </c>
      <c r="G3504">
        <v>52.874655869045299</v>
      </c>
      <c r="H3504" t="s">
        <v>32</v>
      </c>
      <c r="I3504" s="2"/>
      <c r="J3504" t="s">
        <v>16</v>
      </c>
      <c r="K3504">
        <v>577007.90534456098</v>
      </c>
      <c r="L3504" t="s">
        <v>17</v>
      </c>
      <c r="M3504">
        <v>0</v>
      </c>
      <c r="N3504">
        <v>7.9439661528403802E-2</v>
      </c>
    </row>
    <row r="3505" spans="2:14" x14ac:dyDescent="0.25">
      <c r="B3505" t="s">
        <v>14</v>
      </c>
      <c r="C3505" s="1">
        <v>46103.999988425923</v>
      </c>
      <c r="D3505">
        <v>25.154518501383201</v>
      </c>
      <c r="E3505">
        <v>39018.478920267</v>
      </c>
      <c r="F3505" s="1">
        <v>46101.605474537035</v>
      </c>
      <c r="G3505">
        <v>52.874655869045299</v>
      </c>
      <c r="H3505" t="s">
        <v>32</v>
      </c>
      <c r="I3505" s="2"/>
      <c r="J3505" t="s">
        <v>16</v>
      </c>
      <c r="K3505">
        <v>577007.90534456098</v>
      </c>
      <c r="L3505" t="s">
        <v>17</v>
      </c>
      <c r="M3505">
        <v>-6818.8337795181396</v>
      </c>
      <c r="N3505">
        <v>6.7622087251936497E-2</v>
      </c>
    </row>
    <row r="3506" spans="2:14" x14ac:dyDescent="0.25">
      <c r="B3506" t="s">
        <v>14</v>
      </c>
      <c r="C3506" s="1">
        <v>46102.999988425923</v>
      </c>
      <c r="D3506">
        <v>25.154518501383201</v>
      </c>
      <c r="E3506">
        <v>39018.478920267</v>
      </c>
      <c r="F3506" s="1">
        <v>46101.605474537035</v>
      </c>
      <c r="G3506">
        <v>52.874655869045299</v>
      </c>
      <c r="H3506" t="s">
        <v>32</v>
      </c>
      <c r="I3506" s="2"/>
      <c r="J3506" t="s">
        <v>16</v>
      </c>
      <c r="K3506">
        <v>577007.90534456098</v>
      </c>
      <c r="L3506" t="s">
        <v>17</v>
      </c>
      <c r="M3506">
        <v>0</v>
      </c>
      <c r="N3506">
        <v>6.7622087251936497E-2</v>
      </c>
    </row>
    <row r="3507" spans="2:14" x14ac:dyDescent="0.25">
      <c r="B3507" t="s">
        <v>14</v>
      </c>
      <c r="C3507" s="1">
        <v>46101.999988425923</v>
      </c>
      <c r="D3507">
        <v>25.154518501383201</v>
      </c>
      <c r="E3507">
        <v>39018.478920267</v>
      </c>
      <c r="F3507" s="1">
        <v>46101.605474537035</v>
      </c>
      <c r="G3507">
        <v>52.874655869045299</v>
      </c>
      <c r="H3507" t="s">
        <v>32</v>
      </c>
      <c r="I3507" s="2"/>
      <c r="J3507" t="s">
        <v>16</v>
      </c>
      <c r="K3507">
        <v>577007.90534456098</v>
      </c>
      <c r="L3507" t="s">
        <v>17</v>
      </c>
      <c r="M3507">
        <v>0</v>
      </c>
      <c r="N3507">
        <v>6.7622087251936497E-2</v>
      </c>
    </row>
    <row r="3508" spans="2:14" x14ac:dyDescent="0.25">
      <c r="B3508" t="s">
        <v>14</v>
      </c>
      <c r="C3508" s="1">
        <v>46100.999988425923</v>
      </c>
      <c r="D3508">
        <v>25.154518501383201</v>
      </c>
      <c r="E3508">
        <v>53262.786407190499</v>
      </c>
      <c r="F3508" s="1">
        <v>46098.099803240744</v>
      </c>
      <c r="G3508">
        <v>52.874655869045299</v>
      </c>
      <c r="H3508" t="s">
        <v>32</v>
      </c>
      <c r="I3508" s="2"/>
      <c r="J3508" t="s">
        <v>16</v>
      </c>
      <c r="K3508">
        <v>577007.90534456098</v>
      </c>
      <c r="L3508" t="s">
        <v>17</v>
      </c>
      <c r="M3508">
        <v>14244.307486923401</v>
      </c>
      <c r="N3508">
        <v>9.2308590426303697E-2</v>
      </c>
    </row>
    <row r="3509" spans="2:14" x14ac:dyDescent="0.25">
      <c r="B3509" t="s">
        <v>14</v>
      </c>
      <c r="C3509" s="1">
        <v>46099.999988425923</v>
      </c>
      <c r="D3509">
        <v>25.154518501383201</v>
      </c>
      <c r="E3509">
        <v>53262.786407190499</v>
      </c>
      <c r="F3509" s="1">
        <v>46098.099803240744</v>
      </c>
      <c r="G3509">
        <v>52.874655869045299</v>
      </c>
      <c r="H3509" t="s">
        <v>32</v>
      </c>
      <c r="I3509" s="2"/>
      <c r="J3509" t="s">
        <v>16</v>
      </c>
      <c r="K3509">
        <v>577007.90534456098</v>
      </c>
      <c r="L3509" t="s">
        <v>17</v>
      </c>
      <c r="M3509">
        <v>0</v>
      </c>
      <c r="N3509">
        <v>9.2308590426303697E-2</v>
      </c>
    </row>
    <row r="3510" spans="2:14" x14ac:dyDescent="0.25">
      <c r="B3510" t="s">
        <v>14</v>
      </c>
      <c r="C3510" s="1">
        <v>46098.999988425923</v>
      </c>
      <c r="D3510">
        <v>25.154518501383201</v>
      </c>
      <c r="E3510">
        <v>53262.786407190499</v>
      </c>
      <c r="F3510" s="1">
        <v>46098.099803240744</v>
      </c>
      <c r="G3510">
        <v>52.874655869045299</v>
      </c>
      <c r="H3510" t="s">
        <v>32</v>
      </c>
      <c r="I3510" s="2"/>
      <c r="J3510" t="s">
        <v>16</v>
      </c>
      <c r="K3510">
        <v>577007.90534456098</v>
      </c>
      <c r="L3510" t="s">
        <v>17</v>
      </c>
      <c r="M3510">
        <v>0</v>
      </c>
      <c r="N3510">
        <v>9.2308590426303697E-2</v>
      </c>
    </row>
    <row r="3511" spans="2:14" x14ac:dyDescent="0.25">
      <c r="B3511" t="s">
        <v>14</v>
      </c>
      <c r="C3511" s="1">
        <v>46097.999988425923</v>
      </c>
      <c r="D3511">
        <v>25.154518501383201</v>
      </c>
      <c r="E3511">
        <v>40054.6556250223</v>
      </c>
      <c r="F3511" s="1">
        <v>46095.606296296297</v>
      </c>
      <c r="G3511">
        <v>52.874655869045299</v>
      </c>
      <c r="H3511" t="s">
        <v>32</v>
      </c>
      <c r="I3511" s="2"/>
      <c r="J3511" t="s">
        <v>16</v>
      </c>
      <c r="K3511">
        <v>577007.90534456098</v>
      </c>
      <c r="L3511" t="s">
        <v>17</v>
      </c>
      <c r="M3511">
        <v>-13208.1307821681</v>
      </c>
      <c r="N3511">
        <v>6.9417862829979096E-2</v>
      </c>
    </row>
    <row r="3512" spans="2:14" x14ac:dyDescent="0.25">
      <c r="B3512" t="s">
        <v>14</v>
      </c>
      <c r="C3512" s="1">
        <v>46096.999988425923</v>
      </c>
      <c r="D3512">
        <v>25.154518501383201</v>
      </c>
      <c r="E3512">
        <v>40054.6556250223</v>
      </c>
      <c r="F3512" s="1">
        <v>46095.606296296297</v>
      </c>
      <c r="G3512">
        <v>52.874655869045299</v>
      </c>
      <c r="H3512" t="s">
        <v>32</v>
      </c>
      <c r="I3512" s="2"/>
      <c r="J3512" t="s">
        <v>16</v>
      </c>
      <c r="K3512">
        <v>577007.90534456098</v>
      </c>
      <c r="L3512" t="s">
        <v>17</v>
      </c>
      <c r="M3512">
        <v>0</v>
      </c>
      <c r="N3512">
        <v>6.9417862829979096E-2</v>
      </c>
    </row>
    <row r="3513" spans="2:14" x14ac:dyDescent="0.25">
      <c r="B3513" t="s">
        <v>14</v>
      </c>
      <c r="C3513" s="1">
        <v>46095.999988425923</v>
      </c>
      <c r="D3513">
        <v>25.154518501383201</v>
      </c>
      <c r="E3513">
        <v>40054.6556250223</v>
      </c>
      <c r="F3513" s="1">
        <v>46095.606296296297</v>
      </c>
      <c r="G3513">
        <v>52.874655869045299</v>
      </c>
      <c r="H3513" t="s">
        <v>32</v>
      </c>
      <c r="I3513" s="2"/>
      <c r="J3513" t="s">
        <v>16</v>
      </c>
      <c r="K3513">
        <v>577007.90534456098</v>
      </c>
      <c r="L3513" t="s">
        <v>17</v>
      </c>
      <c r="M3513">
        <v>0</v>
      </c>
      <c r="N3513">
        <v>6.9417862829979096E-2</v>
      </c>
    </row>
    <row r="3514" spans="2:14" x14ac:dyDescent="0.25">
      <c r="B3514" t="s">
        <v>14</v>
      </c>
      <c r="C3514" s="1">
        <v>46094.999988425923</v>
      </c>
      <c r="D3514">
        <v>25.154518501383201</v>
      </c>
      <c r="E3514">
        <v>53032.617983630596</v>
      </c>
      <c r="F3514" s="1">
        <v>46092.099097222221</v>
      </c>
      <c r="G3514">
        <v>52.874655869045299</v>
      </c>
      <c r="H3514" t="s">
        <v>32</v>
      </c>
      <c r="I3514" s="2"/>
      <c r="J3514" t="s">
        <v>16</v>
      </c>
      <c r="K3514">
        <v>577007.90534456098</v>
      </c>
      <c r="L3514" t="s">
        <v>17</v>
      </c>
      <c r="M3514">
        <v>12977.9623586083</v>
      </c>
      <c r="N3514">
        <v>9.1909690478091693E-2</v>
      </c>
    </row>
    <row r="3515" spans="2:14" x14ac:dyDescent="0.25">
      <c r="B3515" t="s">
        <v>14</v>
      </c>
      <c r="C3515" s="1">
        <v>46093.999988425923</v>
      </c>
      <c r="D3515">
        <v>25.154518501383201</v>
      </c>
      <c r="E3515">
        <v>53032.617983630596</v>
      </c>
      <c r="F3515" s="1">
        <v>46092.099097222221</v>
      </c>
      <c r="G3515">
        <v>52.874655869045299</v>
      </c>
      <c r="H3515" t="s">
        <v>32</v>
      </c>
      <c r="I3515" s="2"/>
      <c r="J3515" t="s">
        <v>16</v>
      </c>
      <c r="K3515">
        <v>577007.90534456098</v>
      </c>
      <c r="L3515" t="s">
        <v>17</v>
      </c>
      <c r="M3515">
        <v>0</v>
      </c>
      <c r="N3515">
        <v>9.1909690478091693E-2</v>
      </c>
    </row>
    <row r="3516" spans="2:14" x14ac:dyDescent="0.25">
      <c r="B3516" t="s">
        <v>14</v>
      </c>
      <c r="C3516" s="1">
        <v>46092.999988425923</v>
      </c>
      <c r="D3516">
        <v>25.154518501383201</v>
      </c>
      <c r="E3516">
        <v>53032.617983630596</v>
      </c>
      <c r="F3516" s="1">
        <v>46092.099097222221</v>
      </c>
      <c r="G3516">
        <v>52.874655869045299</v>
      </c>
      <c r="H3516" t="s">
        <v>32</v>
      </c>
      <c r="I3516" s="2"/>
      <c r="J3516" t="s">
        <v>16</v>
      </c>
      <c r="K3516">
        <v>577007.90534456098</v>
      </c>
      <c r="L3516" t="s">
        <v>17</v>
      </c>
      <c r="M3516">
        <v>0</v>
      </c>
      <c r="N3516">
        <v>9.1909690478091693E-2</v>
      </c>
    </row>
    <row r="3517" spans="2:14" x14ac:dyDescent="0.25">
      <c r="B3517" t="s">
        <v>14</v>
      </c>
      <c r="C3517" s="1">
        <v>46091.999988425923</v>
      </c>
      <c r="D3517">
        <v>25.154518501383201</v>
      </c>
      <c r="E3517">
        <v>38655.958062567101</v>
      </c>
      <c r="F3517" s="1">
        <v>46089.605474537035</v>
      </c>
      <c r="G3517">
        <v>52.874655869045299</v>
      </c>
      <c r="H3517" t="s">
        <v>32</v>
      </c>
      <c r="I3517" s="2"/>
      <c r="J3517" t="s">
        <v>16</v>
      </c>
      <c r="K3517">
        <v>577007.90534456098</v>
      </c>
      <c r="L3517" t="s">
        <v>17</v>
      </c>
      <c r="M3517">
        <v>-14376.659921063499</v>
      </c>
      <c r="N3517">
        <v>6.6993810144565805E-2</v>
      </c>
    </row>
    <row r="3518" spans="2:14" x14ac:dyDescent="0.25">
      <c r="B3518" t="s">
        <v>14</v>
      </c>
      <c r="C3518" s="1">
        <v>46090.999988425923</v>
      </c>
      <c r="D3518">
        <v>25.154518501383201</v>
      </c>
      <c r="E3518">
        <v>38655.958062567101</v>
      </c>
      <c r="F3518" s="1">
        <v>46089.605474537035</v>
      </c>
      <c r="G3518">
        <v>52.874655869045299</v>
      </c>
      <c r="H3518" t="s">
        <v>32</v>
      </c>
      <c r="I3518" s="2"/>
      <c r="J3518" t="s">
        <v>16</v>
      </c>
      <c r="K3518">
        <v>577007.90534456098</v>
      </c>
      <c r="L3518" t="s">
        <v>17</v>
      </c>
      <c r="M3518">
        <v>0</v>
      </c>
      <c r="N3518">
        <v>6.6993810144565805E-2</v>
      </c>
    </row>
    <row r="3519" spans="2:14" x14ac:dyDescent="0.25">
      <c r="B3519" t="s">
        <v>14</v>
      </c>
      <c r="C3519" s="1">
        <v>46089.999988425923</v>
      </c>
      <c r="D3519">
        <v>25.154518501383201</v>
      </c>
      <c r="E3519">
        <v>38655.958062567101</v>
      </c>
      <c r="F3519" s="1">
        <v>46089.605474537035</v>
      </c>
      <c r="G3519">
        <v>52.874655869045299</v>
      </c>
      <c r="H3519" t="s">
        <v>32</v>
      </c>
      <c r="I3519" s="2"/>
      <c r="J3519" t="s">
        <v>16</v>
      </c>
      <c r="K3519">
        <v>577007.90534456098</v>
      </c>
      <c r="L3519" t="s">
        <v>17</v>
      </c>
      <c r="M3519">
        <v>0</v>
      </c>
      <c r="N3519">
        <v>6.6993810144565805E-2</v>
      </c>
    </row>
    <row r="3520" spans="2:14" x14ac:dyDescent="0.25">
      <c r="B3520" t="s">
        <v>14</v>
      </c>
      <c r="C3520" s="1">
        <v>46088.999988425923</v>
      </c>
      <c r="D3520">
        <v>25.154518501383201</v>
      </c>
      <c r="E3520">
        <v>51486.503373908999</v>
      </c>
      <c r="F3520" s="1">
        <v>46086.099803240744</v>
      </c>
      <c r="G3520">
        <v>52.874655869045299</v>
      </c>
      <c r="H3520" t="s">
        <v>32</v>
      </c>
      <c r="I3520" s="2"/>
      <c r="J3520" t="s">
        <v>16</v>
      </c>
      <c r="K3520">
        <v>577007.90534456098</v>
      </c>
      <c r="L3520" t="s">
        <v>17</v>
      </c>
      <c r="M3520">
        <v>12830.545311341801</v>
      </c>
      <c r="N3520">
        <v>8.9230152476271099E-2</v>
      </c>
    </row>
    <row r="3521" spans="2:14" x14ac:dyDescent="0.25">
      <c r="B3521" t="s">
        <v>14</v>
      </c>
      <c r="C3521" s="1">
        <v>46087.999988425923</v>
      </c>
      <c r="D3521">
        <v>25.154518501383201</v>
      </c>
      <c r="E3521">
        <v>51486.503373908999</v>
      </c>
      <c r="F3521" s="1">
        <v>46086.099803240744</v>
      </c>
      <c r="G3521">
        <v>52.874655869045299</v>
      </c>
      <c r="H3521" t="s">
        <v>32</v>
      </c>
      <c r="I3521" s="2"/>
      <c r="J3521" t="s">
        <v>16</v>
      </c>
      <c r="K3521">
        <v>577007.90534456098</v>
      </c>
      <c r="L3521" t="s">
        <v>17</v>
      </c>
      <c r="M3521">
        <v>0</v>
      </c>
      <c r="N3521">
        <v>8.9230152476271099E-2</v>
      </c>
    </row>
    <row r="3522" spans="2:14" x14ac:dyDescent="0.25">
      <c r="B3522" t="s">
        <v>14</v>
      </c>
      <c r="C3522" s="1">
        <v>46086.999988425923</v>
      </c>
      <c r="D3522">
        <v>25.154518501383201</v>
      </c>
      <c r="E3522">
        <v>51486.503373908999</v>
      </c>
      <c r="F3522" s="1">
        <v>46086.099803240744</v>
      </c>
      <c r="G3522">
        <v>52.874655869045299</v>
      </c>
      <c r="H3522" t="s">
        <v>32</v>
      </c>
      <c r="I3522" s="2"/>
      <c r="J3522" t="s">
        <v>16</v>
      </c>
      <c r="K3522">
        <v>577007.90534456098</v>
      </c>
      <c r="L3522" t="s">
        <v>17</v>
      </c>
      <c r="M3522">
        <v>0</v>
      </c>
      <c r="N3522">
        <v>8.9230152476271099E-2</v>
      </c>
    </row>
    <row r="3523" spans="2:14" x14ac:dyDescent="0.25">
      <c r="B3523" t="s">
        <v>14</v>
      </c>
      <c r="C3523" s="1">
        <v>46085.999988425923</v>
      </c>
      <c r="D3523">
        <v>25.154518501383201</v>
      </c>
      <c r="E3523">
        <v>37029.908210102098</v>
      </c>
      <c r="F3523" s="1">
        <v>46083.60628472222</v>
      </c>
      <c r="G3523">
        <v>52.874655869045299</v>
      </c>
      <c r="H3523" t="s">
        <v>32</v>
      </c>
      <c r="I3523" s="2"/>
      <c r="J3523" t="s">
        <v>16</v>
      </c>
      <c r="K3523">
        <v>577007.90534456098</v>
      </c>
      <c r="L3523" t="s">
        <v>17</v>
      </c>
      <c r="M3523">
        <v>-14456.5951638069</v>
      </c>
      <c r="N3523">
        <v>6.4175738091473103E-2</v>
      </c>
    </row>
    <row r="3524" spans="2:14" x14ac:dyDescent="0.25">
      <c r="B3524" t="s">
        <v>14</v>
      </c>
      <c r="C3524" s="1">
        <v>46084.999988425923</v>
      </c>
      <c r="D3524">
        <v>25.154518501383201</v>
      </c>
      <c r="E3524">
        <v>37029.908210102098</v>
      </c>
      <c r="F3524" s="1">
        <v>46083.60628472222</v>
      </c>
      <c r="G3524">
        <v>52.874655869045299</v>
      </c>
      <c r="H3524" t="s">
        <v>32</v>
      </c>
      <c r="I3524" s="2"/>
      <c r="J3524" t="s">
        <v>16</v>
      </c>
      <c r="K3524">
        <v>577007.90534456098</v>
      </c>
      <c r="L3524" t="s">
        <v>17</v>
      </c>
      <c r="M3524">
        <v>0</v>
      </c>
      <c r="N3524">
        <v>6.4175738091473103E-2</v>
      </c>
    </row>
    <row r="3525" spans="2:14" x14ac:dyDescent="0.25">
      <c r="B3525" t="s">
        <v>14</v>
      </c>
      <c r="C3525" s="1">
        <v>46083.999988425923</v>
      </c>
      <c r="D3525">
        <v>25.154518501383201</v>
      </c>
      <c r="E3525">
        <v>37029.908210102098</v>
      </c>
      <c r="F3525" s="1">
        <v>46083.60628472222</v>
      </c>
      <c r="G3525">
        <v>52.874655869045299</v>
      </c>
      <c r="H3525" t="s">
        <v>32</v>
      </c>
      <c r="I3525" s="2"/>
      <c r="J3525" t="s">
        <v>16</v>
      </c>
      <c r="K3525">
        <v>577007.90534456098</v>
      </c>
      <c r="L3525" t="s">
        <v>17</v>
      </c>
      <c r="M3525">
        <v>0</v>
      </c>
      <c r="N3525">
        <v>6.4175738091473103E-2</v>
      </c>
    </row>
    <row r="3526" spans="2:14" x14ac:dyDescent="0.25">
      <c r="B3526" t="s">
        <v>14</v>
      </c>
      <c r="C3526" s="1">
        <v>46082.999988425923</v>
      </c>
      <c r="D3526">
        <v>25.154518501383201</v>
      </c>
      <c r="E3526">
        <v>44512.870026458797</v>
      </c>
      <c r="F3526" s="1">
        <v>46080.099097222221</v>
      </c>
      <c r="G3526">
        <v>52.874655869045299</v>
      </c>
      <c r="H3526" t="s">
        <v>32</v>
      </c>
      <c r="I3526" s="2"/>
      <c r="J3526" t="s">
        <v>16</v>
      </c>
      <c r="K3526">
        <v>577007.90534456098</v>
      </c>
      <c r="L3526" t="s">
        <v>17</v>
      </c>
      <c r="M3526">
        <v>7482.9618163567502</v>
      </c>
      <c r="N3526">
        <v>7.7144298395492306E-2</v>
      </c>
    </row>
    <row r="3527" spans="2:14" x14ac:dyDescent="0.25">
      <c r="B3527" t="s">
        <v>14</v>
      </c>
      <c r="C3527" s="1">
        <v>46081.999988425923</v>
      </c>
      <c r="D3527">
        <v>25.154518501383201</v>
      </c>
      <c r="E3527">
        <v>44512.870026458797</v>
      </c>
      <c r="F3527" s="1">
        <v>46080.099097222221</v>
      </c>
      <c r="G3527">
        <v>52.874655869045299</v>
      </c>
      <c r="H3527" t="s">
        <v>32</v>
      </c>
      <c r="I3527" s="2"/>
      <c r="J3527" t="s">
        <v>16</v>
      </c>
      <c r="K3527">
        <v>577007.90534456098</v>
      </c>
      <c r="L3527" t="s">
        <v>17</v>
      </c>
      <c r="M3527">
        <v>0</v>
      </c>
      <c r="N3527">
        <v>7.7144298395492306E-2</v>
      </c>
    </row>
    <row r="3528" spans="2:14" x14ac:dyDescent="0.25">
      <c r="B3528" t="s">
        <v>14</v>
      </c>
      <c r="C3528" s="1">
        <v>46080.999988425923</v>
      </c>
      <c r="D3528">
        <v>25.154518501383201</v>
      </c>
      <c r="E3528">
        <v>44512.870026458797</v>
      </c>
      <c r="F3528" s="1">
        <v>46080.099097222221</v>
      </c>
      <c r="G3528">
        <v>52.874655869045299</v>
      </c>
      <c r="H3528" t="s">
        <v>32</v>
      </c>
      <c r="I3528" s="2"/>
      <c r="J3528" t="s">
        <v>16</v>
      </c>
      <c r="K3528">
        <v>577007.90534456098</v>
      </c>
      <c r="L3528" t="s">
        <v>17</v>
      </c>
      <c r="M3528">
        <v>0</v>
      </c>
      <c r="N3528">
        <v>7.7144298395492306E-2</v>
      </c>
    </row>
    <row r="3529" spans="2:14" x14ac:dyDescent="0.25">
      <c r="B3529" t="s">
        <v>14</v>
      </c>
      <c r="C3529" s="1">
        <v>46079.999988425923</v>
      </c>
      <c r="D3529">
        <v>25.154518501383201</v>
      </c>
      <c r="E3529">
        <v>40320.168114124601</v>
      </c>
      <c r="F3529" s="1">
        <v>46077.605474537035</v>
      </c>
      <c r="G3529">
        <v>52.874655869045299</v>
      </c>
      <c r="H3529" t="s">
        <v>32</v>
      </c>
      <c r="I3529" s="2"/>
      <c r="J3529" t="s">
        <v>16</v>
      </c>
      <c r="K3529">
        <v>577007.90534456098</v>
      </c>
      <c r="L3529" t="s">
        <v>17</v>
      </c>
      <c r="M3529">
        <v>-4192.7019123341797</v>
      </c>
      <c r="N3529">
        <v>6.9878016818586602E-2</v>
      </c>
    </row>
    <row r="3530" spans="2:14" x14ac:dyDescent="0.25">
      <c r="B3530" t="s">
        <v>14</v>
      </c>
      <c r="C3530" s="1">
        <v>46078.999988425923</v>
      </c>
      <c r="D3530">
        <v>25.154518501383201</v>
      </c>
      <c r="E3530">
        <v>40320.168114124601</v>
      </c>
      <c r="F3530" s="1">
        <v>46077.605474537035</v>
      </c>
      <c r="G3530">
        <v>52.874655869045299</v>
      </c>
      <c r="H3530" t="s">
        <v>32</v>
      </c>
      <c r="I3530" s="2"/>
      <c r="J3530" t="s">
        <v>16</v>
      </c>
      <c r="K3530">
        <v>577007.90534456098</v>
      </c>
      <c r="L3530" t="s">
        <v>17</v>
      </c>
      <c r="M3530">
        <v>0</v>
      </c>
      <c r="N3530">
        <v>6.9878016818586602E-2</v>
      </c>
    </row>
    <row r="3531" spans="2:14" x14ac:dyDescent="0.25">
      <c r="B3531" t="s">
        <v>14</v>
      </c>
      <c r="C3531" s="1">
        <v>46077.999988425923</v>
      </c>
      <c r="D3531">
        <v>25.154518501383201</v>
      </c>
      <c r="E3531">
        <v>40320.168114124601</v>
      </c>
      <c r="F3531" s="1">
        <v>46077.605474537035</v>
      </c>
      <c r="G3531">
        <v>52.874655869045299</v>
      </c>
      <c r="H3531" t="s">
        <v>32</v>
      </c>
      <c r="I3531" s="2"/>
      <c r="J3531" t="s">
        <v>16</v>
      </c>
      <c r="K3531">
        <v>577007.90534456098</v>
      </c>
      <c r="L3531" t="s">
        <v>17</v>
      </c>
      <c r="M3531">
        <v>0</v>
      </c>
      <c r="N3531">
        <v>6.9878016818586602E-2</v>
      </c>
    </row>
    <row r="3532" spans="2:14" x14ac:dyDescent="0.25">
      <c r="B3532" t="s">
        <v>14</v>
      </c>
      <c r="C3532" s="1">
        <v>46076.999988425923</v>
      </c>
      <c r="D3532">
        <v>25.154518501383201</v>
      </c>
      <c r="E3532">
        <v>52791.209141440602</v>
      </c>
      <c r="F3532" s="1">
        <v>46074.099803240744</v>
      </c>
      <c r="G3532">
        <v>52.874655869045299</v>
      </c>
      <c r="H3532" t="s">
        <v>32</v>
      </c>
      <c r="I3532" s="2"/>
      <c r="J3532" t="s">
        <v>16</v>
      </c>
      <c r="K3532">
        <v>577007.90534456098</v>
      </c>
      <c r="L3532" t="s">
        <v>17</v>
      </c>
      <c r="M3532">
        <v>12471.0410273159</v>
      </c>
      <c r="N3532">
        <v>9.1491310001924897E-2</v>
      </c>
    </row>
    <row r="3533" spans="2:14" x14ac:dyDescent="0.25">
      <c r="B3533" t="s">
        <v>14</v>
      </c>
      <c r="C3533" s="1">
        <v>46075.999988425923</v>
      </c>
      <c r="D3533">
        <v>25.154518501383201</v>
      </c>
      <c r="E3533">
        <v>52791.209141440602</v>
      </c>
      <c r="F3533" s="1">
        <v>46074.099803240744</v>
      </c>
      <c r="G3533">
        <v>52.874655869045299</v>
      </c>
      <c r="H3533" t="s">
        <v>32</v>
      </c>
      <c r="I3533" s="2"/>
      <c r="J3533" t="s">
        <v>16</v>
      </c>
      <c r="K3533">
        <v>577007.90534456098</v>
      </c>
      <c r="L3533" t="s">
        <v>17</v>
      </c>
      <c r="M3533">
        <v>0</v>
      </c>
      <c r="N3533">
        <v>9.1491310001924897E-2</v>
      </c>
    </row>
    <row r="3534" spans="2:14" x14ac:dyDescent="0.25">
      <c r="B3534" t="s">
        <v>14</v>
      </c>
      <c r="C3534" s="1">
        <v>46074.999988425923</v>
      </c>
      <c r="D3534">
        <v>25.154518501383201</v>
      </c>
      <c r="E3534">
        <v>52791.209141440602</v>
      </c>
      <c r="F3534" s="1">
        <v>46074.099803240744</v>
      </c>
      <c r="G3534">
        <v>52.874655869045299</v>
      </c>
      <c r="H3534" t="s">
        <v>32</v>
      </c>
      <c r="I3534" s="2"/>
      <c r="J3534" t="s">
        <v>16</v>
      </c>
      <c r="K3534">
        <v>577007.90534456098</v>
      </c>
      <c r="L3534" t="s">
        <v>17</v>
      </c>
      <c r="M3534">
        <v>0</v>
      </c>
      <c r="N3534">
        <v>9.1491310001924897E-2</v>
      </c>
    </row>
    <row r="3535" spans="2:14" x14ac:dyDescent="0.25">
      <c r="B3535" t="s">
        <v>14</v>
      </c>
      <c r="C3535" s="1">
        <v>46073.999988425923</v>
      </c>
      <c r="D3535">
        <v>25.154518501383201</v>
      </c>
      <c r="E3535">
        <v>39754.154158734404</v>
      </c>
      <c r="F3535" s="1">
        <v>46071.606296296297</v>
      </c>
      <c r="G3535">
        <v>52.874655869045299</v>
      </c>
      <c r="H3535" t="s">
        <v>32</v>
      </c>
      <c r="I3535" s="2"/>
      <c r="J3535" t="s">
        <v>16</v>
      </c>
      <c r="K3535">
        <v>577007.90534456098</v>
      </c>
      <c r="L3535" t="s">
        <v>17</v>
      </c>
      <c r="M3535">
        <v>-13037.0549827061</v>
      </c>
      <c r="N3535">
        <v>6.8897070196976204E-2</v>
      </c>
    </row>
    <row r="3536" spans="2:14" x14ac:dyDescent="0.25">
      <c r="B3536" t="s">
        <v>14</v>
      </c>
      <c r="C3536" s="1">
        <v>46072.999988425923</v>
      </c>
      <c r="D3536">
        <v>25.154518501383201</v>
      </c>
      <c r="E3536">
        <v>39754.154158734404</v>
      </c>
      <c r="F3536" s="1">
        <v>46071.606296296297</v>
      </c>
      <c r="G3536">
        <v>52.874655869045299</v>
      </c>
      <c r="H3536" t="s">
        <v>32</v>
      </c>
      <c r="I3536" s="2"/>
      <c r="J3536" t="s">
        <v>16</v>
      </c>
      <c r="K3536">
        <v>577007.90534456098</v>
      </c>
      <c r="L3536" t="s">
        <v>17</v>
      </c>
      <c r="M3536">
        <v>0</v>
      </c>
      <c r="N3536">
        <v>6.8897070196976204E-2</v>
      </c>
    </row>
    <row r="3537" spans="2:14" x14ac:dyDescent="0.25">
      <c r="B3537" t="s">
        <v>14</v>
      </c>
      <c r="C3537" s="1">
        <v>46071.999988425923</v>
      </c>
      <c r="D3537">
        <v>25.154518501383201</v>
      </c>
      <c r="E3537">
        <v>39754.154158734404</v>
      </c>
      <c r="F3537" s="1">
        <v>46071.606296296297</v>
      </c>
      <c r="G3537">
        <v>52.874655869045299</v>
      </c>
      <c r="H3537" t="s">
        <v>32</v>
      </c>
      <c r="I3537" s="2"/>
      <c r="J3537" t="s">
        <v>16</v>
      </c>
      <c r="K3537">
        <v>577007.90534456098</v>
      </c>
      <c r="L3537" t="s">
        <v>17</v>
      </c>
      <c r="M3537">
        <v>0</v>
      </c>
      <c r="N3537">
        <v>6.8897070196976204E-2</v>
      </c>
    </row>
    <row r="3538" spans="2:14" x14ac:dyDescent="0.25">
      <c r="B3538" t="s">
        <v>14</v>
      </c>
      <c r="C3538" s="1">
        <v>46070.999988425923</v>
      </c>
      <c r="D3538">
        <v>25.154518501383201</v>
      </c>
      <c r="E3538">
        <v>52104.131442100101</v>
      </c>
      <c r="F3538" s="1">
        <v>46068.099097222221</v>
      </c>
      <c r="G3538">
        <v>52.874655869045299</v>
      </c>
      <c r="H3538" t="s">
        <v>32</v>
      </c>
      <c r="I3538" s="2"/>
      <c r="J3538" t="s">
        <v>16</v>
      </c>
      <c r="K3538">
        <v>577007.90534456098</v>
      </c>
      <c r="L3538" t="s">
        <v>17</v>
      </c>
      <c r="M3538">
        <v>12349.977283365601</v>
      </c>
      <c r="N3538">
        <v>9.03005504075131E-2</v>
      </c>
    </row>
    <row r="3539" spans="2:14" x14ac:dyDescent="0.25">
      <c r="B3539" t="s">
        <v>14</v>
      </c>
      <c r="C3539" s="1">
        <v>46069.999988425923</v>
      </c>
      <c r="D3539">
        <v>25.154518501383201</v>
      </c>
      <c r="E3539">
        <v>52104.131442100101</v>
      </c>
      <c r="F3539" s="1">
        <v>46068.099097222221</v>
      </c>
      <c r="G3539">
        <v>52.874655869045299</v>
      </c>
      <c r="H3539" t="s">
        <v>32</v>
      </c>
      <c r="I3539" s="2"/>
      <c r="J3539" t="s">
        <v>16</v>
      </c>
      <c r="K3539">
        <v>577007.90534456098</v>
      </c>
      <c r="L3539" t="s">
        <v>17</v>
      </c>
      <c r="M3539">
        <v>0</v>
      </c>
      <c r="N3539">
        <v>9.03005504075131E-2</v>
      </c>
    </row>
    <row r="3540" spans="2:14" x14ac:dyDescent="0.25">
      <c r="B3540" t="s">
        <v>14</v>
      </c>
      <c r="C3540" s="1">
        <v>46068.999988425923</v>
      </c>
      <c r="D3540">
        <v>25.154518501383201</v>
      </c>
      <c r="E3540">
        <v>52104.131442100101</v>
      </c>
      <c r="F3540" s="1">
        <v>46068.099097222221</v>
      </c>
      <c r="G3540">
        <v>52.874655869045299</v>
      </c>
      <c r="H3540" t="s">
        <v>32</v>
      </c>
      <c r="I3540" s="2"/>
      <c r="J3540" t="s">
        <v>16</v>
      </c>
      <c r="K3540">
        <v>577007.90534456098</v>
      </c>
      <c r="L3540" t="s">
        <v>17</v>
      </c>
      <c r="M3540">
        <v>0</v>
      </c>
      <c r="N3540">
        <v>9.03005504075131E-2</v>
      </c>
    </row>
    <row r="3541" spans="2:14" x14ac:dyDescent="0.25">
      <c r="B3541" t="s">
        <v>14</v>
      </c>
      <c r="C3541" s="1">
        <v>46067.999988425923</v>
      </c>
      <c r="D3541">
        <v>25.154518501383201</v>
      </c>
      <c r="E3541">
        <v>40258.633735528201</v>
      </c>
      <c r="F3541" s="1">
        <v>46065.605474537035</v>
      </c>
      <c r="G3541">
        <v>52.874655869045299</v>
      </c>
      <c r="H3541" t="s">
        <v>32</v>
      </c>
      <c r="I3541" s="2"/>
      <c r="J3541" t="s">
        <v>16</v>
      </c>
      <c r="K3541">
        <v>577007.90534456098</v>
      </c>
      <c r="L3541" t="s">
        <v>17</v>
      </c>
      <c r="M3541">
        <v>-11845.497706571899</v>
      </c>
      <c r="N3541">
        <v>6.9771372909505802E-2</v>
      </c>
    </row>
    <row r="3542" spans="2:14" x14ac:dyDescent="0.25">
      <c r="B3542" t="s">
        <v>14</v>
      </c>
      <c r="C3542" s="1">
        <v>46066.999988425923</v>
      </c>
      <c r="D3542">
        <v>25.154518501383201</v>
      </c>
      <c r="E3542">
        <v>40258.633735528201</v>
      </c>
      <c r="F3542" s="1">
        <v>46065.605474537035</v>
      </c>
      <c r="G3542">
        <v>52.874655869045299</v>
      </c>
      <c r="H3542" t="s">
        <v>32</v>
      </c>
      <c r="I3542" s="2"/>
      <c r="J3542" t="s">
        <v>16</v>
      </c>
      <c r="K3542">
        <v>577007.90534456098</v>
      </c>
      <c r="L3542" t="s">
        <v>17</v>
      </c>
      <c r="M3542">
        <v>0</v>
      </c>
      <c r="N3542">
        <v>6.9771372909505802E-2</v>
      </c>
    </row>
    <row r="3543" spans="2:14" x14ac:dyDescent="0.25">
      <c r="B3543" t="s">
        <v>14</v>
      </c>
      <c r="C3543" s="1">
        <v>46065.999988425923</v>
      </c>
      <c r="D3543">
        <v>25.154518501383201</v>
      </c>
      <c r="E3543">
        <v>40258.633735528201</v>
      </c>
      <c r="F3543" s="1">
        <v>46065.605474537035</v>
      </c>
      <c r="G3543">
        <v>52.874655869045299</v>
      </c>
      <c r="H3543" t="s">
        <v>32</v>
      </c>
      <c r="I3543" s="2"/>
      <c r="J3543" t="s">
        <v>16</v>
      </c>
      <c r="K3543">
        <v>577007.90534456098</v>
      </c>
      <c r="L3543" t="s">
        <v>17</v>
      </c>
      <c r="M3543">
        <v>0</v>
      </c>
      <c r="N3543">
        <v>6.9771372909505802E-2</v>
      </c>
    </row>
    <row r="3544" spans="2:14" x14ac:dyDescent="0.25">
      <c r="B3544" t="s">
        <v>14</v>
      </c>
      <c r="C3544" s="1">
        <v>46064.999988425923</v>
      </c>
      <c r="D3544">
        <v>25.154518501383201</v>
      </c>
      <c r="E3544">
        <v>52599.067729507296</v>
      </c>
      <c r="F3544" s="1">
        <v>46062.099814814814</v>
      </c>
      <c r="G3544">
        <v>52.874655869045299</v>
      </c>
      <c r="H3544" t="s">
        <v>32</v>
      </c>
      <c r="I3544" s="2"/>
      <c r="J3544" t="s">
        <v>16</v>
      </c>
      <c r="K3544">
        <v>577007.90534456098</v>
      </c>
      <c r="L3544" t="s">
        <v>17</v>
      </c>
      <c r="M3544">
        <v>12340.433993979101</v>
      </c>
      <c r="N3544">
        <v>9.1158313850306205E-2</v>
      </c>
    </row>
    <row r="3545" spans="2:14" x14ac:dyDescent="0.25">
      <c r="B3545" t="s">
        <v>14</v>
      </c>
      <c r="C3545" s="1">
        <v>46063.999988425923</v>
      </c>
      <c r="D3545">
        <v>25.154518501383201</v>
      </c>
      <c r="E3545">
        <v>52599.067729507296</v>
      </c>
      <c r="F3545" s="1">
        <v>46062.099814814814</v>
      </c>
      <c r="G3545">
        <v>52.874655869045299</v>
      </c>
      <c r="H3545" t="s">
        <v>32</v>
      </c>
      <c r="I3545" s="2"/>
      <c r="J3545" t="s">
        <v>16</v>
      </c>
      <c r="K3545">
        <v>577007.90534456098</v>
      </c>
      <c r="L3545" t="s">
        <v>17</v>
      </c>
      <c r="M3545">
        <v>0</v>
      </c>
      <c r="N3545">
        <v>9.1158313850306205E-2</v>
      </c>
    </row>
    <row r="3546" spans="2:14" x14ac:dyDescent="0.25">
      <c r="B3546" t="s">
        <v>14</v>
      </c>
      <c r="C3546" s="1">
        <v>46062.999988425923</v>
      </c>
      <c r="D3546">
        <v>25.154518501383201</v>
      </c>
      <c r="E3546">
        <v>52599.067729507296</v>
      </c>
      <c r="F3546" s="1">
        <v>46062.099814814814</v>
      </c>
      <c r="G3546">
        <v>52.874655869045299</v>
      </c>
      <c r="H3546" t="s">
        <v>32</v>
      </c>
      <c r="I3546" s="2"/>
      <c r="J3546" t="s">
        <v>16</v>
      </c>
      <c r="K3546">
        <v>577007.90534456098</v>
      </c>
      <c r="L3546" t="s">
        <v>17</v>
      </c>
      <c r="M3546">
        <v>0</v>
      </c>
      <c r="N3546">
        <v>9.1158313850306205E-2</v>
      </c>
    </row>
    <row r="3547" spans="2:14" x14ac:dyDescent="0.25">
      <c r="B3547" t="s">
        <v>14</v>
      </c>
      <c r="C3547" s="1">
        <v>46061.999988425923</v>
      </c>
      <c r="D3547">
        <v>25.154518501383201</v>
      </c>
      <c r="E3547">
        <v>37898.6032968609</v>
      </c>
      <c r="F3547" s="1">
        <v>46059.606296296297</v>
      </c>
      <c r="G3547">
        <v>52.874655869045299</v>
      </c>
      <c r="H3547" t="s">
        <v>32</v>
      </c>
      <c r="I3547" s="2"/>
      <c r="J3547" t="s">
        <v>16</v>
      </c>
      <c r="K3547">
        <v>577007.90534456098</v>
      </c>
      <c r="L3547" t="s">
        <v>17</v>
      </c>
      <c r="M3547">
        <v>-14700.4644326464</v>
      </c>
      <c r="N3547">
        <v>6.5681254876793604E-2</v>
      </c>
    </row>
    <row r="3548" spans="2:14" x14ac:dyDescent="0.25">
      <c r="B3548" t="s">
        <v>14</v>
      </c>
      <c r="C3548" s="1">
        <v>46060.999988425923</v>
      </c>
      <c r="D3548">
        <v>25.154518501383201</v>
      </c>
      <c r="E3548">
        <v>37898.6032968609</v>
      </c>
      <c r="F3548" s="1">
        <v>46059.606296296297</v>
      </c>
      <c r="G3548">
        <v>52.874655869045299</v>
      </c>
      <c r="H3548" t="s">
        <v>32</v>
      </c>
      <c r="I3548" s="2"/>
      <c r="J3548" t="s">
        <v>16</v>
      </c>
      <c r="K3548">
        <v>577007.90534456098</v>
      </c>
      <c r="L3548" t="s">
        <v>17</v>
      </c>
      <c r="M3548">
        <v>0</v>
      </c>
      <c r="N3548">
        <v>6.5681254876793604E-2</v>
      </c>
    </row>
    <row r="3549" spans="2:14" x14ac:dyDescent="0.25">
      <c r="B3549" t="s">
        <v>14</v>
      </c>
      <c r="C3549" s="1">
        <v>46059.999988425923</v>
      </c>
      <c r="D3549">
        <v>25.154518501383201</v>
      </c>
      <c r="E3549">
        <v>37898.6032968609</v>
      </c>
      <c r="F3549" s="1">
        <v>46059.606296296297</v>
      </c>
      <c r="G3549">
        <v>52.874655869045299</v>
      </c>
      <c r="H3549" t="s">
        <v>32</v>
      </c>
      <c r="I3549" s="2"/>
      <c r="J3549" t="s">
        <v>16</v>
      </c>
      <c r="K3549">
        <v>577007.90534456098</v>
      </c>
      <c r="L3549" t="s">
        <v>17</v>
      </c>
      <c r="M3549">
        <v>0</v>
      </c>
      <c r="N3549">
        <v>6.5681254876793604E-2</v>
      </c>
    </row>
    <row r="3550" spans="2:14" x14ac:dyDescent="0.25">
      <c r="B3550" t="s">
        <v>14</v>
      </c>
      <c r="C3550" s="1">
        <v>46058.999988425923</v>
      </c>
      <c r="D3550">
        <v>25.154518501383201</v>
      </c>
      <c r="E3550">
        <v>53696.245360151101</v>
      </c>
      <c r="F3550" s="1">
        <v>46056.099097222221</v>
      </c>
      <c r="G3550">
        <v>52.874655869045299</v>
      </c>
      <c r="H3550" t="s">
        <v>32</v>
      </c>
      <c r="I3550" s="2"/>
      <c r="J3550" t="s">
        <v>16</v>
      </c>
      <c r="K3550">
        <v>577007.90534456098</v>
      </c>
      <c r="L3550" t="s">
        <v>17</v>
      </c>
      <c r="M3550">
        <v>15797.642063290201</v>
      </c>
      <c r="N3550">
        <v>9.3059808822006193E-2</v>
      </c>
    </row>
    <row r="3551" spans="2:14" x14ac:dyDescent="0.25">
      <c r="B3551" t="s">
        <v>14</v>
      </c>
      <c r="C3551" s="1">
        <v>46057.999988425923</v>
      </c>
      <c r="D3551">
        <v>25.154518501383201</v>
      </c>
      <c r="E3551">
        <v>53696.245360151101</v>
      </c>
      <c r="F3551" s="1">
        <v>46056.099097222221</v>
      </c>
      <c r="G3551">
        <v>52.874655869045299</v>
      </c>
      <c r="H3551" t="s">
        <v>32</v>
      </c>
      <c r="I3551" s="2"/>
      <c r="J3551" t="s">
        <v>16</v>
      </c>
      <c r="K3551">
        <v>577007.90534456098</v>
      </c>
      <c r="L3551" t="s">
        <v>17</v>
      </c>
      <c r="M3551">
        <v>0</v>
      </c>
      <c r="N3551">
        <v>9.3059808822006193E-2</v>
      </c>
    </row>
    <row r="3552" spans="2:14" x14ac:dyDescent="0.25">
      <c r="B3552" t="s">
        <v>14</v>
      </c>
      <c r="C3552" s="1">
        <v>46056.999988425923</v>
      </c>
      <c r="D3552">
        <v>25.154518501383201</v>
      </c>
      <c r="E3552">
        <v>53696.245360151101</v>
      </c>
      <c r="F3552" s="1">
        <v>46056.099097222221</v>
      </c>
      <c r="G3552">
        <v>52.874655869045299</v>
      </c>
      <c r="H3552" t="s">
        <v>32</v>
      </c>
      <c r="I3552" s="2"/>
      <c r="J3552" t="s">
        <v>16</v>
      </c>
      <c r="K3552">
        <v>577007.90534456098</v>
      </c>
      <c r="L3552" t="s">
        <v>17</v>
      </c>
      <c r="M3552">
        <v>0</v>
      </c>
      <c r="N3552">
        <v>9.3059808822006193E-2</v>
      </c>
    </row>
    <row r="3553" spans="2:14" x14ac:dyDescent="0.25">
      <c r="B3553" t="s">
        <v>14</v>
      </c>
      <c r="C3553" s="1">
        <v>46055.999988425923</v>
      </c>
      <c r="D3553">
        <v>25.154518501383201</v>
      </c>
      <c r="E3553">
        <v>38836.944503161001</v>
      </c>
      <c r="F3553" s="1">
        <v>46053.605474537035</v>
      </c>
      <c r="G3553">
        <v>52.874655869045299</v>
      </c>
      <c r="H3553" t="s">
        <v>32</v>
      </c>
      <c r="I3553" s="2"/>
      <c r="J3553" t="s">
        <v>16</v>
      </c>
      <c r="K3553">
        <v>577007.90534456098</v>
      </c>
      <c r="L3553" t="s">
        <v>17</v>
      </c>
      <c r="M3553">
        <v>-14859.300856990099</v>
      </c>
      <c r="N3553">
        <v>6.7307473855092906E-2</v>
      </c>
    </row>
    <row r="3554" spans="2:14" x14ac:dyDescent="0.25">
      <c r="B3554" t="s">
        <v>14</v>
      </c>
      <c r="C3554" s="1">
        <v>46054.999988425923</v>
      </c>
      <c r="D3554">
        <v>25.154518501383201</v>
      </c>
      <c r="E3554">
        <v>38836.944503161001</v>
      </c>
      <c r="F3554" s="1">
        <v>46053.605474537035</v>
      </c>
      <c r="G3554">
        <v>52.874655869045299</v>
      </c>
      <c r="H3554" t="s">
        <v>32</v>
      </c>
      <c r="I3554" s="2"/>
      <c r="J3554" t="s">
        <v>16</v>
      </c>
      <c r="K3554">
        <v>577007.90534456098</v>
      </c>
      <c r="L3554" t="s">
        <v>17</v>
      </c>
      <c r="M3554">
        <v>0</v>
      </c>
      <c r="N3554">
        <v>6.7307473855092906E-2</v>
      </c>
    </row>
    <row r="3555" spans="2:14" x14ac:dyDescent="0.25">
      <c r="B3555" t="s">
        <v>14</v>
      </c>
      <c r="C3555" s="1">
        <v>46053.999988425923</v>
      </c>
      <c r="D3555">
        <v>25.154518501383201</v>
      </c>
      <c r="E3555">
        <v>38836.944503161001</v>
      </c>
      <c r="F3555" s="1">
        <v>46053.605474537035</v>
      </c>
      <c r="G3555">
        <v>52.874655869045299</v>
      </c>
      <c r="H3555" t="s">
        <v>32</v>
      </c>
      <c r="I3555" s="2"/>
      <c r="J3555" t="s">
        <v>16</v>
      </c>
      <c r="K3555">
        <v>577007.90534456098</v>
      </c>
      <c r="L3555" t="s">
        <v>17</v>
      </c>
      <c r="M3555">
        <v>0</v>
      </c>
      <c r="N3555">
        <v>6.7307473855092906E-2</v>
      </c>
    </row>
    <row r="3556" spans="2:14" x14ac:dyDescent="0.25">
      <c r="B3556" t="s">
        <v>14</v>
      </c>
      <c r="C3556" s="1">
        <v>46052.999988425923</v>
      </c>
      <c r="D3556">
        <v>25.154518501383201</v>
      </c>
      <c r="E3556">
        <v>51287.775380798099</v>
      </c>
      <c r="F3556" s="1">
        <v>46050.099814814814</v>
      </c>
      <c r="G3556">
        <v>52.874655869045299</v>
      </c>
      <c r="H3556" t="s">
        <v>32</v>
      </c>
      <c r="I3556" s="2"/>
      <c r="J3556" t="s">
        <v>16</v>
      </c>
      <c r="K3556">
        <v>577007.90534456098</v>
      </c>
      <c r="L3556" t="s">
        <v>17</v>
      </c>
      <c r="M3556">
        <v>12450.8308776371</v>
      </c>
      <c r="N3556">
        <v>8.8885741262368895E-2</v>
      </c>
    </row>
    <row r="3557" spans="2:14" x14ac:dyDescent="0.25">
      <c r="B3557" t="s">
        <v>14</v>
      </c>
      <c r="C3557" s="1">
        <v>46051.999988425923</v>
      </c>
      <c r="D3557">
        <v>25.154518501383201</v>
      </c>
      <c r="E3557">
        <v>51287.775380798099</v>
      </c>
      <c r="F3557" s="1">
        <v>46050.099814814814</v>
      </c>
      <c r="G3557">
        <v>52.874655869045299</v>
      </c>
      <c r="H3557" t="s">
        <v>32</v>
      </c>
      <c r="I3557" s="2"/>
      <c r="J3557" t="s">
        <v>16</v>
      </c>
      <c r="K3557">
        <v>577007.90534456098</v>
      </c>
      <c r="L3557" t="s">
        <v>17</v>
      </c>
      <c r="M3557">
        <v>0</v>
      </c>
      <c r="N3557">
        <v>8.8885741262368895E-2</v>
      </c>
    </row>
    <row r="3558" spans="2:14" x14ac:dyDescent="0.25">
      <c r="B3558" t="s">
        <v>14</v>
      </c>
      <c r="C3558" s="1">
        <v>46050.999988425923</v>
      </c>
      <c r="D3558">
        <v>25.154518501383201</v>
      </c>
      <c r="E3558">
        <v>51287.775380798099</v>
      </c>
      <c r="F3558" s="1">
        <v>46050.099814814814</v>
      </c>
      <c r="G3558">
        <v>52.874655869045299</v>
      </c>
      <c r="H3558" t="s">
        <v>32</v>
      </c>
      <c r="I3558" s="2"/>
      <c r="J3558" t="s">
        <v>16</v>
      </c>
      <c r="K3558">
        <v>577007.90534456098</v>
      </c>
      <c r="L3558" t="s">
        <v>17</v>
      </c>
      <c r="M3558">
        <v>0</v>
      </c>
      <c r="N3558">
        <v>8.8885741262368895E-2</v>
      </c>
    </row>
    <row r="3559" spans="2:14" x14ac:dyDescent="0.25">
      <c r="B3559" t="s">
        <v>14</v>
      </c>
      <c r="C3559" s="1">
        <v>46049.999988425923</v>
      </c>
      <c r="D3559">
        <v>25.154518501383201</v>
      </c>
      <c r="E3559">
        <v>43590.143433860198</v>
      </c>
      <c r="F3559" s="1">
        <v>46047.606307870374</v>
      </c>
      <c r="G3559">
        <v>52.874655869045299</v>
      </c>
      <c r="H3559" t="s">
        <v>32</v>
      </c>
      <c r="I3559" s="2"/>
      <c r="J3559" t="s">
        <v>16</v>
      </c>
      <c r="K3559">
        <v>577007.90534456098</v>
      </c>
      <c r="L3559" t="s">
        <v>17</v>
      </c>
      <c r="M3559">
        <v>-7697.6319469378795</v>
      </c>
      <c r="N3559">
        <v>7.5545140768617902E-2</v>
      </c>
    </row>
    <row r="3560" spans="2:14" x14ac:dyDescent="0.25">
      <c r="B3560" t="s">
        <v>14</v>
      </c>
      <c r="C3560" s="1">
        <v>46048.999988425923</v>
      </c>
      <c r="D3560">
        <v>25.154518501383201</v>
      </c>
      <c r="E3560">
        <v>43590.143433860198</v>
      </c>
      <c r="F3560" s="1">
        <v>46047.606307870374</v>
      </c>
      <c r="G3560">
        <v>52.874655869045299</v>
      </c>
      <c r="H3560" t="s">
        <v>32</v>
      </c>
      <c r="I3560" s="2"/>
      <c r="J3560" t="s">
        <v>16</v>
      </c>
      <c r="K3560">
        <v>577007.90534456098</v>
      </c>
      <c r="L3560" t="s">
        <v>17</v>
      </c>
      <c r="M3560">
        <v>0</v>
      </c>
      <c r="N3560">
        <v>7.5545140768617902E-2</v>
      </c>
    </row>
    <row r="3561" spans="2:14" x14ac:dyDescent="0.25">
      <c r="B3561" t="s">
        <v>14</v>
      </c>
      <c r="C3561" s="1">
        <v>46047.999988425923</v>
      </c>
      <c r="D3561">
        <v>25.154518501383201</v>
      </c>
      <c r="E3561">
        <v>43590.143433860198</v>
      </c>
      <c r="F3561" s="1">
        <v>46047.606307870374</v>
      </c>
      <c r="G3561">
        <v>52.874655869045299</v>
      </c>
      <c r="H3561" t="s">
        <v>32</v>
      </c>
      <c r="I3561" s="2"/>
      <c r="J3561" t="s">
        <v>16</v>
      </c>
      <c r="K3561">
        <v>577007.90534456098</v>
      </c>
      <c r="L3561" t="s">
        <v>17</v>
      </c>
      <c r="M3561">
        <v>0</v>
      </c>
      <c r="N3561">
        <v>7.5545140768617902E-2</v>
      </c>
    </row>
    <row r="3562" spans="2:14" x14ac:dyDescent="0.25">
      <c r="B3562" t="s">
        <v>14</v>
      </c>
      <c r="C3562" s="1">
        <v>46046.999988425923</v>
      </c>
      <c r="D3562">
        <v>25.154518501383201</v>
      </c>
      <c r="E3562">
        <v>36156.4822670582</v>
      </c>
      <c r="F3562" s="1">
        <v>46041.605486111112</v>
      </c>
      <c r="G3562">
        <v>52.874655869045299</v>
      </c>
      <c r="H3562" t="s">
        <v>32</v>
      </c>
      <c r="I3562" s="2"/>
      <c r="J3562" t="s">
        <v>16</v>
      </c>
      <c r="K3562">
        <v>577007.90534456098</v>
      </c>
      <c r="L3562" t="s">
        <v>17</v>
      </c>
      <c r="M3562">
        <v>-7433.6611668020396</v>
      </c>
      <c r="N3562">
        <v>6.2662022360798098E-2</v>
      </c>
    </row>
    <row r="3563" spans="2:14" x14ac:dyDescent="0.25">
      <c r="B3563" t="s">
        <v>14</v>
      </c>
      <c r="C3563" s="1">
        <v>46045.999988425923</v>
      </c>
      <c r="D3563">
        <v>25.154518501383201</v>
      </c>
      <c r="E3563">
        <v>36156.4822670582</v>
      </c>
      <c r="F3563" s="1">
        <v>46041.605486111112</v>
      </c>
      <c r="G3563">
        <v>52.874655869045299</v>
      </c>
      <c r="H3563" t="s">
        <v>32</v>
      </c>
      <c r="I3563" s="2"/>
      <c r="J3563" t="s">
        <v>16</v>
      </c>
      <c r="K3563">
        <v>577007.90534456098</v>
      </c>
      <c r="L3563" t="s">
        <v>17</v>
      </c>
      <c r="M3563">
        <v>0</v>
      </c>
      <c r="N3563">
        <v>6.2662022360798098E-2</v>
      </c>
    </row>
    <row r="3564" spans="2:14" x14ac:dyDescent="0.25">
      <c r="B3564" t="s">
        <v>14</v>
      </c>
      <c r="C3564" s="1">
        <v>46044.999988425923</v>
      </c>
      <c r="D3564">
        <v>25.154518501383201</v>
      </c>
      <c r="E3564">
        <v>36156.4822670582</v>
      </c>
      <c r="F3564" s="1">
        <v>46041.605486111112</v>
      </c>
      <c r="G3564">
        <v>52.874655869045299</v>
      </c>
      <c r="H3564" t="s">
        <v>32</v>
      </c>
      <c r="I3564" s="2"/>
      <c r="J3564" t="s">
        <v>16</v>
      </c>
      <c r="K3564">
        <v>577007.90534456098</v>
      </c>
      <c r="L3564" t="s">
        <v>17</v>
      </c>
      <c r="M3564">
        <v>0</v>
      </c>
      <c r="N3564">
        <v>6.2662022360798098E-2</v>
      </c>
    </row>
    <row r="3565" spans="2:14" x14ac:dyDescent="0.25">
      <c r="B3565" t="s">
        <v>14</v>
      </c>
      <c r="C3565" s="1">
        <v>46043.999988425923</v>
      </c>
      <c r="D3565">
        <v>25.154518501383201</v>
      </c>
      <c r="E3565">
        <v>36156.4822670582</v>
      </c>
      <c r="F3565" s="1">
        <v>46041.605486111112</v>
      </c>
      <c r="G3565">
        <v>52.874655869045299</v>
      </c>
      <c r="H3565" t="s">
        <v>32</v>
      </c>
      <c r="I3565" s="2"/>
      <c r="J3565" t="s">
        <v>16</v>
      </c>
      <c r="K3565">
        <v>577007.90534456098</v>
      </c>
      <c r="L3565" t="s">
        <v>17</v>
      </c>
      <c r="M3565">
        <v>0</v>
      </c>
      <c r="N3565">
        <v>6.2662022360798098E-2</v>
      </c>
    </row>
    <row r="3566" spans="2:14" x14ac:dyDescent="0.25">
      <c r="B3566" t="s">
        <v>14</v>
      </c>
      <c r="C3566" s="1">
        <v>46042.999988425923</v>
      </c>
      <c r="D3566">
        <v>25.154518501383201</v>
      </c>
      <c r="E3566">
        <v>36156.4822670582</v>
      </c>
      <c r="F3566" s="1">
        <v>46041.605486111112</v>
      </c>
      <c r="G3566">
        <v>52.874655869045299</v>
      </c>
      <c r="H3566" t="s">
        <v>32</v>
      </c>
      <c r="I3566" s="2"/>
      <c r="J3566" t="s">
        <v>16</v>
      </c>
      <c r="K3566">
        <v>577007.90534456098</v>
      </c>
      <c r="L3566" t="s">
        <v>17</v>
      </c>
      <c r="M3566">
        <v>0</v>
      </c>
      <c r="N3566">
        <v>6.2662022360798098E-2</v>
      </c>
    </row>
    <row r="3567" spans="2:14" x14ac:dyDescent="0.25">
      <c r="B3567" t="s">
        <v>14</v>
      </c>
      <c r="C3567" s="1">
        <v>46041.999988425923</v>
      </c>
      <c r="D3567">
        <v>25.154518501383201</v>
      </c>
      <c r="E3567">
        <v>36156.4822670582</v>
      </c>
      <c r="F3567" s="1">
        <v>46041.605486111112</v>
      </c>
      <c r="G3567">
        <v>52.874655869045299</v>
      </c>
      <c r="H3567" t="s">
        <v>32</v>
      </c>
      <c r="I3567" s="2"/>
      <c r="J3567" t="s">
        <v>16</v>
      </c>
      <c r="K3567">
        <v>577007.90534456098</v>
      </c>
      <c r="L3567" t="s">
        <v>17</v>
      </c>
      <c r="M3567">
        <v>0</v>
      </c>
      <c r="N3567">
        <v>6.2662022360798098E-2</v>
      </c>
    </row>
    <row r="3568" spans="2:14" x14ac:dyDescent="0.25">
      <c r="B3568" t="s">
        <v>14</v>
      </c>
      <c r="C3568" s="1">
        <v>46040.999988425923</v>
      </c>
      <c r="D3568">
        <v>25.154518501383201</v>
      </c>
      <c r="E3568">
        <v>55010.603981341497</v>
      </c>
      <c r="F3568" s="1">
        <v>46038.099826388891</v>
      </c>
      <c r="G3568">
        <v>52.874655869045299</v>
      </c>
      <c r="H3568" t="s">
        <v>32</v>
      </c>
      <c r="I3568" s="2"/>
      <c r="J3568" t="s">
        <v>16</v>
      </c>
      <c r="K3568">
        <v>577007.90534456098</v>
      </c>
      <c r="L3568" t="s">
        <v>17</v>
      </c>
      <c r="M3568">
        <v>18854.121714283301</v>
      </c>
      <c r="N3568">
        <v>9.5337695500882003E-2</v>
      </c>
    </row>
    <row r="3569" spans="2:14" x14ac:dyDescent="0.25">
      <c r="B3569" t="s">
        <v>14</v>
      </c>
      <c r="C3569" s="1">
        <v>46039.999988425923</v>
      </c>
      <c r="D3569">
        <v>25.154518501383201</v>
      </c>
      <c r="E3569">
        <v>55010.603981341497</v>
      </c>
      <c r="F3569" s="1">
        <v>46038.099826388891</v>
      </c>
      <c r="G3569">
        <v>52.874655869045299</v>
      </c>
      <c r="H3569" t="s">
        <v>32</v>
      </c>
      <c r="I3569" s="2"/>
      <c r="J3569" t="s">
        <v>16</v>
      </c>
      <c r="K3569">
        <v>577007.90534456098</v>
      </c>
      <c r="L3569" t="s">
        <v>17</v>
      </c>
      <c r="M3569">
        <v>0</v>
      </c>
      <c r="N3569">
        <v>9.5337695500882003E-2</v>
      </c>
    </row>
    <row r="3570" spans="2:14" x14ac:dyDescent="0.25">
      <c r="B3570" t="s">
        <v>14</v>
      </c>
      <c r="C3570" s="1">
        <v>46038.999988425923</v>
      </c>
      <c r="D3570">
        <v>25.154518501383201</v>
      </c>
      <c r="E3570">
        <v>55010.603981341497</v>
      </c>
      <c r="F3570" s="1">
        <v>46038.099826388891</v>
      </c>
      <c r="G3570">
        <v>52.874655869045299</v>
      </c>
      <c r="H3570" t="s">
        <v>32</v>
      </c>
      <c r="I3570" s="2"/>
      <c r="J3570" t="s">
        <v>16</v>
      </c>
      <c r="K3570">
        <v>577007.90534456098</v>
      </c>
      <c r="L3570" t="s">
        <v>17</v>
      </c>
      <c r="M3570">
        <v>0</v>
      </c>
      <c r="N3570">
        <v>9.5337695500882003E-2</v>
      </c>
    </row>
    <row r="3571" spans="2:14" x14ac:dyDescent="0.25">
      <c r="B3571" t="s">
        <v>14</v>
      </c>
      <c r="C3571" s="1">
        <v>46037.999988425923</v>
      </c>
      <c r="D3571">
        <v>25.154518501383201</v>
      </c>
      <c r="E3571">
        <v>39257.246820413697</v>
      </c>
      <c r="F3571" s="1">
        <v>46035.606319444443</v>
      </c>
      <c r="G3571">
        <v>52.874655869045299</v>
      </c>
      <c r="H3571" t="s">
        <v>32</v>
      </c>
      <c r="I3571" s="2"/>
      <c r="J3571" t="s">
        <v>16</v>
      </c>
      <c r="K3571">
        <v>577007.90534456098</v>
      </c>
      <c r="L3571" t="s">
        <v>17</v>
      </c>
      <c r="M3571">
        <v>-15753.357160927801</v>
      </c>
      <c r="N3571">
        <v>6.8035890768205598E-2</v>
      </c>
    </row>
    <row r="3572" spans="2:14" x14ac:dyDescent="0.25">
      <c r="B3572" t="s">
        <v>14</v>
      </c>
      <c r="C3572" s="1">
        <v>46036.999988425923</v>
      </c>
      <c r="D3572">
        <v>25.154518501383201</v>
      </c>
      <c r="E3572">
        <v>39257.246820413697</v>
      </c>
      <c r="F3572" s="1">
        <v>46035.606319444443</v>
      </c>
      <c r="G3572">
        <v>52.874655869045299</v>
      </c>
      <c r="H3572" t="s">
        <v>32</v>
      </c>
      <c r="I3572" s="2"/>
      <c r="J3572" t="s">
        <v>16</v>
      </c>
      <c r="K3572">
        <v>577007.90534456098</v>
      </c>
      <c r="L3572" t="s">
        <v>17</v>
      </c>
      <c r="M3572">
        <v>0</v>
      </c>
      <c r="N3572">
        <v>6.8035890768205598E-2</v>
      </c>
    </row>
    <row r="3573" spans="2:14" x14ac:dyDescent="0.25">
      <c r="B3573" t="s">
        <v>14</v>
      </c>
      <c r="C3573" s="1">
        <v>46035.999988425923</v>
      </c>
      <c r="D3573">
        <v>25.154518501383201</v>
      </c>
      <c r="E3573">
        <v>39257.246820413697</v>
      </c>
      <c r="F3573" s="1">
        <v>46035.606319444443</v>
      </c>
      <c r="G3573">
        <v>52.874655869045299</v>
      </c>
      <c r="H3573" t="s">
        <v>32</v>
      </c>
      <c r="I3573" s="2"/>
      <c r="J3573" t="s">
        <v>16</v>
      </c>
      <c r="K3573">
        <v>577007.90534456098</v>
      </c>
      <c r="L3573" t="s">
        <v>17</v>
      </c>
      <c r="M3573">
        <v>0</v>
      </c>
      <c r="N3573">
        <v>6.8035890768205598E-2</v>
      </c>
    </row>
    <row r="3574" spans="2:14" x14ac:dyDescent="0.25">
      <c r="B3574" t="s">
        <v>14</v>
      </c>
      <c r="C3574" s="1">
        <v>46034.999988425923</v>
      </c>
      <c r="D3574">
        <v>25.154518501383201</v>
      </c>
      <c r="E3574">
        <v>52533.114367574497</v>
      </c>
      <c r="F3574" s="1">
        <v>46032.099108796298</v>
      </c>
      <c r="G3574">
        <v>52.874655869045299</v>
      </c>
      <c r="H3574" t="s">
        <v>32</v>
      </c>
      <c r="I3574" s="2"/>
      <c r="J3574" t="s">
        <v>16</v>
      </c>
      <c r="K3574">
        <v>577007.90534456098</v>
      </c>
      <c r="L3574" t="s">
        <v>17</v>
      </c>
      <c r="M3574">
        <v>13275.8675471608</v>
      </c>
      <c r="N3574">
        <v>9.1044011496175803E-2</v>
      </c>
    </row>
    <row r="3575" spans="2:14" x14ac:dyDescent="0.25">
      <c r="B3575" t="s">
        <v>14</v>
      </c>
      <c r="C3575" s="1">
        <v>46033.999988425923</v>
      </c>
      <c r="D3575">
        <v>25.154518501383201</v>
      </c>
      <c r="E3575">
        <v>52533.114367574497</v>
      </c>
      <c r="F3575" s="1">
        <v>46032.099108796298</v>
      </c>
      <c r="G3575">
        <v>52.874655869045299</v>
      </c>
      <c r="H3575" t="s">
        <v>32</v>
      </c>
      <c r="I3575" s="2"/>
      <c r="J3575" t="s">
        <v>16</v>
      </c>
      <c r="K3575">
        <v>577007.90534456098</v>
      </c>
      <c r="L3575" t="s">
        <v>17</v>
      </c>
      <c r="M3575">
        <v>0</v>
      </c>
      <c r="N3575">
        <v>9.1044011496175803E-2</v>
      </c>
    </row>
    <row r="3576" spans="2:14" x14ac:dyDescent="0.25">
      <c r="B3576" t="s">
        <v>14</v>
      </c>
      <c r="C3576" s="1">
        <v>46032.999988425923</v>
      </c>
      <c r="D3576">
        <v>25.154518501383201</v>
      </c>
      <c r="E3576">
        <v>52533.114367574497</v>
      </c>
      <c r="F3576" s="1">
        <v>46032.099108796298</v>
      </c>
      <c r="G3576">
        <v>52.874655869045299</v>
      </c>
      <c r="H3576" t="s">
        <v>32</v>
      </c>
      <c r="I3576" s="2"/>
      <c r="J3576" t="s">
        <v>16</v>
      </c>
      <c r="K3576">
        <v>577007.90534456098</v>
      </c>
      <c r="L3576" t="s">
        <v>17</v>
      </c>
      <c r="M3576">
        <v>0</v>
      </c>
      <c r="N3576">
        <v>9.1044011496175803E-2</v>
      </c>
    </row>
    <row r="3577" spans="2:14" x14ac:dyDescent="0.25">
      <c r="B3577" t="s">
        <v>14</v>
      </c>
      <c r="C3577" s="1">
        <v>46031.999988425923</v>
      </c>
      <c r="D3577">
        <v>25.154518501383201</v>
      </c>
      <c r="E3577">
        <v>32513.785891097301</v>
      </c>
      <c r="F3577" s="1">
        <v>46029.605486111112</v>
      </c>
      <c r="G3577">
        <v>52.874655869045299</v>
      </c>
      <c r="H3577" t="s">
        <v>32</v>
      </c>
      <c r="I3577" s="2"/>
      <c r="J3577" t="s">
        <v>16</v>
      </c>
      <c r="K3577">
        <v>577007.90534456098</v>
      </c>
      <c r="L3577" t="s">
        <v>17</v>
      </c>
      <c r="M3577">
        <v>-20019.328476477102</v>
      </c>
      <c r="N3577">
        <v>5.6348943558549199E-2</v>
      </c>
    </row>
    <row r="3578" spans="2:14" x14ac:dyDescent="0.25">
      <c r="B3578" t="s">
        <v>14</v>
      </c>
      <c r="C3578" s="1">
        <v>46030.999988425923</v>
      </c>
      <c r="D3578">
        <v>25.154518501383201</v>
      </c>
      <c r="E3578">
        <v>32513.785891097301</v>
      </c>
      <c r="F3578" s="1">
        <v>46029.605486111112</v>
      </c>
      <c r="G3578">
        <v>52.874655869045299</v>
      </c>
      <c r="H3578" t="s">
        <v>32</v>
      </c>
      <c r="I3578" s="2"/>
      <c r="J3578" t="s">
        <v>16</v>
      </c>
      <c r="K3578">
        <v>577007.90534456098</v>
      </c>
      <c r="L3578" t="s">
        <v>17</v>
      </c>
      <c r="M3578">
        <v>0</v>
      </c>
      <c r="N3578">
        <v>5.6348943558549199E-2</v>
      </c>
    </row>
    <row r="3579" spans="2:14" x14ac:dyDescent="0.25">
      <c r="B3579" t="s">
        <v>14</v>
      </c>
      <c r="C3579" s="1">
        <v>46029.999988425923</v>
      </c>
      <c r="D3579">
        <v>25.154518501383201</v>
      </c>
      <c r="E3579">
        <v>32513.785891097301</v>
      </c>
      <c r="F3579" s="1">
        <v>46029.605486111112</v>
      </c>
      <c r="G3579">
        <v>52.874655869045299</v>
      </c>
      <c r="H3579" t="s">
        <v>32</v>
      </c>
      <c r="I3579" s="2"/>
      <c r="J3579" t="s">
        <v>16</v>
      </c>
      <c r="K3579">
        <v>577007.90534456098</v>
      </c>
      <c r="L3579" t="s">
        <v>17</v>
      </c>
      <c r="M3579">
        <v>0</v>
      </c>
      <c r="N3579">
        <v>5.6348943558549199E-2</v>
      </c>
    </row>
    <row r="3580" spans="2:14" x14ac:dyDescent="0.25">
      <c r="B3580" t="s">
        <v>14</v>
      </c>
      <c r="C3580" s="1">
        <v>46028.999988425923</v>
      </c>
      <c r="D3580">
        <v>25.154518501383201</v>
      </c>
      <c r="E3580">
        <v>52338.493410142597</v>
      </c>
      <c r="F3580" s="1">
        <v>46026.09983796296</v>
      </c>
      <c r="G3580">
        <v>52.874655869045299</v>
      </c>
      <c r="H3580" t="s">
        <v>32</v>
      </c>
      <c r="I3580" s="2"/>
      <c r="J3580" t="s">
        <v>16</v>
      </c>
      <c r="K3580">
        <v>577007.90534456098</v>
      </c>
      <c r="L3580" t="s">
        <v>17</v>
      </c>
      <c r="M3580">
        <v>19824.707519045201</v>
      </c>
      <c r="N3580">
        <v>9.0706718097542494E-2</v>
      </c>
    </row>
    <row r="3581" spans="2:14" x14ac:dyDescent="0.25">
      <c r="B3581" t="s">
        <v>14</v>
      </c>
      <c r="C3581" s="1">
        <v>46027.999988425923</v>
      </c>
      <c r="D3581">
        <v>25.154518501383201</v>
      </c>
      <c r="E3581">
        <v>52338.493410142597</v>
      </c>
      <c r="F3581" s="1">
        <v>46026.09983796296</v>
      </c>
      <c r="G3581">
        <v>52.874655869045299</v>
      </c>
      <c r="H3581" t="s">
        <v>32</v>
      </c>
      <c r="I3581" s="2"/>
      <c r="J3581" t="s">
        <v>16</v>
      </c>
      <c r="K3581">
        <v>577007.90534456098</v>
      </c>
      <c r="L3581" t="s">
        <v>17</v>
      </c>
      <c r="M3581">
        <v>0</v>
      </c>
      <c r="N3581">
        <v>9.0706718097542494E-2</v>
      </c>
    </row>
    <row r="3582" spans="2:14" x14ac:dyDescent="0.25">
      <c r="B3582" t="s">
        <v>14</v>
      </c>
      <c r="C3582" s="1">
        <v>46026.999988425923</v>
      </c>
      <c r="D3582">
        <v>25.154518501383201</v>
      </c>
      <c r="E3582">
        <v>52338.493410142597</v>
      </c>
      <c r="F3582" s="1">
        <v>46026.09983796296</v>
      </c>
      <c r="G3582">
        <v>52.874655869045299</v>
      </c>
      <c r="H3582" t="s">
        <v>32</v>
      </c>
      <c r="I3582" s="2"/>
      <c r="J3582" t="s">
        <v>16</v>
      </c>
      <c r="K3582">
        <v>577007.90534456098</v>
      </c>
      <c r="L3582" t="s">
        <v>17</v>
      </c>
      <c r="M3582">
        <v>0</v>
      </c>
      <c r="N3582">
        <v>9.0706718097542494E-2</v>
      </c>
    </row>
    <row r="3583" spans="2:14" x14ac:dyDescent="0.25">
      <c r="B3583" t="s">
        <v>14</v>
      </c>
      <c r="C3583" s="1">
        <v>46025.999988425923</v>
      </c>
      <c r="D3583">
        <v>25.154518501383201</v>
      </c>
      <c r="E3583">
        <v>42797.643790166003</v>
      </c>
      <c r="F3583" s="1">
        <v>46023.60633101852</v>
      </c>
      <c r="G3583">
        <v>52.874655869045299</v>
      </c>
      <c r="H3583" t="s">
        <v>32</v>
      </c>
      <c r="I3583" s="2"/>
      <c r="J3583" t="s">
        <v>16</v>
      </c>
      <c r="K3583">
        <v>577007.90534456098</v>
      </c>
      <c r="L3583" t="s">
        <v>17</v>
      </c>
      <c r="M3583">
        <v>-9540.8496199765905</v>
      </c>
      <c r="N3583">
        <v>7.4171676668119996E-2</v>
      </c>
    </row>
    <row r="3584" spans="2:14" x14ac:dyDescent="0.25">
      <c r="B3584" t="s">
        <v>14</v>
      </c>
      <c r="C3584" s="1">
        <v>46024.999988425923</v>
      </c>
      <c r="D3584">
        <v>25.154518501383201</v>
      </c>
      <c r="E3584">
        <v>42797.643790166003</v>
      </c>
      <c r="F3584" s="1">
        <v>46023.60633101852</v>
      </c>
      <c r="G3584">
        <v>52.874655869045299</v>
      </c>
      <c r="H3584" t="s">
        <v>32</v>
      </c>
      <c r="I3584" s="2"/>
      <c r="J3584" t="s">
        <v>16</v>
      </c>
      <c r="K3584">
        <v>577007.90534456098</v>
      </c>
      <c r="L3584" t="s">
        <v>17</v>
      </c>
      <c r="M3584">
        <v>0</v>
      </c>
      <c r="N3584">
        <v>7.4171676668119996E-2</v>
      </c>
    </row>
    <row r="3585" spans="2:14" x14ac:dyDescent="0.25">
      <c r="B3585" t="s">
        <v>14</v>
      </c>
      <c r="C3585" s="1">
        <v>46023.999988425923</v>
      </c>
      <c r="D3585">
        <v>25.154518501383201</v>
      </c>
      <c r="E3585">
        <v>42797.643790166003</v>
      </c>
      <c r="F3585" s="1">
        <v>46023.60633101852</v>
      </c>
      <c r="G3585">
        <v>52.874655869045299</v>
      </c>
      <c r="H3585" t="s">
        <v>32</v>
      </c>
      <c r="I3585" s="2"/>
      <c r="J3585" t="s">
        <v>16</v>
      </c>
      <c r="K3585">
        <v>577007.90534456098</v>
      </c>
      <c r="L3585" t="s">
        <v>17</v>
      </c>
      <c r="M3585">
        <v>0</v>
      </c>
      <c r="N3585">
        <v>7.4171676668119996E-2</v>
      </c>
    </row>
    <row r="3586" spans="2:14" x14ac:dyDescent="0.25">
      <c r="B3586" t="s">
        <v>14</v>
      </c>
      <c r="C3586" s="1">
        <v>46246.999988425923</v>
      </c>
      <c r="D3586">
        <v>25.153777567676201</v>
      </c>
      <c r="E3586">
        <v>3730.2808731271002</v>
      </c>
      <c r="F3586" s="1">
        <v>46246.605821759258</v>
      </c>
      <c r="G3586">
        <v>52.8777613425152</v>
      </c>
      <c r="H3586" t="s">
        <v>33</v>
      </c>
      <c r="I3586" s="2"/>
      <c r="J3586" t="s">
        <v>16</v>
      </c>
      <c r="K3586">
        <v>486114.54266645201</v>
      </c>
      <c r="L3586" t="s">
        <v>17</v>
      </c>
      <c r="M3586">
        <v>0</v>
      </c>
      <c r="N3586">
        <v>7.67366648334699E-3</v>
      </c>
    </row>
    <row r="3587" spans="2:14" x14ac:dyDescent="0.25">
      <c r="B3587" t="s">
        <v>14</v>
      </c>
      <c r="C3587" s="1">
        <v>46245.999988425923</v>
      </c>
      <c r="D3587">
        <v>25.153777567676201</v>
      </c>
      <c r="E3587">
        <v>1820.25137442455</v>
      </c>
      <c r="F3587" s="1">
        <v>46243.09915509259</v>
      </c>
      <c r="G3587">
        <v>52.8777613425152</v>
      </c>
      <c r="H3587" t="s">
        <v>33</v>
      </c>
      <c r="I3587" s="2"/>
      <c r="J3587" t="s">
        <v>16</v>
      </c>
      <c r="K3587">
        <v>486114.54266645201</v>
      </c>
      <c r="L3587" t="s">
        <v>17</v>
      </c>
      <c r="M3587">
        <v>-1910.02949870255</v>
      </c>
      <c r="N3587">
        <v>3.7444906799949701E-3</v>
      </c>
    </row>
    <row r="3588" spans="2:14" x14ac:dyDescent="0.25">
      <c r="B3588" t="s">
        <v>14</v>
      </c>
      <c r="C3588" s="1">
        <v>46244.999988425923</v>
      </c>
      <c r="D3588">
        <v>25.153777567676201</v>
      </c>
      <c r="E3588">
        <v>1820.25137442455</v>
      </c>
      <c r="F3588" s="1">
        <v>46243.09915509259</v>
      </c>
      <c r="G3588">
        <v>52.8777613425152</v>
      </c>
      <c r="H3588" t="s">
        <v>33</v>
      </c>
      <c r="I3588" s="2"/>
      <c r="J3588" t="s">
        <v>16</v>
      </c>
      <c r="K3588">
        <v>486114.54266645201</v>
      </c>
      <c r="L3588" t="s">
        <v>17</v>
      </c>
      <c r="M3588">
        <v>0</v>
      </c>
      <c r="N3588">
        <v>3.7444906799949701E-3</v>
      </c>
    </row>
    <row r="3589" spans="2:14" x14ac:dyDescent="0.25">
      <c r="B3589" t="s">
        <v>14</v>
      </c>
      <c r="C3589" s="1">
        <v>46243.999988425923</v>
      </c>
      <c r="D3589">
        <v>25.153777567676201</v>
      </c>
      <c r="E3589">
        <v>1820.25137442455</v>
      </c>
      <c r="F3589" s="1">
        <v>46243.09915509259</v>
      </c>
      <c r="G3589">
        <v>52.8777613425152</v>
      </c>
      <c r="H3589" t="s">
        <v>33</v>
      </c>
      <c r="I3589" s="2"/>
      <c r="J3589" t="s">
        <v>16</v>
      </c>
      <c r="K3589">
        <v>486114.54266645201</v>
      </c>
      <c r="L3589" t="s">
        <v>17</v>
      </c>
      <c r="M3589">
        <v>0</v>
      </c>
      <c r="N3589">
        <v>3.7444906799949701E-3</v>
      </c>
    </row>
    <row r="3590" spans="2:14" x14ac:dyDescent="0.25">
      <c r="B3590" t="s">
        <v>14</v>
      </c>
      <c r="C3590" s="1">
        <v>46242.999988425923</v>
      </c>
      <c r="D3590">
        <v>25.153777567676201</v>
      </c>
      <c r="E3590">
        <v>1953.9329473252201</v>
      </c>
      <c r="F3590" s="1">
        <v>46240.605520833335</v>
      </c>
      <c r="G3590">
        <v>52.8777613425152</v>
      </c>
      <c r="H3590" t="s">
        <v>33</v>
      </c>
      <c r="I3590" s="2"/>
      <c r="J3590" t="s">
        <v>16</v>
      </c>
      <c r="K3590">
        <v>486114.54266645201</v>
      </c>
      <c r="L3590" t="s">
        <v>17</v>
      </c>
      <c r="M3590">
        <v>133.681572900677</v>
      </c>
      <c r="N3590">
        <v>4.0194908315382798E-3</v>
      </c>
    </row>
    <row r="3591" spans="2:14" x14ac:dyDescent="0.25">
      <c r="B3591" t="s">
        <v>14</v>
      </c>
      <c r="C3591" s="1">
        <v>46241.999988425923</v>
      </c>
      <c r="D3591">
        <v>25.153777567676201</v>
      </c>
      <c r="E3591">
        <v>1953.9329473252201</v>
      </c>
      <c r="F3591" s="1">
        <v>46240.605520833335</v>
      </c>
      <c r="G3591">
        <v>52.8777613425152</v>
      </c>
      <c r="H3591" t="s">
        <v>33</v>
      </c>
      <c r="I3591" s="2"/>
      <c r="J3591" t="s">
        <v>16</v>
      </c>
      <c r="K3591">
        <v>486114.54266645201</v>
      </c>
      <c r="L3591" t="s">
        <v>17</v>
      </c>
      <c r="M3591">
        <v>0</v>
      </c>
      <c r="N3591">
        <v>4.0194908315382798E-3</v>
      </c>
    </row>
    <row r="3592" spans="2:14" x14ac:dyDescent="0.25">
      <c r="B3592" t="s">
        <v>14</v>
      </c>
      <c r="C3592" s="1">
        <v>46240.999988425923</v>
      </c>
      <c r="D3592">
        <v>25.153777567676201</v>
      </c>
      <c r="E3592">
        <v>1953.9329473252201</v>
      </c>
      <c r="F3592" s="1">
        <v>46240.605520833335</v>
      </c>
      <c r="G3592">
        <v>52.8777613425152</v>
      </c>
      <c r="H3592" t="s">
        <v>33</v>
      </c>
      <c r="I3592" s="2"/>
      <c r="J3592" t="s">
        <v>16</v>
      </c>
      <c r="K3592">
        <v>486114.54266645201</v>
      </c>
      <c r="L3592" t="s">
        <v>17</v>
      </c>
      <c r="M3592">
        <v>0</v>
      </c>
      <c r="N3592">
        <v>4.0194908315382798E-3</v>
      </c>
    </row>
    <row r="3593" spans="2:14" x14ac:dyDescent="0.25">
      <c r="B3593" t="s">
        <v>14</v>
      </c>
      <c r="C3593" s="1">
        <v>46239.999988425923</v>
      </c>
      <c r="D3593">
        <v>25.153777567676201</v>
      </c>
      <c r="E3593">
        <v>0</v>
      </c>
      <c r="F3593" s="1">
        <v>46237.099328703705</v>
      </c>
      <c r="G3593">
        <v>52.8777613425152</v>
      </c>
      <c r="H3593" t="s">
        <v>33</v>
      </c>
      <c r="I3593" s="2"/>
      <c r="J3593" t="s">
        <v>16</v>
      </c>
      <c r="K3593">
        <v>486114.54266645201</v>
      </c>
      <c r="L3593" t="s">
        <v>17</v>
      </c>
      <c r="M3593">
        <v>-1953.9329473252201</v>
      </c>
      <c r="N3593">
        <v>0</v>
      </c>
    </row>
    <row r="3594" spans="2:14" x14ac:dyDescent="0.25">
      <c r="B3594" t="s">
        <v>14</v>
      </c>
      <c r="C3594" s="1">
        <v>46238.999988425923</v>
      </c>
      <c r="D3594">
        <v>25.153777567676201</v>
      </c>
      <c r="E3594">
        <v>0</v>
      </c>
      <c r="F3594" s="1">
        <v>46237.099328703705</v>
      </c>
      <c r="G3594">
        <v>52.8777613425152</v>
      </c>
      <c r="H3594" t="s">
        <v>33</v>
      </c>
      <c r="I3594" s="2"/>
      <c r="J3594" t="s">
        <v>16</v>
      </c>
      <c r="K3594">
        <v>486114.54266645201</v>
      </c>
      <c r="L3594" t="s">
        <v>17</v>
      </c>
      <c r="M3594">
        <v>0</v>
      </c>
      <c r="N3594">
        <v>0</v>
      </c>
    </row>
    <row r="3595" spans="2:14" x14ac:dyDescent="0.25">
      <c r="B3595" t="s">
        <v>14</v>
      </c>
      <c r="C3595" s="1">
        <v>46237.999988425923</v>
      </c>
      <c r="D3595">
        <v>25.153777567676201</v>
      </c>
      <c r="E3595">
        <v>0</v>
      </c>
      <c r="F3595" s="1">
        <v>46237.099328703705</v>
      </c>
      <c r="G3595">
        <v>52.8777613425152</v>
      </c>
      <c r="H3595" t="s">
        <v>33</v>
      </c>
      <c r="I3595" s="2"/>
      <c r="J3595" t="s">
        <v>16</v>
      </c>
      <c r="K3595">
        <v>486114.54266645201</v>
      </c>
      <c r="L3595" t="s">
        <v>17</v>
      </c>
      <c r="M3595">
        <v>0</v>
      </c>
      <c r="N3595">
        <v>0</v>
      </c>
    </row>
    <row r="3596" spans="2:14" x14ac:dyDescent="0.25">
      <c r="B3596" t="s">
        <v>14</v>
      </c>
      <c r="C3596" s="1">
        <v>46236.999988425923</v>
      </c>
      <c r="D3596">
        <v>25.153777567676201</v>
      </c>
      <c r="E3596">
        <v>3128.9694829749601</v>
      </c>
      <c r="F3596" s="1">
        <v>46234.605810185189</v>
      </c>
      <c r="G3596">
        <v>52.8777613425152</v>
      </c>
      <c r="H3596" t="s">
        <v>33</v>
      </c>
      <c r="I3596" s="2"/>
      <c r="J3596" t="s">
        <v>16</v>
      </c>
      <c r="K3596">
        <v>486114.54266645201</v>
      </c>
      <c r="L3596" t="s">
        <v>17</v>
      </c>
      <c r="M3596">
        <v>3128.9694829749601</v>
      </c>
      <c r="N3596">
        <v>6.4366917842281204E-3</v>
      </c>
    </row>
    <row r="3597" spans="2:14" x14ac:dyDescent="0.25">
      <c r="B3597" t="s">
        <v>14</v>
      </c>
      <c r="C3597" s="1">
        <v>46235.999988425923</v>
      </c>
      <c r="D3597">
        <v>25.153777567676201</v>
      </c>
      <c r="E3597">
        <v>3128.9694829749601</v>
      </c>
      <c r="F3597" s="1">
        <v>46234.605810185189</v>
      </c>
      <c r="G3597">
        <v>52.8777613425152</v>
      </c>
      <c r="H3597" t="s">
        <v>33</v>
      </c>
      <c r="I3597" s="2"/>
      <c r="J3597" t="s">
        <v>16</v>
      </c>
      <c r="K3597">
        <v>486114.54266645201</v>
      </c>
      <c r="L3597" t="s">
        <v>17</v>
      </c>
      <c r="M3597">
        <v>0</v>
      </c>
      <c r="N3597">
        <v>6.4366917842281204E-3</v>
      </c>
    </row>
    <row r="3598" spans="2:14" x14ac:dyDescent="0.25">
      <c r="B3598" t="s">
        <v>14</v>
      </c>
      <c r="C3598" s="1">
        <v>46234.999988425923</v>
      </c>
      <c r="D3598">
        <v>25.153777567676201</v>
      </c>
      <c r="E3598">
        <v>3128.9694829749601</v>
      </c>
      <c r="F3598" s="1">
        <v>46234.605810185189</v>
      </c>
      <c r="G3598">
        <v>52.8777613425152</v>
      </c>
      <c r="H3598" t="s">
        <v>33</v>
      </c>
      <c r="I3598" s="2"/>
      <c r="J3598" t="s">
        <v>16</v>
      </c>
      <c r="K3598">
        <v>486114.54266645201</v>
      </c>
      <c r="L3598" t="s">
        <v>17</v>
      </c>
      <c r="M3598">
        <v>0</v>
      </c>
      <c r="N3598">
        <v>6.4366917842281204E-3</v>
      </c>
    </row>
    <row r="3599" spans="2:14" x14ac:dyDescent="0.25">
      <c r="B3599" t="s">
        <v>14</v>
      </c>
      <c r="C3599" s="1">
        <v>46233.999988425923</v>
      </c>
      <c r="D3599">
        <v>25.153777567676201</v>
      </c>
      <c r="E3599">
        <v>0</v>
      </c>
      <c r="F3599" s="1">
        <v>46231.09915509259</v>
      </c>
      <c r="G3599">
        <v>52.8777613425152</v>
      </c>
      <c r="H3599" t="s">
        <v>33</v>
      </c>
      <c r="I3599" s="2"/>
      <c r="J3599" t="s">
        <v>16</v>
      </c>
      <c r="K3599">
        <v>486114.54266645201</v>
      </c>
      <c r="L3599" t="s">
        <v>17</v>
      </c>
      <c r="M3599">
        <v>-3128.9694829749601</v>
      </c>
      <c r="N3599">
        <v>0</v>
      </c>
    </row>
    <row r="3600" spans="2:14" x14ac:dyDescent="0.25">
      <c r="B3600" t="s">
        <v>14</v>
      </c>
      <c r="C3600" s="1">
        <v>46232.999988425923</v>
      </c>
      <c r="D3600">
        <v>25.153777567676201</v>
      </c>
      <c r="E3600">
        <v>0</v>
      </c>
      <c r="F3600" s="1">
        <v>46231.09915509259</v>
      </c>
      <c r="G3600">
        <v>52.8777613425152</v>
      </c>
      <c r="H3600" t="s">
        <v>33</v>
      </c>
      <c r="I3600" s="2"/>
      <c r="J3600" t="s">
        <v>16</v>
      </c>
      <c r="K3600">
        <v>486114.54266645201</v>
      </c>
      <c r="L3600" t="s">
        <v>17</v>
      </c>
      <c r="M3600">
        <v>0</v>
      </c>
      <c r="N3600">
        <v>0</v>
      </c>
    </row>
    <row r="3601" spans="2:14" x14ac:dyDescent="0.25">
      <c r="B3601" t="s">
        <v>14</v>
      </c>
      <c r="C3601" s="1">
        <v>46231.999988425923</v>
      </c>
      <c r="D3601">
        <v>25.153777567676201</v>
      </c>
      <c r="E3601">
        <v>0</v>
      </c>
      <c r="F3601" s="1">
        <v>46231.09915509259</v>
      </c>
      <c r="G3601">
        <v>52.8777613425152</v>
      </c>
      <c r="H3601" t="s">
        <v>33</v>
      </c>
      <c r="I3601" s="2"/>
      <c r="J3601" t="s">
        <v>16</v>
      </c>
      <c r="K3601">
        <v>486114.54266645201</v>
      </c>
      <c r="L3601" t="s">
        <v>17</v>
      </c>
      <c r="M3601">
        <v>0</v>
      </c>
      <c r="N3601">
        <v>0</v>
      </c>
    </row>
    <row r="3602" spans="2:14" x14ac:dyDescent="0.25">
      <c r="B3602" t="s">
        <v>14</v>
      </c>
      <c r="C3602" s="1">
        <v>46230.999988425923</v>
      </c>
      <c r="D3602">
        <v>25.153777567676201</v>
      </c>
      <c r="E3602">
        <v>9092.9908683739995</v>
      </c>
      <c r="F3602" s="1">
        <v>46228.605520833335</v>
      </c>
      <c r="G3602">
        <v>52.8777613425152</v>
      </c>
      <c r="H3602" t="s">
        <v>33</v>
      </c>
      <c r="I3602" s="2"/>
      <c r="J3602" t="s">
        <v>16</v>
      </c>
      <c r="K3602">
        <v>486114.54266645201</v>
      </c>
      <c r="L3602" t="s">
        <v>17</v>
      </c>
      <c r="M3602">
        <v>9092.9908683739995</v>
      </c>
      <c r="N3602">
        <v>1.8705449169442199E-2</v>
      </c>
    </row>
    <row r="3603" spans="2:14" x14ac:dyDescent="0.25">
      <c r="B3603" t="s">
        <v>14</v>
      </c>
      <c r="C3603" s="1">
        <v>46229.999988425923</v>
      </c>
      <c r="D3603">
        <v>25.153777567676201</v>
      </c>
      <c r="E3603">
        <v>9092.9908683739995</v>
      </c>
      <c r="F3603" s="1">
        <v>46228.605520833335</v>
      </c>
      <c r="G3603">
        <v>52.8777613425152</v>
      </c>
      <c r="H3603" t="s">
        <v>33</v>
      </c>
      <c r="I3603" s="2"/>
      <c r="J3603" t="s">
        <v>16</v>
      </c>
      <c r="K3603">
        <v>486114.54266645201</v>
      </c>
      <c r="L3603" t="s">
        <v>17</v>
      </c>
      <c r="M3603">
        <v>0</v>
      </c>
      <c r="N3603">
        <v>1.8705449169442199E-2</v>
      </c>
    </row>
    <row r="3604" spans="2:14" x14ac:dyDescent="0.25">
      <c r="B3604" t="s">
        <v>14</v>
      </c>
      <c r="C3604" s="1">
        <v>46228.999988425923</v>
      </c>
      <c r="D3604">
        <v>25.153777567676201</v>
      </c>
      <c r="E3604">
        <v>9092.9908683739995</v>
      </c>
      <c r="F3604" s="1">
        <v>46228.605520833335</v>
      </c>
      <c r="G3604">
        <v>52.8777613425152</v>
      </c>
      <c r="H3604" t="s">
        <v>33</v>
      </c>
      <c r="I3604" s="2"/>
      <c r="J3604" t="s">
        <v>16</v>
      </c>
      <c r="K3604">
        <v>486114.54266645201</v>
      </c>
      <c r="L3604" t="s">
        <v>17</v>
      </c>
      <c r="M3604">
        <v>0</v>
      </c>
      <c r="N3604">
        <v>1.8705449169442199E-2</v>
      </c>
    </row>
    <row r="3605" spans="2:14" x14ac:dyDescent="0.25">
      <c r="B3605" t="s">
        <v>14</v>
      </c>
      <c r="C3605" s="1">
        <v>46227.999988425923</v>
      </c>
      <c r="D3605">
        <v>25.153777567676201</v>
      </c>
      <c r="E3605">
        <v>0</v>
      </c>
      <c r="F3605" s="1">
        <v>46225.099317129629</v>
      </c>
      <c r="G3605">
        <v>52.8777613425152</v>
      </c>
      <c r="H3605" t="s">
        <v>33</v>
      </c>
      <c r="I3605" s="2"/>
      <c r="J3605" t="s">
        <v>16</v>
      </c>
      <c r="K3605">
        <v>486114.54266645201</v>
      </c>
      <c r="L3605" t="s">
        <v>17</v>
      </c>
      <c r="M3605">
        <v>-9092.9908683739995</v>
      </c>
      <c r="N3605">
        <v>0</v>
      </c>
    </row>
    <row r="3606" spans="2:14" x14ac:dyDescent="0.25">
      <c r="B3606" t="s">
        <v>14</v>
      </c>
      <c r="C3606" s="1">
        <v>46226.999988425923</v>
      </c>
      <c r="D3606">
        <v>25.153777567676201</v>
      </c>
      <c r="E3606">
        <v>0</v>
      </c>
      <c r="F3606" s="1">
        <v>46225.099317129629</v>
      </c>
      <c r="G3606">
        <v>52.8777613425152</v>
      </c>
      <c r="H3606" t="s">
        <v>33</v>
      </c>
      <c r="I3606" s="2"/>
      <c r="J3606" t="s">
        <v>16</v>
      </c>
      <c r="K3606">
        <v>486114.54266645201</v>
      </c>
      <c r="L3606" t="s">
        <v>17</v>
      </c>
      <c r="M3606">
        <v>0</v>
      </c>
      <c r="N3606">
        <v>0</v>
      </c>
    </row>
    <row r="3607" spans="2:14" x14ac:dyDescent="0.25">
      <c r="B3607" t="s">
        <v>14</v>
      </c>
      <c r="C3607" s="1">
        <v>46225.999988425923</v>
      </c>
      <c r="D3607">
        <v>25.153777567676201</v>
      </c>
      <c r="E3607">
        <v>0</v>
      </c>
      <c r="F3607" s="1">
        <v>46225.099317129629</v>
      </c>
      <c r="G3607">
        <v>52.8777613425152</v>
      </c>
      <c r="H3607" t="s">
        <v>33</v>
      </c>
      <c r="I3607" s="2"/>
      <c r="J3607" t="s">
        <v>16</v>
      </c>
      <c r="K3607">
        <v>486114.54266645201</v>
      </c>
      <c r="L3607" t="s">
        <v>17</v>
      </c>
      <c r="M3607">
        <v>0</v>
      </c>
      <c r="N3607">
        <v>0</v>
      </c>
    </row>
    <row r="3608" spans="2:14" x14ac:dyDescent="0.25">
      <c r="B3608" t="s">
        <v>14</v>
      </c>
      <c r="C3608" s="1">
        <v>46224.999988425923</v>
      </c>
      <c r="D3608">
        <v>25.153777567676201</v>
      </c>
      <c r="E3608">
        <v>5268.4831731745498</v>
      </c>
      <c r="F3608" s="1">
        <v>46222.605810185189</v>
      </c>
      <c r="G3608">
        <v>52.8777613425152</v>
      </c>
      <c r="H3608" t="s">
        <v>33</v>
      </c>
      <c r="I3608" s="2"/>
      <c r="J3608" t="s">
        <v>16</v>
      </c>
      <c r="K3608">
        <v>486114.54266645201</v>
      </c>
      <c r="L3608" t="s">
        <v>17</v>
      </c>
      <c r="M3608">
        <v>5268.4831731745498</v>
      </c>
      <c r="N3608">
        <v>1.0837946020449501E-2</v>
      </c>
    </row>
    <row r="3609" spans="2:14" x14ac:dyDescent="0.25">
      <c r="B3609" t="s">
        <v>14</v>
      </c>
      <c r="C3609" s="1">
        <v>46223.999988425923</v>
      </c>
      <c r="D3609">
        <v>25.153777567676201</v>
      </c>
      <c r="E3609">
        <v>5268.4831731745498</v>
      </c>
      <c r="F3609" s="1">
        <v>46222.605810185189</v>
      </c>
      <c r="G3609">
        <v>52.8777613425152</v>
      </c>
      <c r="H3609" t="s">
        <v>33</v>
      </c>
      <c r="I3609" s="2"/>
      <c r="J3609" t="s">
        <v>16</v>
      </c>
      <c r="K3609">
        <v>486114.54266645201</v>
      </c>
      <c r="L3609" t="s">
        <v>17</v>
      </c>
      <c r="M3609">
        <v>0</v>
      </c>
      <c r="N3609">
        <v>1.0837946020449501E-2</v>
      </c>
    </row>
    <row r="3610" spans="2:14" x14ac:dyDescent="0.25">
      <c r="B3610" t="s">
        <v>14</v>
      </c>
      <c r="C3610" s="1">
        <v>46222.999988425923</v>
      </c>
      <c r="D3610">
        <v>25.153777567676201</v>
      </c>
      <c r="E3610">
        <v>5268.4831731745498</v>
      </c>
      <c r="F3610" s="1">
        <v>46222.605810185189</v>
      </c>
      <c r="G3610">
        <v>52.8777613425152</v>
      </c>
      <c r="H3610" t="s">
        <v>33</v>
      </c>
      <c r="I3610" s="2"/>
      <c r="J3610" t="s">
        <v>16</v>
      </c>
      <c r="K3610">
        <v>486114.54266645201</v>
      </c>
      <c r="L3610" t="s">
        <v>17</v>
      </c>
      <c r="M3610">
        <v>0</v>
      </c>
      <c r="N3610">
        <v>1.0837946020449501E-2</v>
      </c>
    </row>
    <row r="3611" spans="2:14" x14ac:dyDescent="0.25">
      <c r="B3611" t="s">
        <v>14</v>
      </c>
      <c r="C3611" s="1">
        <v>46221.999988425923</v>
      </c>
      <c r="D3611">
        <v>25.153777567676201</v>
      </c>
      <c r="E3611">
        <v>0</v>
      </c>
      <c r="F3611" s="1">
        <v>46219.099143518521</v>
      </c>
      <c r="G3611">
        <v>52.8777613425152</v>
      </c>
      <c r="H3611" t="s">
        <v>33</v>
      </c>
      <c r="I3611" s="2"/>
      <c r="J3611" t="s">
        <v>16</v>
      </c>
      <c r="K3611">
        <v>486114.54266645201</v>
      </c>
      <c r="L3611" t="s">
        <v>17</v>
      </c>
      <c r="M3611">
        <v>-5268.4831731745498</v>
      </c>
      <c r="N3611">
        <v>0</v>
      </c>
    </row>
    <row r="3612" spans="2:14" x14ac:dyDescent="0.25">
      <c r="B3612" t="s">
        <v>14</v>
      </c>
      <c r="C3612" s="1">
        <v>46220.999988425923</v>
      </c>
      <c r="D3612">
        <v>25.153777567676201</v>
      </c>
      <c r="E3612">
        <v>0</v>
      </c>
      <c r="F3612" s="1">
        <v>46219.099143518521</v>
      </c>
      <c r="G3612">
        <v>52.8777613425152</v>
      </c>
      <c r="H3612" t="s">
        <v>33</v>
      </c>
      <c r="I3612" s="2"/>
      <c r="J3612" t="s">
        <v>16</v>
      </c>
      <c r="K3612">
        <v>486114.54266645201</v>
      </c>
      <c r="L3612" t="s">
        <v>17</v>
      </c>
      <c r="M3612">
        <v>0</v>
      </c>
      <c r="N3612">
        <v>0</v>
      </c>
    </row>
    <row r="3613" spans="2:14" x14ac:dyDescent="0.25">
      <c r="B3613" t="s">
        <v>14</v>
      </c>
      <c r="C3613" s="1">
        <v>46219.999988425923</v>
      </c>
      <c r="D3613">
        <v>25.153777567676201</v>
      </c>
      <c r="E3613">
        <v>0</v>
      </c>
      <c r="F3613" s="1">
        <v>46219.099143518521</v>
      </c>
      <c r="G3613">
        <v>52.8777613425152</v>
      </c>
      <c r="H3613" t="s">
        <v>33</v>
      </c>
      <c r="I3613" s="2"/>
      <c r="J3613" t="s">
        <v>16</v>
      </c>
      <c r="K3613">
        <v>486114.54266645201</v>
      </c>
      <c r="L3613" t="s">
        <v>17</v>
      </c>
      <c r="M3613">
        <v>0</v>
      </c>
      <c r="N3613">
        <v>0</v>
      </c>
    </row>
    <row r="3614" spans="2:14" x14ac:dyDescent="0.25">
      <c r="B3614" t="s">
        <v>14</v>
      </c>
      <c r="C3614" s="1">
        <v>46218.999988425923</v>
      </c>
      <c r="D3614">
        <v>25.153777567676201</v>
      </c>
      <c r="E3614">
        <v>5872.1279478154001</v>
      </c>
      <c r="F3614" s="1">
        <v>46216.605509259258</v>
      </c>
      <c r="G3614">
        <v>52.8777613425152</v>
      </c>
      <c r="H3614" t="s">
        <v>33</v>
      </c>
      <c r="I3614" s="2"/>
      <c r="J3614" t="s">
        <v>16</v>
      </c>
      <c r="K3614">
        <v>486114.54266645201</v>
      </c>
      <c r="L3614" t="s">
        <v>17</v>
      </c>
      <c r="M3614">
        <v>5872.1279478154001</v>
      </c>
      <c r="N3614">
        <v>1.20797207909177E-2</v>
      </c>
    </row>
    <row r="3615" spans="2:14" x14ac:dyDescent="0.25">
      <c r="B3615" t="s">
        <v>14</v>
      </c>
      <c r="C3615" s="1">
        <v>46217.999988425923</v>
      </c>
      <c r="D3615">
        <v>25.153777567676201</v>
      </c>
      <c r="E3615">
        <v>5872.1279478154001</v>
      </c>
      <c r="F3615" s="1">
        <v>46216.605509259258</v>
      </c>
      <c r="G3615">
        <v>52.8777613425152</v>
      </c>
      <c r="H3615" t="s">
        <v>33</v>
      </c>
      <c r="I3615" s="2"/>
      <c r="J3615" t="s">
        <v>16</v>
      </c>
      <c r="K3615">
        <v>486114.54266645201</v>
      </c>
      <c r="L3615" t="s">
        <v>17</v>
      </c>
      <c r="M3615">
        <v>0</v>
      </c>
      <c r="N3615">
        <v>1.20797207909177E-2</v>
      </c>
    </row>
    <row r="3616" spans="2:14" x14ac:dyDescent="0.25">
      <c r="B3616" t="s">
        <v>14</v>
      </c>
      <c r="C3616" s="1">
        <v>46216.999988425923</v>
      </c>
      <c r="D3616">
        <v>25.153777567676201</v>
      </c>
      <c r="E3616">
        <v>5872.1279478154001</v>
      </c>
      <c r="F3616" s="1">
        <v>46216.605509259258</v>
      </c>
      <c r="G3616">
        <v>52.8777613425152</v>
      </c>
      <c r="H3616" t="s">
        <v>33</v>
      </c>
      <c r="I3616" s="2"/>
      <c r="J3616" t="s">
        <v>16</v>
      </c>
      <c r="K3616">
        <v>486114.54266645201</v>
      </c>
      <c r="L3616" t="s">
        <v>17</v>
      </c>
      <c r="M3616">
        <v>0</v>
      </c>
      <c r="N3616">
        <v>1.20797207909177E-2</v>
      </c>
    </row>
    <row r="3617" spans="2:14" x14ac:dyDescent="0.25">
      <c r="B3617" t="s">
        <v>14</v>
      </c>
      <c r="C3617" s="1">
        <v>46215.999988425923</v>
      </c>
      <c r="D3617">
        <v>25.153777567676201</v>
      </c>
      <c r="E3617">
        <v>0</v>
      </c>
      <c r="F3617" s="1">
        <v>46213.099305555559</v>
      </c>
      <c r="G3617">
        <v>52.8777613425152</v>
      </c>
      <c r="H3617" t="s">
        <v>33</v>
      </c>
      <c r="I3617" s="2"/>
      <c r="J3617" t="s">
        <v>16</v>
      </c>
      <c r="K3617">
        <v>486114.54266645201</v>
      </c>
      <c r="L3617" t="s">
        <v>17</v>
      </c>
      <c r="M3617">
        <v>-5872.1279478154001</v>
      </c>
      <c r="N3617">
        <v>0</v>
      </c>
    </row>
    <row r="3618" spans="2:14" x14ac:dyDescent="0.25">
      <c r="B3618" t="s">
        <v>14</v>
      </c>
      <c r="C3618" s="1">
        <v>46214.999988425923</v>
      </c>
      <c r="D3618">
        <v>25.153777567676201</v>
      </c>
      <c r="E3618">
        <v>0</v>
      </c>
      <c r="F3618" s="1">
        <v>46213.099305555559</v>
      </c>
      <c r="G3618">
        <v>52.8777613425152</v>
      </c>
      <c r="H3618" t="s">
        <v>33</v>
      </c>
      <c r="I3618" s="2"/>
      <c r="J3618" t="s">
        <v>16</v>
      </c>
      <c r="K3618">
        <v>486114.54266645201</v>
      </c>
      <c r="L3618" t="s">
        <v>17</v>
      </c>
      <c r="M3618">
        <v>0</v>
      </c>
      <c r="N3618">
        <v>0</v>
      </c>
    </row>
    <row r="3619" spans="2:14" x14ac:dyDescent="0.25">
      <c r="B3619" t="s">
        <v>14</v>
      </c>
      <c r="C3619" s="1">
        <v>46213.999988425923</v>
      </c>
      <c r="D3619">
        <v>25.153777567676201</v>
      </c>
      <c r="E3619">
        <v>0</v>
      </c>
      <c r="F3619" s="1">
        <v>46213.099305555559</v>
      </c>
      <c r="G3619">
        <v>52.8777613425152</v>
      </c>
      <c r="H3619" t="s">
        <v>33</v>
      </c>
      <c r="I3619" s="2"/>
      <c r="J3619" t="s">
        <v>16</v>
      </c>
      <c r="K3619">
        <v>486114.54266645201</v>
      </c>
      <c r="L3619" t="s">
        <v>17</v>
      </c>
      <c r="M3619">
        <v>0</v>
      </c>
      <c r="N3619">
        <v>0</v>
      </c>
    </row>
    <row r="3620" spans="2:14" x14ac:dyDescent="0.25">
      <c r="B3620" t="s">
        <v>14</v>
      </c>
      <c r="C3620" s="1">
        <v>46212.999988425923</v>
      </c>
      <c r="D3620">
        <v>25.153777567676201</v>
      </c>
      <c r="E3620">
        <v>13590.3043302345</v>
      </c>
      <c r="F3620" s="1">
        <v>46210.605798611112</v>
      </c>
      <c r="G3620">
        <v>52.8777613425152</v>
      </c>
      <c r="H3620" t="s">
        <v>33</v>
      </c>
      <c r="I3620" s="2"/>
      <c r="J3620" t="s">
        <v>16</v>
      </c>
      <c r="K3620">
        <v>486114.54266645201</v>
      </c>
      <c r="L3620" t="s">
        <v>17</v>
      </c>
      <c r="M3620">
        <v>13590.3043302345</v>
      </c>
      <c r="N3620">
        <v>2.7957000125296599E-2</v>
      </c>
    </row>
    <row r="3621" spans="2:14" x14ac:dyDescent="0.25">
      <c r="B3621" t="s">
        <v>14</v>
      </c>
      <c r="C3621" s="1">
        <v>46211.999988425923</v>
      </c>
      <c r="D3621">
        <v>25.153777567676201</v>
      </c>
      <c r="E3621">
        <v>13590.3043302345</v>
      </c>
      <c r="F3621" s="1">
        <v>46210.605798611112</v>
      </c>
      <c r="G3621">
        <v>52.8777613425152</v>
      </c>
      <c r="H3621" t="s">
        <v>33</v>
      </c>
      <c r="I3621" s="2"/>
      <c r="J3621" t="s">
        <v>16</v>
      </c>
      <c r="K3621">
        <v>486114.54266645201</v>
      </c>
      <c r="L3621" t="s">
        <v>17</v>
      </c>
      <c r="M3621">
        <v>0</v>
      </c>
      <c r="N3621">
        <v>2.7957000125296599E-2</v>
      </c>
    </row>
    <row r="3622" spans="2:14" x14ac:dyDescent="0.25">
      <c r="B3622" t="s">
        <v>14</v>
      </c>
      <c r="C3622" s="1">
        <v>46210.999988425923</v>
      </c>
      <c r="D3622">
        <v>25.153777567676201</v>
      </c>
      <c r="E3622">
        <v>13590.3043302345</v>
      </c>
      <c r="F3622" s="1">
        <v>46210.605798611112</v>
      </c>
      <c r="G3622">
        <v>52.8777613425152</v>
      </c>
      <c r="H3622" t="s">
        <v>33</v>
      </c>
      <c r="I3622" s="2"/>
      <c r="J3622" t="s">
        <v>16</v>
      </c>
      <c r="K3622">
        <v>486114.54266645201</v>
      </c>
      <c r="L3622" t="s">
        <v>17</v>
      </c>
      <c r="M3622">
        <v>0</v>
      </c>
      <c r="N3622">
        <v>2.7957000125296599E-2</v>
      </c>
    </row>
    <row r="3623" spans="2:14" x14ac:dyDescent="0.25">
      <c r="B3623" t="s">
        <v>14</v>
      </c>
      <c r="C3623" s="1">
        <v>46209.999988425923</v>
      </c>
      <c r="D3623">
        <v>25.153777567676201</v>
      </c>
      <c r="E3623">
        <v>3476.4807335243599</v>
      </c>
      <c r="F3623" s="1">
        <v>46207.099131944444</v>
      </c>
      <c r="G3623">
        <v>52.8777613425152</v>
      </c>
      <c r="H3623" t="s">
        <v>33</v>
      </c>
      <c r="I3623" s="2"/>
      <c r="J3623" t="s">
        <v>16</v>
      </c>
      <c r="K3623">
        <v>486114.54266645201</v>
      </c>
      <c r="L3623" t="s">
        <v>17</v>
      </c>
      <c r="M3623">
        <v>-10113.823596710101</v>
      </c>
      <c r="N3623">
        <v>7.1515670246256203E-3</v>
      </c>
    </row>
    <row r="3624" spans="2:14" x14ac:dyDescent="0.25">
      <c r="B3624" t="s">
        <v>14</v>
      </c>
      <c r="C3624" s="1">
        <v>46208.999988425923</v>
      </c>
      <c r="D3624">
        <v>25.153777567676201</v>
      </c>
      <c r="E3624">
        <v>3476.4807335243599</v>
      </c>
      <c r="F3624" s="1">
        <v>46207.099131944444</v>
      </c>
      <c r="G3624">
        <v>52.8777613425152</v>
      </c>
      <c r="H3624" t="s">
        <v>33</v>
      </c>
      <c r="I3624" s="2"/>
      <c r="J3624" t="s">
        <v>16</v>
      </c>
      <c r="K3624">
        <v>486114.54266645201</v>
      </c>
      <c r="L3624" t="s">
        <v>17</v>
      </c>
      <c r="M3624">
        <v>0</v>
      </c>
      <c r="N3624">
        <v>7.1515670246256203E-3</v>
      </c>
    </row>
    <row r="3625" spans="2:14" x14ac:dyDescent="0.25">
      <c r="B3625" t="s">
        <v>14</v>
      </c>
      <c r="C3625" s="1">
        <v>46207.999988425923</v>
      </c>
      <c r="D3625">
        <v>25.153777567676201</v>
      </c>
      <c r="E3625">
        <v>3476.4807335243599</v>
      </c>
      <c r="F3625" s="1">
        <v>46207.099131944444</v>
      </c>
      <c r="G3625">
        <v>52.8777613425152</v>
      </c>
      <c r="H3625" t="s">
        <v>33</v>
      </c>
      <c r="I3625" s="2"/>
      <c r="J3625" t="s">
        <v>16</v>
      </c>
      <c r="K3625">
        <v>486114.54266645201</v>
      </c>
      <c r="L3625" t="s">
        <v>17</v>
      </c>
      <c r="M3625">
        <v>0</v>
      </c>
      <c r="N3625">
        <v>7.1515670246256203E-3</v>
      </c>
    </row>
    <row r="3626" spans="2:14" x14ac:dyDescent="0.25">
      <c r="B3626" t="s">
        <v>14</v>
      </c>
      <c r="C3626" s="1">
        <v>46206.999988425923</v>
      </c>
      <c r="D3626">
        <v>25.153777567676201</v>
      </c>
      <c r="E3626">
        <v>8840.8122590247604</v>
      </c>
      <c r="F3626" s="1">
        <v>46204.605509259258</v>
      </c>
      <c r="G3626">
        <v>52.8777613425152</v>
      </c>
      <c r="H3626" t="s">
        <v>33</v>
      </c>
      <c r="I3626" s="2"/>
      <c r="J3626" t="s">
        <v>16</v>
      </c>
      <c r="K3626">
        <v>486114.54266645201</v>
      </c>
      <c r="L3626" t="s">
        <v>17</v>
      </c>
      <c r="M3626">
        <v>5364.3315255003899</v>
      </c>
      <c r="N3626">
        <v>1.8186685406552199E-2</v>
      </c>
    </row>
    <row r="3627" spans="2:14" x14ac:dyDescent="0.25">
      <c r="B3627" t="s">
        <v>14</v>
      </c>
      <c r="C3627" s="1">
        <v>46205.999988425923</v>
      </c>
      <c r="D3627">
        <v>25.153777567676201</v>
      </c>
      <c r="E3627">
        <v>8840.8122590247604</v>
      </c>
      <c r="F3627" s="1">
        <v>46204.605509259258</v>
      </c>
      <c r="G3627">
        <v>52.8777613425152</v>
      </c>
      <c r="H3627" t="s">
        <v>33</v>
      </c>
      <c r="I3627" s="2"/>
      <c r="J3627" t="s">
        <v>16</v>
      </c>
      <c r="K3627">
        <v>486114.54266645201</v>
      </c>
      <c r="L3627" t="s">
        <v>17</v>
      </c>
      <c r="M3627">
        <v>0</v>
      </c>
      <c r="N3627">
        <v>1.8186685406552199E-2</v>
      </c>
    </row>
    <row r="3628" spans="2:14" x14ac:dyDescent="0.25">
      <c r="B3628" t="s">
        <v>14</v>
      </c>
      <c r="C3628" s="1">
        <v>46204.999988425923</v>
      </c>
      <c r="D3628">
        <v>25.153777567676201</v>
      </c>
      <c r="E3628">
        <v>8840.8122590247604</v>
      </c>
      <c r="F3628" s="1">
        <v>46204.605509259258</v>
      </c>
      <c r="G3628">
        <v>52.8777613425152</v>
      </c>
      <c r="H3628" t="s">
        <v>33</v>
      </c>
      <c r="I3628" s="2"/>
      <c r="J3628" t="s">
        <v>16</v>
      </c>
      <c r="K3628">
        <v>486114.54266645201</v>
      </c>
      <c r="L3628" t="s">
        <v>17</v>
      </c>
      <c r="M3628">
        <v>0</v>
      </c>
      <c r="N3628">
        <v>1.8186685406552199E-2</v>
      </c>
    </row>
    <row r="3629" spans="2:14" x14ac:dyDescent="0.25">
      <c r="B3629" t="s">
        <v>14</v>
      </c>
      <c r="C3629" s="1">
        <v>46203.999988425923</v>
      </c>
      <c r="D3629">
        <v>25.153777567676201</v>
      </c>
      <c r="E3629">
        <v>8713.1170555957306</v>
      </c>
      <c r="F3629" s="1">
        <v>46201.099305555559</v>
      </c>
      <c r="G3629">
        <v>52.8777613425152</v>
      </c>
      <c r="H3629" t="s">
        <v>33</v>
      </c>
      <c r="I3629" s="2"/>
      <c r="J3629" t="s">
        <v>16</v>
      </c>
      <c r="K3629">
        <v>486114.54266645201</v>
      </c>
      <c r="L3629" t="s">
        <v>17</v>
      </c>
      <c r="M3629">
        <v>-127.69520342902899</v>
      </c>
      <c r="N3629">
        <v>1.79239999852755E-2</v>
      </c>
    </row>
    <row r="3630" spans="2:14" x14ac:dyDescent="0.25">
      <c r="B3630" t="s">
        <v>14</v>
      </c>
      <c r="C3630" s="1">
        <v>46202.999988425923</v>
      </c>
      <c r="D3630">
        <v>25.153777567676201</v>
      </c>
      <c r="E3630">
        <v>8713.1170555957306</v>
      </c>
      <c r="F3630" s="1">
        <v>46201.099305555559</v>
      </c>
      <c r="G3630">
        <v>52.8777613425152</v>
      </c>
      <c r="H3630" t="s">
        <v>33</v>
      </c>
      <c r="I3630" s="2"/>
      <c r="J3630" t="s">
        <v>16</v>
      </c>
      <c r="K3630">
        <v>486114.54266645201</v>
      </c>
      <c r="L3630" t="s">
        <v>17</v>
      </c>
      <c r="M3630">
        <v>0</v>
      </c>
      <c r="N3630">
        <v>1.79239999852755E-2</v>
      </c>
    </row>
    <row r="3631" spans="2:14" x14ac:dyDescent="0.25">
      <c r="B3631" t="s">
        <v>14</v>
      </c>
      <c r="C3631" s="1">
        <v>46201.999988425923</v>
      </c>
      <c r="D3631">
        <v>25.153777567676201</v>
      </c>
      <c r="E3631">
        <v>8713.1170555957306</v>
      </c>
      <c r="F3631" s="1">
        <v>46201.099305555559</v>
      </c>
      <c r="G3631">
        <v>52.8777613425152</v>
      </c>
      <c r="H3631" t="s">
        <v>33</v>
      </c>
      <c r="I3631" s="2"/>
      <c r="J3631" t="s">
        <v>16</v>
      </c>
      <c r="K3631">
        <v>486114.54266645201</v>
      </c>
      <c r="L3631" t="s">
        <v>17</v>
      </c>
      <c r="M3631">
        <v>0</v>
      </c>
      <c r="N3631">
        <v>1.79239999852755E-2</v>
      </c>
    </row>
    <row r="3632" spans="2:14" x14ac:dyDescent="0.25">
      <c r="B3632" t="s">
        <v>14</v>
      </c>
      <c r="C3632" s="1">
        <v>46200.999988425923</v>
      </c>
      <c r="D3632">
        <v>25.153777567676201</v>
      </c>
      <c r="E3632">
        <v>1889.19858617364</v>
      </c>
      <c r="F3632" s="1">
        <v>46198.605787037035</v>
      </c>
      <c r="G3632">
        <v>52.8777613425152</v>
      </c>
      <c r="H3632" t="s">
        <v>33</v>
      </c>
      <c r="I3632" s="2"/>
      <c r="J3632" t="s">
        <v>16</v>
      </c>
      <c r="K3632">
        <v>486114.54266645201</v>
      </c>
      <c r="L3632" t="s">
        <v>17</v>
      </c>
      <c r="M3632">
        <v>-6823.9184694220803</v>
      </c>
      <c r="N3632">
        <v>3.88632394293523E-3</v>
      </c>
    </row>
    <row r="3633" spans="2:14" x14ac:dyDescent="0.25">
      <c r="B3633" t="s">
        <v>14</v>
      </c>
      <c r="C3633" s="1">
        <v>46199.999988425923</v>
      </c>
      <c r="D3633">
        <v>25.153777567676201</v>
      </c>
      <c r="E3633">
        <v>1889.19858617364</v>
      </c>
      <c r="F3633" s="1">
        <v>46198.605787037035</v>
      </c>
      <c r="G3633">
        <v>52.8777613425152</v>
      </c>
      <c r="H3633" t="s">
        <v>33</v>
      </c>
      <c r="I3633" s="2"/>
      <c r="J3633" t="s">
        <v>16</v>
      </c>
      <c r="K3633">
        <v>486114.54266645201</v>
      </c>
      <c r="L3633" t="s">
        <v>17</v>
      </c>
      <c r="M3633">
        <v>0</v>
      </c>
      <c r="N3633">
        <v>3.88632394293523E-3</v>
      </c>
    </row>
    <row r="3634" spans="2:14" x14ac:dyDescent="0.25">
      <c r="B3634" t="s">
        <v>14</v>
      </c>
      <c r="C3634" s="1">
        <v>46198.999988425923</v>
      </c>
      <c r="D3634">
        <v>25.153777567676201</v>
      </c>
      <c r="E3634">
        <v>1889.19858617364</v>
      </c>
      <c r="F3634" s="1">
        <v>46198.605787037035</v>
      </c>
      <c r="G3634">
        <v>52.8777613425152</v>
      </c>
      <c r="H3634" t="s">
        <v>33</v>
      </c>
      <c r="I3634" s="2"/>
      <c r="J3634" t="s">
        <v>16</v>
      </c>
      <c r="K3634">
        <v>486114.54266645201</v>
      </c>
      <c r="L3634" t="s">
        <v>17</v>
      </c>
      <c r="M3634">
        <v>0</v>
      </c>
      <c r="N3634">
        <v>3.88632394293523E-3</v>
      </c>
    </row>
    <row r="3635" spans="2:14" x14ac:dyDescent="0.25">
      <c r="B3635" t="s">
        <v>14</v>
      </c>
      <c r="C3635" s="1">
        <v>46197.999988425923</v>
      </c>
      <c r="D3635">
        <v>25.153777567676201</v>
      </c>
      <c r="E3635">
        <v>0</v>
      </c>
      <c r="F3635" s="1">
        <v>46194.099780092591</v>
      </c>
      <c r="G3635">
        <v>52.8777613425152</v>
      </c>
      <c r="H3635" t="s">
        <v>33</v>
      </c>
      <c r="I3635" s="2"/>
      <c r="J3635" t="s">
        <v>16</v>
      </c>
      <c r="K3635">
        <v>486114.54266645201</v>
      </c>
      <c r="L3635" t="s">
        <v>17</v>
      </c>
      <c r="M3635">
        <v>-1889.19858617364</v>
      </c>
      <c r="N3635">
        <v>0</v>
      </c>
    </row>
    <row r="3636" spans="2:14" x14ac:dyDescent="0.25">
      <c r="B3636" t="s">
        <v>14</v>
      </c>
      <c r="C3636" s="1">
        <v>46196.999988425923</v>
      </c>
      <c r="D3636">
        <v>25.153777567676201</v>
      </c>
      <c r="E3636">
        <v>0</v>
      </c>
      <c r="F3636" s="1">
        <v>46194.099780092591</v>
      </c>
      <c r="G3636">
        <v>52.8777613425152</v>
      </c>
      <c r="H3636" t="s">
        <v>33</v>
      </c>
      <c r="I3636" s="2"/>
      <c r="J3636" t="s">
        <v>16</v>
      </c>
      <c r="K3636">
        <v>486114.54266645201</v>
      </c>
      <c r="L3636" t="s">
        <v>17</v>
      </c>
      <c r="M3636">
        <v>0</v>
      </c>
      <c r="N3636">
        <v>0</v>
      </c>
    </row>
    <row r="3637" spans="2:14" x14ac:dyDescent="0.25">
      <c r="B3637" t="s">
        <v>14</v>
      </c>
      <c r="C3637" s="1">
        <v>46195.999988425923</v>
      </c>
      <c r="D3637">
        <v>25.153777567676201</v>
      </c>
      <c r="E3637">
        <v>0</v>
      </c>
      <c r="F3637" s="1">
        <v>46194.099780092591</v>
      </c>
      <c r="G3637">
        <v>52.8777613425152</v>
      </c>
      <c r="H3637" t="s">
        <v>33</v>
      </c>
      <c r="I3637" s="2"/>
      <c r="J3637" t="s">
        <v>16</v>
      </c>
      <c r="K3637">
        <v>486114.54266645201</v>
      </c>
      <c r="L3637" t="s">
        <v>17</v>
      </c>
      <c r="M3637">
        <v>0</v>
      </c>
      <c r="N3637">
        <v>0</v>
      </c>
    </row>
    <row r="3638" spans="2:14" x14ac:dyDescent="0.25">
      <c r="B3638" t="s">
        <v>14</v>
      </c>
      <c r="C3638" s="1">
        <v>46194.999988425923</v>
      </c>
      <c r="D3638">
        <v>25.153777567676201</v>
      </c>
      <c r="E3638">
        <v>0</v>
      </c>
      <c r="F3638" s="1">
        <v>46194.099780092591</v>
      </c>
      <c r="G3638">
        <v>52.8777613425152</v>
      </c>
      <c r="H3638" t="s">
        <v>33</v>
      </c>
      <c r="I3638" s="2"/>
      <c r="J3638" t="s">
        <v>16</v>
      </c>
      <c r="K3638">
        <v>486114.54266645201</v>
      </c>
      <c r="L3638" t="s">
        <v>17</v>
      </c>
      <c r="M3638">
        <v>0</v>
      </c>
      <c r="N3638">
        <v>0</v>
      </c>
    </row>
    <row r="3639" spans="2:14" x14ac:dyDescent="0.25">
      <c r="B3639" t="s">
        <v>14</v>
      </c>
      <c r="C3639" s="1">
        <v>46193.999988425923</v>
      </c>
      <c r="D3639">
        <v>25.153777567676201</v>
      </c>
      <c r="E3639">
        <v>5178.5505905780001</v>
      </c>
      <c r="F3639" s="1">
        <v>46191.606261574074</v>
      </c>
      <c r="G3639">
        <v>52.8777613425152</v>
      </c>
      <c r="H3639" t="s">
        <v>33</v>
      </c>
      <c r="I3639" s="2"/>
      <c r="J3639" t="s">
        <v>16</v>
      </c>
      <c r="K3639">
        <v>486114.54266645201</v>
      </c>
      <c r="L3639" t="s">
        <v>17</v>
      </c>
      <c r="M3639">
        <v>5178.5505905780001</v>
      </c>
      <c r="N3639">
        <v>1.06529431565088E-2</v>
      </c>
    </row>
    <row r="3640" spans="2:14" x14ac:dyDescent="0.25">
      <c r="B3640" t="s">
        <v>14</v>
      </c>
      <c r="C3640" s="1">
        <v>46192.999988425923</v>
      </c>
      <c r="D3640">
        <v>25.153777567676201</v>
      </c>
      <c r="E3640">
        <v>5178.5505905780001</v>
      </c>
      <c r="F3640" s="1">
        <v>46191.606261574074</v>
      </c>
      <c r="G3640">
        <v>52.8777613425152</v>
      </c>
      <c r="H3640" t="s">
        <v>33</v>
      </c>
      <c r="I3640" s="2"/>
      <c r="J3640" t="s">
        <v>16</v>
      </c>
      <c r="K3640">
        <v>486114.54266645201</v>
      </c>
      <c r="L3640" t="s">
        <v>17</v>
      </c>
      <c r="M3640">
        <v>0</v>
      </c>
      <c r="N3640">
        <v>1.06529431565088E-2</v>
      </c>
    </row>
    <row r="3641" spans="2:14" x14ac:dyDescent="0.25">
      <c r="B3641" t="s">
        <v>14</v>
      </c>
      <c r="C3641" s="1">
        <v>46191.999988425923</v>
      </c>
      <c r="D3641">
        <v>25.153777567676201</v>
      </c>
      <c r="E3641">
        <v>5178.5505905780001</v>
      </c>
      <c r="F3641" s="1">
        <v>46191.606261574074</v>
      </c>
      <c r="G3641">
        <v>52.8777613425152</v>
      </c>
      <c r="H3641" t="s">
        <v>33</v>
      </c>
      <c r="I3641" s="2"/>
      <c r="J3641" t="s">
        <v>16</v>
      </c>
      <c r="K3641">
        <v>486114.54266645201</v>
      </c>
      <c r="L3641" t="s">
        <v>17</v>
      </c>
      <c r="M3641">
        <v>0</v>
      </c>
      <c r="N3641">
        <v>1.06529431565088E-2</v>
      </c>
    </row>
    <row r="3642" spans="2:14" x14ac:dyDescent="0.25">
      <c r="B3642" t="s">
        <v>14</v>
      </c>
      <c r="C3642" s="1">
        <v>46190.999988425923</v>
      </c>
      <c r="D3642">
        <v>25.153777567676201</v>
      </c>
      <c r="E3642">
        <v>0</v>
      </c>
      <c r="F3642" s="1">
        <v>46189.099270833336</v>
      </c>
      <c r="G3642">
        <v>52.8777613425152</v>
      </c>
      <c r="H3642" t="s">
        <v>33</v>
      </c>
      <c r="I3642" s="2"/>
      <c r="J3642" t="s">
        <v>16</v>
      </c>
      <c r="K3642">
        <v>486114.54266645201</v>
      </c>
      <c r="L3642" t="s">
        <v>17</v>
      </c>
      <c r="M3642">
        <v>-5178.5505905780001</v>
      </c>
      <c r="N3642">
        <v>0</v>
      </c>
    </row>
    <row r="3643" spans="2:14" x14ac:dyDescent="0.25">
      <c r="B3643" t="s">
        <v>14</v>
      </c>
      <c r="C3643" s="1">
        <v>46189.999988425923</v>
      </c>
      <c r="D3643">
        <v>25.153777567676201</v>
      </c>
      <c r="E3643">
        <v>0</v>
      </c>
      <c r="F3643" s="1">
        <v>46189.099270833336</v>
      </c>
      <c r="G3643">
        <v>52.8777613425152</v>
      </c>
      <c r="H3643" t="s">
        <v>33</v>
      </c>
      <c r="I3643" s="2"/>
      <c r="J3643" t="s">
        <v>16</v>
      </c>
      <c r="K3643">
        <v>486114.54266645201</v>
      </c>
      <c r="L3643" t="s">
        <v>17</v>
      </c>
      <c r="M3643">
        <v>0</v>
      </c>
      <c r="N3643">
        <v>0</v>
      </c>
    </row>
    <row r="3644" spans="2:14" x14ac:dyDescent="0.25">
      <c r="B3644" t="s">
        <v>14</v>
      </c>
      <c r="C3644" s="1">
        <v>46188.999988425923</v>
      </c>
      <c r="D3644">
        <v>25.153777567676201</v>
      </c>
      <c r="E3644">
        <v>5052.7605972845904</v>
      </c>
      <c r="F3644" s="1">
        <v>46186.60564814815</v>
      </c>
      <c r="G3644">
        <v>52.8777613425152</v>
      </c>
      <c r="H3644" t="s">
        <v>33</v>
      </c>
      <c r="I3644" s="2"/>
      <c r="J3644" t="s">
        <v>16</v>
      </c>
      <c r="K3644">
        <v>486114.54266645201</v>
      </c>
      <c r="L3644" t="s">
        <v>17</v>
      </c>
      <c r="M3644">
        <v>5052.7605972845904</v>
      </c>
      <c r="N3644">
        <v>1.0394176996987199E-2</v>
      </c>
    </row>
    <row r="3645" spans="2:14" x14ac:dyDescent="0.25">
      <c r="B3645" t="s">
        <v>14</v>
      </c>
      <c r="C3645" s="1">
        <v>46187.999988425923</v>
      </c>
      <c r="D3645">
        <v>25.153777567676201</v>
      </c>
      <c r="E3645">
        <v>5052.7605972845904</v>
      </c>
      <c r="F3645" s="1">
        <v>46186.60564814815</v>
      </c>
      <c r="G3645">
        <v>52.8777613425152</v>
      </c>
      <c r="H3645" t="s">
        <v>33</v>
      </c>
      <c r="I3645" s="2"/>
      <c r="J3645" t="s">
        <v>16</v>
      </c>
      <c r="K3645">
        <v>486114.54266645201</v>
      </c>
      <c r="L3645" t="s">
        <v>17</v>
      </c>
      <c r="M3645">
        <v>0</v>
      </c>
      <c r="N3645">
        <v>1.0394176996987199E-2</v>
      </c>
    </row>
    <row r="3646" spans="2:14" x14ac:dyDescent="0.25">
      <c r="B3646" t="s">
        <v>14</v>
      </c>
      <c r="C3646" s="1">
        <v>46186.999988425923</v>
      </c>
      <c r="D3646">
        <v>25.153777567676201</v>
      </c>
      <c r="E3646">
        <v>5052.7605972845904</v>
      </c>
      <c r="F3646" s="1">
        <v>46186.60564814815</v>
      </c>
      <c r="G3646">
        <v>52.8777613425152</v>
      </c>
      <c r="H3646" t="s">
        <v>33</v>
      </c>
      <c r="I3646" s="2"/>
      <c r="J3646" t="s">
        <v>16</v>
      </c>
      <c r="K3646">
        <v>486114.54266645201</v>
      </c>
      <c r="L3646" t="s">
        <v>17</v>
      </c>
      <c r="M3646">
        <v>0</v>
      </c>
      <c r="N3646">
        <v>1.0394176996987199E-2</v>
      </c>
    </row>
    <row r="3647" spans="2:14" x14ac:dyDescent="0.25">
      <c r="B3647" t="s">
        <v>14</v>
      </c>
      <c r="C3647" s="1">
        <v>46185.999988425923</v>
      </c>
      <c r="D3647">
        <v>25.153777567676201</v>
      </c>
      <c r="E3647">
        <v>0</v>
      </c>
      <c r="F3647" s="1">
        <v>46182.099780092591</v>
      </c>
      <c r="G3647">
        <v>52.8777613425152</v>
      </c>
      <c r="H3647" t="s">
        <v>33</v>
      </c>
      <c r="I3647" s="2"/>
      <c r="J3647" t="s">
        <v>16</v>
      </c>
      <c r="K3647">
        <v>486114.54266645201</v>
      </c>
      <c r="L3647" t="s">
        <v>17</v>
      </c>
      <c r="M3647">
        <v>-5052.7605972845904</v>
      </c>
      <c r="N3647">
        <v>0</v>
      </c>
    </row>
    <row r="3648" spans="2:14" x14ac:dyDescent="0.25">
      <c r="B3648" t="s">
        <v>14</v>
      </c>
      <c r="C3648" s="1">
        <v>46184.999988425923</v>
      </c>
      <c r="D3648">
        <v>25.153777567676201</v>
      </c>
      <c r="E3648">
        <v>0</v>
      </c>
      <c r="F3648" s="1">
        <v>46182.099780092591</v>
      </c>
      <c r="G3648">
        <v>52.8777613425152</v>
      </c>
      <c r="H3648" t="s">
        <v>33</v>
      </c>
      <c r="I3648" s="2"/>
      <c r="J3648" t="s">
        <v>16</v>
      </c>
      <c r="K3648">
        <v>486114.54266645201</v>
      </c>
      <c r="L3648" t="s">
        <v>17</v>
      </c>
      <c r="M3648">
        <v>0</v>
      </c>
      <c r="N3648">
        <v>0</v>
      </c>
    </row>
    <row r="3649" spans="2:14" x14ac:dyDescent="0.25">
      <c r="B3649" t="s">
        <v>14</v>
      </c>
      <c r="C3649" s="1">
        <v>46183.999988425923</v>
      </c>
      <c r="D3649">
        <v>25.153777567676201</v>
      </c>
      <c r="E3649">
        <v>0</v>
      </c>
      <c r="F3649" s="1">
        <v>46182.099780092591</v>
      </c>
      <c r="G3649">
        <v>52.8777613425152</v>
      </c>
      <c r="H3649" t="s">
        <v>33</v>
      </c>
      <c r="I3649" s="2"/>
      <c r="J3649" t="s">
        <v>16</v>
      </c>
      <c r="K3649">
        <v>486114.54266645201</v>
      </c>
      <c r="L3649" t="s">
        <v>17</v>
      </c>
      <c r="M3649">
        <v>0</v>
      </c>
      <c r="N3649">
        <v>0</v>
      </c>
    </row>
    <row r="3650" spans="2:14" x14ac:dyDescent="0.25">
      <c r="B3650" t="s">
        <v>14</v>
      </c>
      <c r="C3650" s="1">
        <v>46182.999988425923</v>
      </c>
      <c r="D3650">
        <v>25.153777567676201</v>
      </c>
      <c r="E3650">
        <v>0</v>
      </c>
      <c r="F3650" s="1">
        <v>46182.099780092591</v>
      </c>
      <c r="G3650">
        <v>52.8777613425152</v>
      </c>
      <c r="H3650" t="s">
        <v>33</v>
      </c>
      <c r="I3650" s="2"/>
      <c r="J3650" t="s">
        <v>16</v>
      </c>
      <c r="K3650">
        <v>486114.54266645201</v>
      </c>
      <c r="L3650" t="s">
        <v>17</v>
      </c>
      <c r="M3650">
        <v>0</v>
      </c>
      <c r="N3650">
        <v>0</v>
      </c>
    </row>
    <row r="3651" spans="2:14" x14ac:dyDescent="0.25">
      <c r="B3651" t="s">
        <v>14</v>
      </c>
      <c r="C3651" s="1">
        <v>46181.999988425923</v>
      </c>
      <c r="D3651">
        <v>25.153777567676201</v>
      </c>
      <c r="E3651">
        <v>8778.2569961043191</v>
      </c>
      <c r="F3651" s="1">
        <v>46179.606273148151</v>
      </c>
      <c r="G3651">
        <v>52.8777613425152</v>
      </c>
      <c r="H3651" t="s">
        <v>33</v>
      </c>
      <c r="I3651" s="2"/>
      <c r="J3651" t="s">
        <v>16</v>
      </c>
      <c r="K3651">
        <v>486114.54266645201</v>
      </c>
      <c r="L3651" t="s">
        <v>17</v>
      </c>
      <c r="M3651">
        <v>8778.2569961043191</v>
      </c>
      <c r="N3651">
        <v>1.80580012026661E-2</v>
      </c>
    </row>
    <row r="3652" spans="2:14" x14ac:dyDescent="0.25">
      <c r="B3652" t="s">
        <v>14</v>
      </c>
      <c r="C3652" s="1">
        <v>46180.999988425923</v>
      </c>
      <c r="D3652">
        <v>25.153777567676201</v>
      </c>
      <c r="E3652">
        <v>8778.2569961043191</v>
      </c>
      <c r="F3652" s="1">
        <v>46179.606273148151</v>
      </c>
      <c r="G3652">
        <v>52.8777613425152</v>
      </c>
      <c r="H3652" t="s">
        <v>33</v>
      </c>
      <c r="I3652" s="2"/>
      <c r="J3652" t="s">
        <v>16</v>
      </c>
      <c r="K3652">
        <v>486114.54266645201</v>
      </c>
      <c r="L3652" t="s">
        <v>17</v>
      </c>
      <c r="M3652">
        <v>0</v>
      </c>
      <c r="N3652">
        <v>1.80580012026661E-2</v>
      </c>
    </row>
    <row r="3653" spans="2:14" x14ac:dyDescent="0.25">
      <c r="B3653" t="s">
        <v>14</v>
      </c>
      <c r="C3653" s="1">
        <v>46179.999988425923</v>
      </c>
      <c r="D3653">
        <v>25.153777567676201</v>
      </c>
      <c r="E3653">
        <v>8778.2569961043191</v>
      </c>
      <c r="F3653" s="1">
        <v>46179.606273148151</v>
      </c>
      <c r="G3653">
        <v>52.8777613425152</v>
      </c>
      <c r="H3653" t="s">
        <v>33</v>
      </c>
      <c r="I3653" s="2"/>
      <c r="J3653" t="s">
        <v>16</v>
      </c>
      <c r="K3653">
        <v>486114.54266645201</v>
      </c>
      <c r="L3653" t="s">
        <v>17</v>
      </c>
      <c r="M3653">
        <v>0</v>
      </c>
      <c r="N3653">
        <v>1.80580012026661E-2</v>
      </c>
    </row>
    <row r="3654" spans="2:14" x14ac:dyDescent="0.25">
      <c r="B3654" t="s">
        <v>14</v>
      </c>
      <c r="C3654" s="1">
        <v>46178.999988425923</v>
      </c>
      <c r="D3654">
        <v>25.153777567676201</v>
      </c>
      <c r="E3654">
        <v>0</v>
      </c>
      <c r="F3654" s="1">
        <v>46177.099259259259</v>
      </c>
      <c r="G3654">
        <v>52.8777613425152</v>
      </c>
      <c r="H3654" t="s">
        <v>33</v>
      </c>
      <c r="I3654" s="2"/>
      <c r="J3654" t="s">
        <v>16</v>
      </c>
      <c r="K3654">
        <v>486114.54266645201</v>
      </c>
      <c r="L3654" t="s">
        <v>17</v>
      </c>
      <c r="M3654">
        <v>-8778.2569961043191</v>
      </c>
      <c r="N3654">
        <v>0</v>
      </c>
    </row>
    <row r="3655" spans="2:14" x14ac:dyDescent="0.25">
      <c r="B3655" t="s">
        <v>14</v>
      </c>
      <c r="C3655" s="1">
        <v>46177.999988425923</v>
      </c>
      <c r="D3655">
        <v>25.153777567676201</v>
      </c>
      <c r="E3655">
        <v>0</v>
      </c>
      <c r="F3655" s="1">
        <v>46177.099259259259</v>
      </c>
      <c r="G3655">
        <v>52.8777613425152</v>
      </c>
      <c r="H3655" t="s">
        <v>33</v>
      </c>
      <c r="I3655" s="2"/>
      <c r="J3655" t="s">
        <v>16</v>
      </c>
      <c r="K3655">
        <v>486114.54266645201</v>
      </c>
      <c r="L3655" t="s">
        <v>17</v>
      </c>
      <c r="M3655">
        <v>0</v>
      </c>
      <c r="N3655">
        <v>0</v>
      </c>
    </row>
    <row r="3656" spans="2:14" x14ac:dyDescent="0.25">
      <c r="B3656" t="s">
        <v>14</v>
      </c>
      <c r="C3656" s="1">
        <v>46176.999988425923</v>
      </c>
      <c r="D3656">
        <v>25.153777567676201</v>
      </c>
      <c r="E3656">
        <v>0</v>
      </c>
      <c r="F3656" s="1">
        <v>46176.099143518521</v>
      </c>
      <c r="G3656">
        <v>52.8777613425152</v>
      </c>
      <c r="H3656" t="s">
        <v>33</v>
      </c>
      <c r="I3656" s="2"/>
      <c r="J3656" t="s">
        <v>16</v>
      </c>
      <c r="K3656">
        <v>486114.54266645201</v>
      </c>
      <c r="L3656" t="s">
        <v>17</v>
      </c>
      <c r="M3656">
        <v>0</v>
      </c>
      <c r="N3656">
        <v>0</v>
      </c>
    </row>
    <row r="3657" spans="2:14" x14ac:dyDescent="0.25">
      <c r="B3657" t="s">
        <v>14</v>
      </c>
      <c r="C3657" s="1">
        <v>46175.999988425923</v>
      </c>
      <c r="D3657">
        <v>25.153777567676201</v>
      </c>
      <c r="E3657">
        <v>0</v>
      </c>
      <c r="F3657" s="1">
        <v>46173.605520833335</v>
      </c>
      <c r="G3657">
        <v>52.8777613425152</v>
      </c>
      <c r="H3657" t="s">
        <v>33</v>
      </c>
      <c r="I3657" s="2"/>
      <c r="J3657" t="s">
        <v>16</v>
      </c>
      <c r="K3657">
        <v>486114.54266645201</v>
      </c>
      <c r="L3657" t="s">
        <v>17</v>
      </c>
      <c r="M3657">
        <v>0</v>
      </c>
      <c r="N3657">
        <v>0</v>
      </c>
    </row>
    <row r="3658" spans="2:14" x14ac:dyDescent="0.25">
      <c r="B3658" t="s">
        <v>14</v>
      </c>
      <c r="C3658" s="1">
        <v>46174.999988425923</v>
      </c>
      <c r="D3658">
        <v>25.153777567676201</v>
      </c>
      <c r="E3658">
        <v>0</v>
      </c>
      <c r="F3658" s="1">
        <v>46173.605520833335</v>
      </c>
      <c r="G3658">
        <v>52.8777613425152</v>
      </c>
      <c r="H3658" t="s">
        <v>33</v>
      </c>
      <c r="I3658" s="2"/>
      <c r="J3658" t="s">
        <v>16</v>
      </c>
      <c r="K3658">
        <v>486114.54266645201</v>
      </c>
      <c r="L3658" t="s">
        <v>17</v>
      </c>
      <c r="M3658">
        <v>0</v>
      </c>
      <c r="N3658">
        <v>0</v>
      </c>
    </row>
    <row r="3659" spans="2:14" x14ac:dyDescent="0.25">
      <c r="B3659" t="s">
        <v>14</v>
      </c>
      <c r="C3659" s="1">
        <v>46173.999988425923</v>
      </c>
      <c r="D3659">
        <v>25.153777567676201</v>
      </c>
      <c r="E3659">
        <v>0</v>
      </c>
      <c r="F3659" s="1">
        <v>46173.605520833335</v>
      </c>
      <c r="G3659">
        <v>52.8777613425152</v>
      </c>
      <c r="H3659" t="s">
        <v>33</v>
      </c>
      <c r="I3659" s="2"/>
      <c r="J3659" t="s">
        <v>16</v>
      </c>
      <c r="K3659">
        <v>486114.54266645201</v>
      </c>
      <c r="L3659" t="s">
        <v>17</v>
      </c>
      <c r="M3659">
        <v>0</v>
      </c>
      <c r="N3659">
        <v>0</v>
      </c>
    </row>
    <row r="3660" spans="2:14" x14ac:dyDescent="0.25">
      <c r="B3660" t="s">
        <v>14</v>
      </c>
      <c r="C3660" s="1">
        <v>46172.999988425923</v>
      </c>
      <c r="D3660">
        <v>25.153777567676201</v>
      </c>
      <c r="E3660">
        <v>0</v>
      </c>
      <c r="F3660" s="1">
        <v>46170.099791666667</v>
      </c>
      <c r="G3660">
        <v>52.8777613425152</v>
      </c>
      <c r="H3660" t="s">
        <v>33</v>
      </c>
      <c r="I3660" s="2"/>
      <c r="J3660" t="s">
        <v>16</v>
      </c>
      <c r="K3660">
        <v>486114.54266645201</v>
      </c>
      <c r="L3660" t="s">
        <v>17</v>
      </c>
      <c r="M3660">
        <v>0</v>
      </c>
      <c r="N3660">
        <v>0</v>
      </c>
    </row>
    <row r="3661" spans="2:14" x14ac:dyDescent="0.25">
      <c r="B3661" t="s">
        <v>14</v>
      </c>
      <c r="C3661" s="1">
        <v>46171.999988425923</v>
      </c>
      <c r="D3661">
        <v>25.153777567676201</v>
      </c>
      <c r="E3661">
        <v>0</v>
      </c>
      <c r="F3661" s="1">
        <v>46170.099791666667</v>
      </c>
      <c r="G3661">
        <v>52.8777613425152</v>
      </c>
      <c r="H3661" t="s">
        <v>33</v>
      </c>
      <c r="I3661" s="2"/>
      <c r="J3661" t="s">
        <v>16</v>
      </c>
      <c r="K3661">
        <v>486114.54266645201</v>
      </c>
      <c r="L3661" t="s">
        <v>17</v>
      </c>
      <c r="M3661">
        <v>0</v>
      </c>
      <c r="N3661">
        <v>0</v>
      </c>
    </row>
    <row r="3662" spans="2:14" x14ac:dyDescent="0.25">
      <c r="B3662" t="s">
        <v>14</v>
      </c>
      <c r="C3662" s="1">
        <v>46170.999988425923</v>
      </c>
      <c r="D3662">
        <v>25.153777567676201</v>
      </c>
      <c r="E3662">
        <v>0</v>
      </c>
      <c r="F3662" s="1">
        <v>46170.099791666667</v>
      </c>
      <c r="G3662">
        <v>52.8777613425152</v>
      </c>
      <c r="H3662" t="s">
        <v>33</v>
      </c>
      <c r="I3662" s="2"/>
      <c r="J3662" t="s">
        <v>16</v>
      </c>
      <c r="K3662">
        <v>486114.54266645201</v>
      </c>
      <c r="L3662" t="s">
        <v>17</v>
      </c>
      <c r="M3662">
        <v>0</v>
      </c>
      <c r="N3662">
        <v>0</v>
      </c>
    </row>
    <row r="3663" spans="2:14" x14ac:dyDescent="0.25">
      <c r="B3663" t="s">
        <v>14</v>
      </c>
      <c r="C3663" s="1">
        <v>46169.999988425923</v>
      </c>
      <c r="D3663">
        <v>25.153777567676201</v>
      </c>
      <c r="E3663">
        <v>0</v>
      </c>
      <c r="F3663" s="1">
        <v>46167.60628472222</v>
      </c>
      <c r="G3663">
        <v>52.8777613425152</v>
      </c>
      <c r="H3663" t="s">
        <v>33</v>
      </c>
      <c r="I3663" s="2"/>
      <c r="J3663" t="s">
        <v>16</v>
      </c>
      <c r="K3663">
        <v>486114.54266645201</v>
      </c>
      <c r="L3663" t="s">
        <v>17</v>
      </c>
      <c r="M3663">
        <v>0</v>
      </c>
      <c r="N3663">
        <v>0</v>
      </c>
    </row>
    <row r="3664" spans="2:14" x14ac:dyDescent="0.25">
      <c r="B3664" t="s">
        <v>14</v>
      </c>
      <c r="C3664" s="1">
        <v>46168.999988425923</v>
      </c>
      <c r="D3664">
        <v>25.153777567676201</v>
      </c>
      <c r="E3664">
        <v>0</v>
      </c>
      <c r="F3664" s="1">
        <v>46167.60628472222</v>
      </c>
      <c r="G3664">
        <v>52.8777613425152</v>
      </c>
      <c r="H3664" t="s">
        <v>33</v>
      </c>
      <c r="I3664" s="2"/>
      <c r="J3664" t="s">
        <v>16</v>
      </c>
      <c r="K3664">
        <v>486114.54266645201</v>
      </c>
      <c r="L3664" t="s">
        <v>17</v>
      </c>
      <c r="M3664">
        <v>0</v>
      </c>
      <c r="N3664">
        <v>0</v>
      </c>
    </row>
    <row r="3665" spans="2:14" x14ac:dyDescent="0.25">
      <c r="B3665" t="s">
        <v>14</v>
      </c>
      <c r="C3665" s="1">
        <v>46167.999988425923</v>
      </c>
      <c r="D3665">
        <v>25.153777567676201</v>
      </c>
      <c r="E3665">
        <v>0</v>
      </c>
      <c r="F3665" s="1">
        <v>46167.60628472222</v>
      </c>
      <c r="G3665">
        <v>52.8777613425152</v>
      </c>
      <c r="H3665" t="s">
        <v>33</v>
      </c>
      <c r="I3665" s="2"/>
      <c r="J3665" t="s">
        <v>16</v>
      </c>
      <c r="K3665">
        <v>486114.54266645201</v>
      </c>
      <c r="L3665" t="s">
        <v>17</v>
      </c>
      <c r="M3665">
        <v>0</v>
      </c>
      <c r="N3665">
        <v>0</v>
      </c>
    </row>
    <row r="3666" spans="2:14" x14ac:dyDescent="0.25">
      <c r="B3666" t="s">
        <v>14</v>
      </c>
      <c r="C3666" s="1">
        <v>46166.999988425923</v>
      </c>
      <c r="D3666">
        <v>25.153777567676201</v>
      </c>
      <c r="E3666">
        <v>0</v>
      </c>
      <c r="F3666" s="1">
        <v>46165.099259259259</v>
      </c>
      <c r="G3666">
        <v>52.8777613425152</v>
      </c>
      <c r="H3666" t="s">
        <v>33</v>
      </c>
      <c r="I3666" s="2"/>
      <c r="J3666" t="s">
        <v>16</v>
      </c>
      <c r="K3666">
        <v>486114.54266645201</v>
      </c>
      <c r="L3666" t="s">
        <v>17</v>
      </c>
      <c r="M3666">
        <v>0</v>
      </c>
      <c r="N3666">
        <v>0</v>
      </c>
    </row>
    <row r="3667" spans="2:14" x14ac:dyDescent="0.25">
      <c r="B3667" t="s">
        <v>14</v>
      </c>
      <c r="C3667" s="1">
        <v>46165.999988425923</v>
      </c>
      <c r="D3667">
        <v>25.153777567676201</v>
      </c>
      <c r="E3667">
        <v>0</v>
      </c>
      <c r="F3667" s="1">
        <v>46165.099259259259</v>
      </c>
      <c r="G3667">
        <v>52.8777613425152</v>
      </c>
      <c r="H3667" t="s">
        <v>33</v>
      </c>
      <c r="I3667" s="2"/>
      <c r="J3667" t="s">
        <v>16</v>
      </c>
      <c r="K3667">
        <v>486114.54266645201</v>
      </c>
      <c r="L3667" t="s">
        <v>17</v>
      </c>
      <c r="M3667">
        <v>0</v>
      </c>
      <c r="N3667">
        <v>0</v>
      </c>
    </row>
    <row r="3668" spans="2:14" x14ac:dyDescent="0.25">
      <c r="B3668" t="s">
        <v>14</v>
      </c>
      <c r="C3668" s="1">
        <v>46164.999988425923</v>
      </c>
      <c r="D3668">
        <v>25.153777567676201</v>
      </c>
      <c r="E3668">
        <v>0</v>
      </c>
      <c r="F3668" s="1">
        <v>46164.099143518521</v>
      </c>
      <c r="G3668">
        <v>52.8777613425152</v>
      </c>
      <c r="H3668" t="s">
        <v>33</v>
      </c>
      <c r="I3668" s="2"/>
      <c r="J3668" t="s">
        <v>16</v>
      </c>
      <c r="K3668">
        <v>486114.54266645201</v>
      </c>
      <c r="L3668" t="s">
        <v>17</v>
      </c>
      <c r="M3668">
        <v>0</v>
      </c>
      <c r="N3668">
        <v>0</v>
      </c>
    </row>
    <row r="3669" spans="2:14" x14ac:dyDescent="0.25">
      <c r="B3669" t="s">
        <v>14</v>
      </c>
      <c r="C3669" s="1">
        <v>46163.999988425923</v>
      </c>
      <c r="D3669">
        <v>25.153777567676201</v>
      </c>
      <c r="E3669">
        <v>0</v>
      </c>
      <c r="F3669" s="1">
        <v>46162.605624999997</v>
      </c>
      <c r="G3669">
        <v>52.8777613425152</v>
      </c>
      <c r="H3669" t="s">
        <v>33</v>
      </c>
      <c r="I3669" s="2"/>
      <c r="J3669" t="s">
        <v>16</v>
      </c>
      <c r="K3669">
        <v>486114.54266645201</v>
      </c>
      <c r="L3669" t="s">
        <v>17</v>
      </c>
      <c r="M3669">
        <v>0</v>
      </c>
      <c r="N3669">
        <v>0</v>
      </c>
    </row>
    <row r="3670" spans="2:14" x14ac:dyDescent="0.25">
      <c r="B3670" t="s">
        <v>14</v>
      </c>
      <c r="C3670" s="1">
        <v>46162.999988425923</v>
      </c>
      <c r="D3670">
        <v>25.153777567676201</v>
      </c>
      <c r="E3670">
        <v>0</v>
      </c>
      <c r="F3670" s="1">
        <v>46162.605624999997</v>
      </c>
      <c r="G3670">
        <v>52.8777613425152</v>
      </c>
      <c r="H3670" t="s">
        <v>33</v>
      </c>
      <c r="I3670" s="2"/>
      <c r="J3670" t="s">
        <v>16</v>
      </c>
      <c r="K3670">
        <v>486114.54266645201</v>
      </c>
      <c r="L3670" t="s">
        <v>17</v>
      </c>
      <c r="M3670">
        <v>0</v>
      </c>
      <c r="N3670">
        <v>0</v>
      </c>
    </row>
    <row r="3671" spans="2:14" x14ac:dyDescent="0.25">
      <c r="B3671" t="s">
        <v>14</v>
      </c>
      <c r="C3671" s="1">
        <v>46161.999988425923</v>
      </c>
      <c r="D3671">
        <v>25.153777567676201</v>
      </c>
      <c r="E3671">
        <v>0</v>
      </c>
      <c r="F3671" s="1">
        <v>46161.605509259258</v>
      </c>
      <c r="G3671">
        <v>52.8777613425152</v>
      </c>
      <c r="H3671" t="s">
        <v>33</v>
      </c>
      <c r="I3671" s="2"/>
      <c r="J3671" t="s">
        <v>16</v>
      </c>
      <c r="K3671">
        <v>486114.54266645201</v>
      </c>
      <c r="L3671" t="s">
        <v>17</v>
      </c>
      <c r="M3671">
        <v>0</v>
      </c>
      <c r="N3671">
        <v>0</v>
      </c>
    </row>
    <row r="3672" spans="2:14" x14ac:dyDescent="0.25">
      <c r="B3672" t="s">
        <v>14</v>
      </c>
      <c r="C3672" s="1">
        <v>46160.999988425923</v>
      </c>
      <c r="D3672">
        <v>25.153777567676201</v>
      </c>
      <c r="E3672">
        <v>0</v>
      </c>
      <c r="F3672" s="1">
        <v>46158.099791666667</v>
      </c>
      <c r="G3672">
        <v>52.8777613425152</v>
      </c>
      <c r="H3672" t="s">
        <v>33</v>
      </c>
      <c r="I3672" s="2"/>
      <c r="J3672" t="s">
        <v>16</v>
      </c>
      <c r="K3672">
        <v>486114.54266645201</v>
      </c>
      <c r="L3672" t="s">
        <v>17</v>
      </c>
      <c r="M3672">
        <v>0</v>
      </c>
      <c r="N3672">
        <v>0</v>
      </c>
    </row>
    <row r="3673" spans="2:14" x14ac:dyDescent="0.25">
      <c r="B3673" t="s">
        <v>14</v>
      </c>
      <c r="C3673" s="1">
        <v>46159.999988425923</v>
      </c>
      <c r="D3673">
        <v>25.153777567676201</v>
      </c>
      <c r="E3673">
        <v>0</v>
      </c>
      <c r="F3673" s="1">
        <v>46158.099791666667</v>
      </c>
      <c r="G3673">
        <v>52.8777613425152</v>
      </c>
      <c r="H3673" t="s">
        <v>33</v>
      </c>
      <c r="I3673" s="2"/>
      <c r="J3673" t="s">
        <v>16</v>
      </c>
      <c r="K3673">
        <v>486114.54266645201</v>
      </c>
      <c r="L3673" t="s">
        <v>17</v>
      </c>
      <c r="M3673">
        <v>0</v>
      </c>
      <c r="N3673">
        <v>0</v>
      </c>
    </row>
    <row r="3674" spans="2:14" x14ac:dyDescent="0.25">
      <c r="B3674" t="s">
        <v>14</v>
      </c>
      <c r="C3674" s="1">
        <v>46158.999988425923</v>
      </c>
      <c r="D3674">
        <v>25.153777567676201</v>
      </c>
      <c r="E3674">
        <v>0</v>
      </c>
      <c r="F3674" s="1">
        <v>46158.099791666667</v>
      </c>
      <c r="G3674">
        <v>52.8777613425152</v>
      </c>
      <c r="H3674" t="s">
        <v>33</v>
      </c>
      <c r="I3674" s="2"/>
      <c r="J3674" t="s">
        <v>16</v>
      </c>
      <c r="K3674">
        <v>486114.54266645201</v>
      </c>
      <c r="L3674" t="s">
        <v>17</v>
      </c>
      <c r="M3674">
        <v>0</v>
      </c>
      <c r="N3674">
        <v>0</v>
      </c>
    </row>
    <row r="3675" spans="2:14" x14ac:dyDescent="0.25">
      <c r="B3675" t="s">
        <v>14</v>
      </c>
      <c r="C3675" s="1">
        <v>46157.999988425923</v>
      </c>
      <c r="D3675">
        <v>25.153777567676201</v>
      </c>
      <c r="E3675">
        <v>0</v>
      </c>
      <c r="F3675" s="1">
        <v>46155.60628472222</v>
      </c>
      <c r="G3675">
        <v>52.8777613425152</v>
      </c>
      <c r="H3675" t="s">
        <v>33</v>
      </c>
      <c r="I3675" s="2"/>
      <c r="J3675" t="s">
        <v>16</v>
      </c>
      <c r="K3675">
        <v>486114.54266645201</v>
      </c>
      <c r="L3675" t="s">
        <v>17</v>
      </c>
      <c r="M3675">
        <v>0</v>
      </c>
      <c r="N3675">
        <v>0</v>
      </c>
    </row>
    <row r="3676" spans="2:14" x14ac:dyDescent="0.25">
      <c r="B3676" t="s">
        <v>14</v>
      </c>
      <c r="C3676" s="1">
        <v>46156.999988425923</v>
      </c>
      <c r="D3676">
        <v>25.153777567676201</v>
      </c>
      <c r="E3676">
        <v>0</v>
      </c>
      <c r="F3676" s="1">
        <v>46155.60628472222</v>
      </c>
      <c r="G3676">
        <v>52.8777613425152</v>
      </c>
      <c r="H3676" t="s">
        <v>33</v>
      </c>
      <c r="I3676" s="2"/>
      <c r="J3676" t="s">
        <v>16</v>
      </c>
      <c r="K3676">
        <v>486114.54266645201</v>
      </c>
      <c r="L3676" t="s">
        <v>17</v>
      </c>
      <c r="M3676">
        <v>0</v>
      </c>
      <c r="N3676">
        <v>0</v>
      </c>
    </row>
    <row r="3677" spans="2:14" x14ac:dyDescent="0.25">
      <c r="B3677" t="s">
        <v>14</v>
      </c>
      <c r="C3677" s="1">
        <v>46155.999988425923</v>
      </c>
      <c r="D3677">
        <v>25.153777567676201</v>
      </c>
      <c r="E3677">
        <v>0</v>
      </c>
      <c r="F3677" s="1">
        <v>46155.60628472222</v>
      </c>
      <c r="G3677">
        <v>52.8777613425152</v>
      </c>
      <c r="H3677" t="s">
        <v>33</v>
      </c>
      <c r="I3677" s="2"/>
      <c r="J3677" t="s">
        <v>16</v>
      </c>
      <c r="K3677">
        <v>486114.54266645201</v>
      </c>
      <c r="L3677" t="s">
        <v>17</v>
      </c>
      <c r="M3677">
        <v>0</v>
      </c>
      <c r="N3677">
        <v>0</v>
      </c>
    </row>
    <row r="3678" spans="2:14" x14ac:dyDescent="0.25">
      <c r="B3678" t="s">
        <v>14</v>
      </c>
      <c r="C3678" s="1">
        <v>46154.999988425923</v>
      </c>
      <c r="D3678">
        <v>25.153777567676201</v>
      </c>
      <c r="E3678">
        <v>0</v>
      </c>
      <c r="F3678" s="1">
        <v>46153.099247685182</v>
      </c>
      <c r="G3678">
        <v>52.8777613425152</v>
      </c>
      <c r="H3678" t="s">
        <v>33</v>
      </c>
      <c r="I3678" s="2"/>
      <c r="J3678" t="s">
        <v>16</v>
      </c>
      <c r="K3678">
        <v>486114.54266645201</v>
      </c>
      <c r="L3678" t="s">
        <v>17</v>
      </c>
      <c r="M3678">
        <v>0</v>
      </c>
      <c r="N3678">
        <v>0</v>
      </c>
    </row>
    <row r="3679" spans="2:14" x14ac:dyDescent="0.25">
      <c r="B3679" t="s">
        <v>14</v>
      </c>
      <c r="C3679" s="1">
        <v>46153.999988425923</v>
      </c>
      <c r="D3679">
        <v>25.153777567676201</v>
      </c>
      <c r="E3679">
        <v>0</v>
      </c>
      <c r="F3679" s="1">
        <v>46153.099247685182</v>
      </c>
      <c r="G3679">
        <v>52.8777613425152</v>
      </c>
      <c r="H3679" t="s">
        <v>33</v>
      </c>
      <c r="I3679" s="2"/>
      <c r="J3679" t="s">
        <v>16</v>
      </c>
      <c r="K3679">
        <v>486114.54266645201</v>
      </c>
      <c r="L3679" t="s">
        <v>17</v>
      </c>
      <c r="M3679">
        <v>0</v>
      </c>
      <c r="N3679">
        <v>0</v>
      </c>
    </row>
    <row r="3680" spans="2:14" x14ac:dyDescent="0.25">
      <c r="B3680" t="s">
        <v>14</v>
      </c>
      <c r="C3680" s="1">
        <v>46152.999988425923</v>
      </c>
      <c r="D3680">
        <v>25.153777567676201</v>
      </c>
      <c r="E3680">
        <v>0</v>
      </c>
      <c r="F3680" s="1">
        <v>46150.605613425927</v>
      </c>
      <c r="G3680">
        <v>52.8777613425152</v>
      </c>
      <c r="H3680" t="s">
        <v>33</v>
      </c>
      <c r="I3680" s="2"/>
      <c r="J3680" t="s">
        <v>16</v>
      </c>
      <c r="K3680">
        <v>486114.54266645201</v>
      </c>
      <c r="L3680" t="s">
        <v>17</v>
      </c>
      <c r="M3680">
        <v>0</v>
      </c>
      <c r="N3680">
        <v>0</v>
      </c>
    </row>
    <row r="3681" spans="2:14" x14ac:dyDescent="0.25">
      <c r="B3681" t="s">
        <v>14</v>
      </c>
      <c r="C3681" s="1">
        <v>46151.999988425923</v>
      </c>
      <c r="D3681">
        <v>25.153777567676201</v>
      </c>
      <c r="E3681">
        <v>0</v>
      </c>
      <c r="F3681" s="1">
        <v>46150.605613425927</v>
      </c>
      <c r="G3681">
        <v>52.8777613425152</v>
      </c>
      <c r="H3681" t="s">
        <v>33</v>
      </c>
      <c r="I3681" s="2"/>
      <c r="J3681" t="s">
        <v>16</v>
      </c>
      <c r="K3681">
        <v>486114.54266645201</v>
      </c>
      <c r="L3681" t="s">
        <v>17</v>
      </c>
      <c r="M3681">
        <v>0</v>
      </c>
      <c r="N3681">
        <v>0</v>
      </c>
    </row>
    <row r="3682" spans="2:14" x14ac:dyDescent="0.25">
      <c r="B3682" t="s">
        <v>14</v>
      </c>
      <c r="C3682" s="1">
        <v>46150.999988425923</v>
      </c>
      <c r="D3682">
        <v>25.153777567676201</v>
      </c>
      <c r="E3682">
        <v>0</v>
      </c>
      <c r="F3682" s="1">
        <v>46150.605613425927</v>
      </c>
      <c r="G3682">
        <v>52.8777613425152</v>
      </c>
      <c r="H3682" t="s">
        <v>33</v>
      </c>
      <c r="I3682" s="2"/>
      <c r="J3682" t="s">
        <v>16</v>
      </c>
      <c r="K3682">
        <v>486114.54266645201</v>
      </c>
      <c r="L3682" t="s">
        <v>17</v>
      </c>
      <c r="M3682">
        <v>0</v>
      </c>
      <c r="N3682">
        <v>0</v>
      </c>
    </row>
    <row r="3683" spans="2:14" x14ac:dyDescent="0.25">
      <c r="B3683" t="s">
        <v>14</v>
      </c>
      <c r="C3683" s="1">
        <v>46149.999988425923</v>
      </c>
      <c r="D3683">
        <v>25.153777567676201</v>
      </c>
      <c r="E3683">
        <v>0</v>
      </c>
      <c r="F3683" s="1">
        <v>46149.605497685188</v>
      </c>
      <c r="G3683">
        <v>52.8777613425152</v>
      </c>
      <c r="H3683" t="s">
        <v>33</v>
      </c>
      <c r="I3683" s="2"/>
      <c r="J3683" t="s">
        <v>16</v>
      </c>
      <c r="K3683">
        <v>486114.54266645201</v>
      </c>
      <c r="L3683" t="s">
        <v>17</v>
      </c>
      <c r="M3683">
        <v>0</v>
      </c>
      <c r="N3683">
        <v>0</v>
      </c>
    </row>
    <row r="3684" spans="2:14" x14ac:dyDescent="0.25">
      <c r="B3684" t="s">
        <v>14</v>
      </c>
      <c r="C3684" s="1">
        <v>46148.999988425923</v>
      </c>
      <c r="D3684">
        <v>25.153777567676201</v>
      </c>
      <c r="E3684">
        <v>0</v>
      </c>
      <c r="F3684" s="1">
        <v>46146.099803240744</v>
      </c>
      <c r="G3684">
        <v>52.8777613425152</v>
      </c>
      <c r="H3684" t="s">
        <v>33</v>
      </c>
      <c r="I3684" s="2"/>
      <c r="J3684" t="s">
        <v>16</v>
      </c>
      <c r="K3684">
        <v>486114.54266645201</v>
      </c>
      <c r="L3684" t="s">
        <v>17</v>
      </c>
      <c r="M3684">
        <v>0</v>
      </c>
      <c r="N3684">
        <v>0</v>
      </c>
    </row>
    <row r="3685" spans="2:14" x14ac:dyDescent="0.25">
      <c r="B3685" t="s">
        <v>14</v>
      </c>
      <c r="C3685" s="1">
        <v>46147.999988425923</v>
      </c>
      <c r="D3685">
        <v>25.153777567676201</v>
      </c>
      <c r="E3685">
        <v>0</v>
      </c>
      <c r="F3685" s="1">
        <v>46146.099803240744</v>
      </c>
      <c r="G3685">
        <v>52.8777613425152</v>
      </c>
      <c r="H3685" t="s">
        <v>33</v>
      </c>
      <c r="I3685" s="2"/>
      <c r="J3685" t="s">
        <v>16</v>
      </c>
      <c r="K3685">
        <v>486114.54266645201</v>
      </c>
      <c r="L3685" t="s">
        <v>17</v>
      </c>
      <c r="M3685">
        <v>0</v>
      </c>
      <c r="N3685">
        <v>0</v>
      </c>
    </row>
    <row r="3686" spans="2:14" x14ac:dyDescent="0.25">
      <c r="B3686" t="s">
        <v>14</v>
      </c>
      <c r="C3686" s="1">
        <v>46146.999988425923</v>
      </c>
      <c r="D3686">
        <v>25.153777567676201</v>
      </c>
      <c r="E3686">
        <v>0</v>
      </c>
      <c r="F3686" s="1">
        <v>46146.099803240744</v>
      </c>
      <c r="G3686">
        <v>52.8777613425152</v>
      </c>
      <c r="H3686" t="s">
        <v>33</v>
      </c>
      <c r="I3686" s="2"/>
      <c r="J3686" t="s">
        <v>16</v>
      </c>
      <c r="K3686">
        <v>486114.54266645201</v>
      </c>
      <c r="L3686" t="s">
        <v>17</v>
      </c>
      <c r="M3686">
        <v>0</v>
      </c>
      <c r="N3686">
        <v>0</v>
      </c>
    </row>
    <row r="3687" spans="2:14" x14ac:dyDescent="0.25">
      <c r="B3687" t="s">
        <v>14</v>
      </c>
      <c r="C3687" s="1">
        <v>46145.999988425923</v>
      </c>
      <c r="D3687">
        <v>25.153777567676201</v>
      </c>
      <c r="E3687">
        <v>0</v>
      </c>
      <c r="F3687" s="1">
        <v>46143.606296296297</v>
      </c>
      <c r="G3687">
        <v>52.8777613425152</v>
      </c>
      <c r="H3687" t="s">
        <v>33</v>
      </c>
      <c r="I3687" s="2"/>
      <c r="J3687" t="s">
        <v>16</v>
      </c>
      <c r="K3687">
        <v>486114.54266645201</v>
      </c>
      <c r="L3687" t="s">
        <v>17</v>
      </c>
      <c r="M3687">
        <v>0</v>
      </c>
      <c r="N3687">
        <v>0</v>
      </c>
    </row>
    <row r="3688" spans="2:14" x14ac:dyDescent="0.25">
      <c r="B3688" t="s">
        <v>14</v>
      </c>
      <c r="C3688" s="1">
        <v>46144.999988425923</v>
      </c>
      <c r="D3688">
        <v>25.153777567676201</v>
      </c>
      <c r="E3688">
        <v>0</v>
      </c>
      <c r="F3688" s="1">
        <v>46143.606296296297</v>
      </c>
      <c r="G3688">
        <v>52.8777613425152</v>
      </c>
      <c r="H3688" t="s">
        <v>33</v>
      </c>
      <c r="I3688" s="2"/>
      <c r="J3688" t="s">
        <v>16</v>
      </c>
      <c r="K3688">
        <v>486114.54266645201</v>
      </c>
      <c r="L3688" t="s">
        <v>17</v>
      </c>
      <c r="M3688">
        <v>0</v>
      </c>
      <c r="N3688">
        <v>0</v>
      </c>
    </row>
    <row r="3689" spans="2:14" x14ac:dyDescent="0.25">
      <c r="B3689" t="s">
        <v>14</v>
      </c>
      <c r="C3689" s="1">
        <v>46143.999988425923</v>
      </c>
      <c r="D3689">
        <v>25.153777567676201</v>
      </c>
      <c r="E3689">
        <v>0</v>
      </c>
      <c r="F3689" s="1">
        <v>46143.606296296297</v>
      </c>
      <c r="G3689">
        <v>52.8777613425152</v>
      </c>
      <c r="H3689" t="s">
        <v>33</v>
      </c>
      <c r="I3689" s="2"/>
      <c r="J3689" t="s">
        <v>16</v>
      </c>
      <c r="K3689">
        <v>486114.54266645201</v>
      </c>
      <c r="L3689" t="s">
        <v>17</v>
      </c>
      <c r="M3689">
        <v>0</v>
      </c>
      <c r="N3689">
        <v>0</v>
      </c>
    </row>
    <row r="3690" spans="2:14" x14ac:dyDescent="0.25">
      <c r="B3690" t="s">
        <v>14</v>
      </c>
      <c r="C3690" s="1">
        <v>46142.999988425923</v>
      </c>
      <c r="D3690">
        <v>25.153777567676201</v>
      </c>
      <c r="E3690">
        <v>0</v>
      </c>
      <c r="F3690" s="1">
        <v>46140.099120370367</v>
      </c>
      <c r="G3690">
        <v>52.8777613425152</v>
      </c>
      <c r="H3690" t="s">
        <v>33</v>
      </c>
      <c r="I3690" s="2"/>
      <c r="J3690" t="s">
        <v>16</v>
      </c>
      <c r="K3690">
        <v>486114.54266645201</v>
      </c>
      <c r="L3690" t="s">
        <v>17</v>
      </c>
      <c r="M3690">
        <v>0</v>
      </c>
      <c r="N3690">
        <v>0</v>
      </c>
    </row>
    <row r="3691" spans="2:14" x14ac:dyDescent="0.25">
      <c r="B3691" t="s">
        <v>14</v>
      </c>
      <c r="C3691" s="1">
        <v>46141.999988425923</v>
      </c>
      <c r="D3691">
        <v>25.153777567676201</v>
      </c>
      <c r="E3691">
        <v>0</v>
      </c>
      <c r="F3691" s="1">
        <v>46140.099120370367</v>
      </c>
      <c r="G3691">
        <v>52.8777613425152</v>
      </c>
      <c r="H3691" t="s">
        <v>33</v>
      </c>
      <c r="I3691" s="2"/>
      <c r="J3691" t="s">
        <v>16</v>
      </c>
      <c r="K3691">
        <v>486114.54266645201</v>
      </c>
      <c r="L3691" t="s">
        <v>17</v>
      </c>
      <c r="M3691">
        <v>0</v>
      </c>
      <c r="N3691">
        <v>0</v>
      </c>
    </row>
    <row r="3692" spans="2:14" x14ac:dyDescent="0.25">
      <c r="B3692" t="s">
        <v>14</v>
      </c>
      <c r="C3692" s="1">
        <v>46140.999988425923</v>
      </c>
      <c r="D3692">
        <v>25.153777567676201</v>
      </c>
      <c r="E3692">
        <v>0</v>
      </c>
      <c r="F3692" s="1">
        <v>46140.099120370367</v>
      </c>
      <c r="G3692">
        <v>52.8777613425152</v>
      </c>
      <c r="H3692" t="s">
        <v>33</v>
      </c>
      <c r="I3692" s="2"/>
      <c r="J3692" t="s">
        <v>16</v>
      </c>
      <c r="K3692">
        <v>486114.54266645201</v>
      </c>
      <c r="L3692" t="s">
        <v>17</v>
      </c>
      <c r="M3692">
        <v>0</v>
      </c>
      <c r="N3692">
        <v>0</v>
      </c>
    </row>
    <row r="3693" spans="2:14" x14ac:dyDescent="0.25">
      <c r="B3693" t="s">
        <v>14</v>
      </c>
      <c r="C3693" s="1">
        <v>46139.999988425923</v>
      </c>
      <c r="D3693">
        <v>25.153777567676201</v>
      </c>
      <c r="E3693">
        <v>0</v>
      </c>
      <c r="F3693" s="1">
        <v>46137.605486111112</v>
      </c>
      <c r="G3693">
        <v>52.8777613425152</v>
      </c>
      <c r="H3693" t="s">
        <v>33</v>
      </c>
      <c r="I3693" s="2"/>
      <c r="J3693" t="s">
        <v>16</v>
      </c>
      <c r="K3693">
        <v>486114.54266645201</v>
      </c>
      <c r="L3693" t="s">
        <v>17</v>
      </c>
      <c r="M3693">
        <v>0</v>
      </c>
      <c r="N3693">
        <v>0</v>
      </c>
    </row>
    <row r="3694" spans="2:14" x14ac:dyDescent="0.25">
      <c r="B3694" t="s">
        <v>14</v>
      </c>
      <c r="C3694" s="1">
        <v>46138.999988425923</v>
      </c>
      <c r="D3694">
        <v>25.153777567676201</v>
      </c>
      <c r="E3694">
        <v>0</v>
      </c>
      <c r="F3694" s="1">
        <v>46137.605486111112</v>
      </c>
      <c r="G3694">
        <v>52.8777613425152</v>
      </c>
      <c r="H3694" t="s">
        <v>33</v>
      </c>
      <c r="I3694" s="2"/>
      <c r="J3694" t="s">
        <v>16</v>
      </c>
      <c r="K3694">
        <v>486114.54266645201</v>
      </c>
      <c r="L3694" t="s">
        <v>17</v>
      </c>
      <c r="M3694">
        <v>0</v>
      </c>
      <c r="N3694">
        <v>0</v>
      </c>
    </row>
    <row r="3695" spans="2:14" x14ac:dyDescent="0.25">
      <c r="B3695" t="s">
        <v>14</v>
      </c>
      <c r="C3695" s="1">
        <v>46137.999988425923</v>
      </c>
      <c r="D3695">
        <v>25.153777567676201</v>
      </c>
      <c r="E3695">
        <v>0</v>
      </c>
      <c r="F3695" s="1">
        <v>46137.605486111112</v>
      </c>
      <c r="G3695">
        <v>52.8777613425152</v>
      </c>
      <c r="H3695" t="s">
        <v>33</v>
      </c>
      <c r="I3695" s="2"/>
      <c r="J3695" t="s">
        <v>16</v>
      </c>
      <c r="K3695">
        <v>486114.54266645201</v>
      </c>
      <c r="L3695" t="s">
        <v>17</v>
      </c>
      <c r="M3695">
        <v>0</v>
      </c>
      <c r="N3695">
        <v>0</v>
      </c>
    </row>
    <row r="3696" spans="2:14" x14ac:dyDescent="0.25">
      <c r="B3696" t="s">
        <v>14</v>
      </c>
      <c r="C3696" s="1">
        <v>46136.999988425923</v>
      </c>
      <c r="D3696">
        <v>25.153777567676201</v>
      </c>
      <c r="E3696">
        <v>0</v>
      </c>
      <c r="F3696" s="1">
        <v>46134.099803240744</v>
      </c>
      <c r="G3696">
        <v>52.8777613425152</v>
      </c>
      <c r="H3696" t="s">
        <v>33</v>
      </c>
      <c r="I3696" s="2"/>
      <c r="J3696" t="s">
        <v>16</v>
      </c>
      <c r="K3696">
        <v>486114.54266645201</v>
      </c>
      <c r="L3696" t="s">
        <v>17</v>
      </c>
      <c r="M3696">
        <v>0</v>
      </c>
      <c r="N3696">
        <v>0</v>
      </c>
    </row>
    <row r="3697" spans="2:14" x14ac:dyDescent="0.25">
      <c r="B3697" t="s">
        <v>14</v>
      </c>
      <c r="C3697" s="1">
        <v>46135.999988425923</v>
      </c>
      <c r="D3697">
        <v>25.153777567676201</v>
      </c>
      <c r="E3697">
        <v>0</v>
      </c>
      <c r="F3697" s="1">
        <v>46134.099803240744</v>
      </c>
      <c r="G3697">
        <v>52.8777613425152</v>
      </c>
      <c r="H3697" t="s">
        <v>33</v>
      </c>
      <c r="I3697" s="2"/>
      <c r="J3697" t="s">
        <v>16</v>
      </c>
      <c r="K3697">
        <v>486114.54266645201</v>
      </c>
      <c r="L3697" t="s">
        <v>17</v>
      </c>
      <c r="M3697">
        <v>0</v>
      </c>
      <c r="N3697">
        <v>0</v>
      </c>
    </row>
    <row r="3698" spans="2:14" x14ac:dyDescent="0.25">
      <c r="B3698" t="s">
        <v>14</v>
      </c>
      <c r="C3698" s="1">
        <v>46134.999988425923</v>
      </c>
      <c r="D3698">
        <v>25.153777567676201</v>
      </c>
      <c r="E3698">
        <v>0</v>
      </c>
      <c r="F3698" s="1">
        <v>46134.099803240744</v>
      </c>
      <c r="G3698">
        <v>52.8777613425152</v>
      </c>
      <c r="H3698" t="s">
        <v>33</v>
      </c>
      <c r="I3698" s="2"/>
      <c r="J3698" t="s">
        <v>16</v>
      </c>
      <c r="K3698">
        <v>486114.54266645201</v>
      </c>
      <c r="L3698" t="s">
        <v>17</v>
      </c>
      <c r="M3698">
        <v>0</v>
      </c>
      <c r="N3698">
        <v>0</v>
      </c>
    </row>
    <row r="3699" spans="2:14" x14ac:dyDescent="0.25">
      <c r="B3699" t="s">
        <v>14</v>
      </c>
      <c r="C3699" s="1">
        <v>46133.999988425923</v>
      </c>
      <c r="D3699">
        <v>25.153777567676201</v>
      </c>
      <c r="E3699">
        <v>0</v>
      </c>
      <c r="F3699" s="1">
        <v>46131.606296296297</v>
      </c>
      <c r="G3699">
        <v>52.8777613425152</v>
      </c>
      <c r="H3699" t="s">
        <v>33</v>
      </c>
      <c r="I3699" s="2"/>
      <c r="J3699" t="s">
        <v>16</v>
      </c>
      <c r="K3699">
        <v>486114.54266645201</v>
      </c>
      <c r="L3699" t="s">
        <v>17</v>
      </c>
      <c r="M3699">
        <v>0</v>
      </c>
      <c r="N3699">
        <v>0</v>
      </c>
    </row>
    <row r="3700" spans="2:14" x14ac:dyDescent="0.25">
      <c r="B3700" t="s">
        <v>14</v>
      </c>
      <c r="C3700" s="1">
        <v>46132.999988425923</v>
      </c>
      <c r="D3700">
        <v>25.153777567676201</v>
      </c>
      <c r="E3700">
        <v>0</v>
      </c>
      <c r="F3700" s="1">
        <v>46131.606296296297</v>
      </c>
      <c r="G3700">
        <v>52.8777613425152</v>
      </c>
      <c r="H3700" t="s">
        <v>33</v>
      </c>
      <c r="I3700" s="2"/>
      <c r="J3700" t="s">
        <v>16</v>
      </c>
      <c r="K3700">
        <v>486114.54266645201</v>
      </c>
      <c r="L3700" t="s">
        <v>17</v>
      </c>
      <c r="M3700">
        <v>0</v>
      </c>
      <c r="N3700">
        <v>0</v>
      </c>
    </row>
    <row r="3701" spans="2:14" x14ac:dyDescent="0.25">
      <c r="B3701" t="s">
        <v>14</v>
      </c>
      <c r="C3701" s="1">
        <v>46131.999988425923</v>
      </c>
      <c r="D3701">
        <v>25.153777567676201</v>
      </c>
      <c r="E3701">
        <v>0</v>
      </c>
      <c r="F3701" s="1">
        <v>46131.606296296297</v>
      </c>
      <c r="G3701">
        <v>52.8777613425152</v>
      </c>
      <c r="H3701" t="s">
        <v>33</v>
      </c>
      <c r="I3701" s="2"/>
      <c r="J3701" t="s">
        <v>16</v>
      </c>
      <c r="K3701">
        <v>486114.54266645201</v>
      </c>
      <c r="L3701" t="s">
        <v>17</v>
      </c>
      <c r="M3701">
        <v>0</v>
      </c>
      <c r="N3701">
        <v>0</v>
      </c>
    </row>
    <row r="3702" spans="2:14" x14ac:dyDescent="0.25">
      <c r="B3702" t="s">
        <v>14</v>
      </c>
      <c r="C3702" s="1">
        <v>46130.999988425923</v>
      </c>
      <c r="D3702">
        <v>25.153777567676201</v>
      </c>
      <c r="E3702">
        <v>0</v>
      </c>
      <c r="F3702" s="1">
        <v>46128.099108796298</v>
      </c>
      <c r="G3702">
        <v>52.8777613425152</v>
      </c>
      <c r="H3702" t="s">
        <v>33</v>
      </c>
      <c r="I3702" s="2"/>
      <c r="J3702" t="s">
        <v>16</v>
      </c>
      <c r="K3702">
        <v>486114.54266645201</v>
      </c>
      <c r="L3702" t="s">
        <v>17</v>
      </c>
      <c r="M3702">
        <v>0</v>
      </c>
      <c r="N3702">
        <v>0</v>
      </c>
    </row>
    <row r="3703" spans="2:14" x14ac:dyDescent="0.25">
      <c r="B3703" t="s">
        <v>14</v>
      </c>
      <c r="C3703" s="1">
        <v>46129.999988425923</v>
      </c>
      <c r="D3703">
        <v>25.153777567676201</v>
      </c>
      <c r="E3703">
        <v>0</v>
      </c>
      <c r="F3703" s="1">
        <v>46128.099108796298</v>
      </c>
      <c r="G3703">
        <v>52.8777613425152</v>
      </c>
      <c r="H3703" t="s">
        <v>33</v>
      </c>
      <c r="I3703" s="2"/>
      <c r="J3703" t="s">
        <v>16</v>
      </c>
      <c r="K3703">
        <v>486114.54266645201</v>
      </c>
      <c r="L3703" t="s">
        <v>17</v>
      </c>
      <c r="M3703">
        <v>0</v>
      </c>
      <c r="N3703">
        <v>0</v>
      </c>
    </row>
    <row r="3704" spans="2:14" x14ac:dyDescent="0.25">
      <c r="B3704" t="s">
        <v>14</v>
      </c>
      <c r="C3704" s="1">
        <v>46128.999988425923</v>
      </c>
      <c r="D3704">
        <v>25.153777567676201</v>
      </c>
      <c r="E3704">
        <v>0</v>
      </c>
      <c r="F3704" s="1">
        <v>46128.099108796298</v>
      </c>
      <c r="G3704">
        <v>52.8777613425152</v>
      </c>
      <c r="H3704" t="s">
        <v>33</v>
      </c>
      <c r="I3704" s="2"/>
      <c r="J3704" t="s">
        <v>16</v>
      </c>
      <c r="K3704">
        <v>486114.54266645201</v>
      </c>
      <c r="L3704" t="s">
        <v>17</v>
      </c>
      <c r="M3704">
        <v>0</v>
      </c>
      <c r="N3704">
        <v>0</v>
      </c>
    </row>
    <row r="3705" spans="2:14" x14ac:dyDescent="0.25">
      <c r="B3705" t="s">
        <v>14</v>
      </c>
      <c r="C3705" s="1">
        <v>46127.999988425923</v>
      </c>
      <c r="D3705">
        <v>25.153777567676201</v>
      </c>
      <c r="E3705">
        <v>0</v>
      </c>
      <c r="F3705" s="1">
        <v>46125.605486111112</v>
      </c>
      <c r="G3705">
        <v>52.8777613425152</v>
      </c>
      <c r="H3705" t="s">
        <v>33</v>
      </c>
      <c r="I3705" s="2"/>
      <c r="J3705" t="s">
        <v>16</v>
      </c>
      <c r="K3705">
        <v>486114.54266645201</v>
      </c>
      <c r="L3705" t="s">
        <v>17</v>
      </c>
      <c r="M3705">
        <v>0</v>
      </c>
      <c r="N3705">
        <v>0</v>
      </c>
    </row>
    <row r="3706" spans="2:14" x14ac:dyDescent="0.25">
      <c r="B3706" t="s">
        <v>14</v>
      </c>
      <c r="C3706" s="1">
        <v>46126.999988425923</v>
      </c>
      <c r="D3706">
        <v>25.153777567676201</v>
      </c>
      <c r="E3706">
        <v>0</v>
      </c>
      <c r="F3706" s="1">
        <v>46125.605486111112</v>
      </c>
      <c r="G3706">
        <v>52.8777613425152</v>
      </c>
      <c r="H3706" t="s">
        <v>33</v>
      </c>
      <c r="I3706" s="2"/>
      <c r="J3706" t="s">
        <v>16</v>
      </c>
      <c r="K3706">
        <v>486114.54266645201</v>
      </c>
      <c r="L3706" t="s">
        <v>17</v>
      </c>
      <c r="M3706">
        <v>0</v>
      </c>
      <c r="N3706">
        <v>0</v>
      </c>
    </row>
    <row r="3707" spans="2:14" x14ac:dyDescent="0.25">
      <c r="B3707" t="s">
        <v>14</v>
      </c>
      <c r="C3707" s="1">
        <v>46125.999988425923</v>
      </c>
      <c r="D3707">
        <v>25.153777567676201</v>
      </c>
      <c r="E3707">
        <v>0</v>
      </c>
      <c r="F3707" s="1">
        <v>46125.605486111112</v>
      </c>
      <c r="G3707">
        <v>52.8777613425152</v>
      </c>
      <c r="H3707" t="s">
        <v>33</v>
      </c>
      <c r="I3707" s="2"/>
      <c r="J3707" t="s">
        <v>16</v>
      </c>
      <c r="K3707">
        <v>486114.54266645201</v>
      </c>
      <c r="L3707" t="s">
        <v>17</v>
      </c>
      <c r="M3707">
        <v>0</v>
      </c>
      <c r="N3707">
        <v>0</v>
      </c>
    </row>
    <row r="3708" spans="2:14" x14ac:dyDescent="0.25">
      <c r="B3708" t="s">
        <v>14</v>
      </c>
      <c r="C3708" s="1">
        <v>46124.999988425923</v>
      </c>
      <c r="D3708">
        <v>25.153777567676201</v>
      </c>
      <c r="E3708">
        <v>0</v>
      </c>
      <c r="F3708" s="1">
        <v>46122.099803240744</v>
      </c>
      <c r="G3708">
        <v>52.8777613425152</v>
      </c>
      <c r="H3708" t="s">
        <v>33</v>
      </c>
      <c r="I3708" s="2"/>
      <c r="J3708" t="s">
        <v>16</v>
      </c>
      <c r="K3708">
        <v>486114.54266645201</v>
      </c>
      <c r="L3708" t="s">
        <v>17</v>
      </c>
      <c r="M3708">
        <v>0</v>
      </c>
      <c r="N3708">
        <v>0</v>
      </c>
    </row>
    <row r="3709" spans="2:14" x14ac:dyDescent="0.25">
      <c r="B3709" t="s">
        <v>14</v>
      </c>
      <c r="C3709" s="1">
        <v>46123.999988425923</v>
      </c>
      <c r="D3709">
        <v>25.153777567676201</v>
      </c>
      <c r="E3709">
        <v>0</v>
      </c>
      <c r="F3709" s="1">
        <v>46122.099803240744</v>
      </c>
      <c r="G3709">
        <v>52.8777613425152</v>
      </c>
      <c r="H3709" t="s">
        <v>33</v>
      </c>
      <c r="I3709" s="2"/>
      <c r="J3709" t="s">
        <v>16</v>
      </c>
      <c r="K3709">
        <v>486114.54266645201</v>
      </c>
      <c r="L3709" t="s">
        <v>17</v>
      </c>
      <c r="M3709">
        <v>0</v>
      </c>
      <c r="N3709">
        <v>0</v>
      </c>
    </row>
    <row r="3710" spans="2:14" x14ac:dyDescent="0.25">
      <c r="B3710" t="s">
        <v>14</v>
      </c>
      <c r="C3710" s="1">
        <v>46122.999988425923</v>
      </c>
      <c r="D3710">
        <v>25.153777567676201</v>
      </c>
      <c r="E3710">
        <v>0</v>
      </c>
      <c r="F3710" s="1">
        <v>46122.099803240744</v>
      </c>
      <c r="G3710">
        <v>52.8777613425152</v>
      </c>
      <c r="H3710" t="s">
        <v>33</v>
      </c>
      <c r="I3710" s="2"/>
      <c r="J3710" t="s">
        <v>16</v>
      </c>
      <c r="K3710">
        <v>486114.54266645201</v>
      </c>
      <c r="L3710" t="s">
        <v>17</v>
      </c>
      <c r="M3710">
        <v>0</v>
      </c>
      <c r="N3710">
        <v>0</v>
      </c>
    </row>
    <row r="3711" spans="2:14" x14ac:dyDescent="0.25">
      <c r="B3711" t="s">
        <v>14</v>
      </c>
      <c r="C3711" s="1">
        <v>46121.999988425923</v>
      </c>
      <c r="D3711">
        <v>25.153777567676201</v>
      </c>
      <c r="E3711">
        <v>0</v>
      </c>
      <c r="F3711" s="1">
        <v>46119.606296296297</v>
      </c>
      <c r="G3711">
        <v>52.8777613425152</v>
      </c>
      <c r="H3711" t="s">
        <v>33</v>
      </c>
      <c r="I3711" s="2"/>
      <c r="J3711" t="s">
        <v>16</v>
      </c>
      <c r="K3711">
        <v>486114.54266645201</v>
      </c>
      <c r="L3711" t="s">
        <v>17</v>
      </c>
      <c r="M3711">
        <v>0</v>
      </c>
      <c r="N3711">
        <v>0</v>
      </c>
    </row>
    <row r="3712" spans="2:14" x14ac:dyDescent="0.25">
      <c r="B3712" t="s">
        <v>14</v>
      </c>
      <c r="C3712" s="1">
        <v>46120.999988425923</v>
      </c>
      <c r="D3712">
        <v>25.153777567676201</v>
      </c>
      <c r="E3712">
        <v>0</v>
      </c>
      <c r="F3712" s="1">
        <v>46119.606296296297</v>
      </c>
      <c r="G3712">
        <v>52.8777613425152</v>
      </c>
      <c r="H3712" t="s">
        <v>33</v>
      </c>
      <c r="I3712" s="2"/>
      <c r="J3712" t="s">
        <v>16</v>
      </c>
      <c r="K3712">
        <v>486114.54266645201</v>
      </c>
      <c r="L3712" t="s">
        <v>17</v>
      </c>
      <c r="M3712">
        <v>0</v>
      </c>
      <c r="N3712">
        <v>0</v>
      </c>
    </row>
    <row r="3713" spans="2:14" x14ac:dyDescent="0.25">
      <c r="B3713" t="s">
        <v>14</v>
      </c>
      <c r="C3713" s="1">
        <v>46119.999988425923</v>
      </c>
      <c r="D3713">
        <v>25.153777567676201</v>
      </c>
      <c r="E3713">
        <v>0</v>
      </c>
      <c r="F3713" s="1">
        <v>46119.606296296297</v>
      </c>
      <c r="G3713">
        <v>52.8777613425152</v>
      </c>
      <c r="H3713" t="s">
        <v>33</v>
      </c>
      <c r="I3713" s="2"/>
      <c r="J3713" t="s">
        <v>16</v>
      </c>
      <c r="K3713">
        <v>486114.54266645201</v>
      </c>
      <c r="L3713" t="s">
        <v>17</v>
      </c>
      <c r="M3713">
        <v>0</v>
      </c>
      <c r="N3713">
        <v>0</v>
      </c>
    </row>
    <row r="3714" spans="2:14" x14ac:dyDescent="0.25">
      <c r="B3714" t="s">
        <v>14</v>
      </c>
      <c r="C3714" s="1">
        <v>46118.999988425923</v>
      </c>
      <c r="D3714">
        <v>25.153777567676201</v>
      </c>
      <c r="E3714">
        <v>0</v>
      </c>
      <c r="F3714" s="1">
        <v>46116.099108796298</v>
      </c>
      <c r="G3714">
        <v>52.8777613425152</v>
      </c>
      <c r="H3714" t="s">
        <v>33</v>
      </c>
      <c r="I3714" s="2"/>
      <c r="J3714" t="s">
        <v>16</v>
      </c>
      <c r="K3714">
        <v>486114.54266645201</v>
      </c>
      <c r="L3714" t="s">
        <v>17</v>
      </c>
      <c r="M3714">
        <v>0</v>
      </c>
      <c r="N3714">
        <v>0</v>
      </c>
    </row>
    <row r="3715" spans="2:14" x14ac:dyDescent="0.25">
      <c r="B3715" t="s">
        <v>14</v>
      </c>
      <c r="C3715" s="1">
        <v>46117.999988425923</v>
      </c>
      <c r="D3715">
        <v>25.153777567676201</v>
      </c>
      <c r="E3715">
        <v>0</v>
      </c>
      <c r="F3715" s="1">
        <v>46116.099108796298</v>
      </c>
      <c r="G3715">
        <v>52.8777613425152</v>
      </c>
      <c r="H3715" t="s">
        <v>33</v>
      </c>
      <c r="I3715" s="2"/>
      <c r="J3715" t="s">
        <v>16</v>
      </c>
      <c r="K3715">
        <v>486114.54266645201</v>
      </c>
      <c r="L3715" t="s">
        <v>17</v>
      </c>
      <c r="M3715">
        <v>0</v>
      </c>
      <c r="N3715">
        <v>0</v>
      </c>
    </row>
    <row r="3716" spans="2:14" x14ac:dyDescent="0.25">
      <c r="B3716" t="s">
        <v>14</v>
      </c>
      <c r="C3716" s="1">
        <v>46116.999988425923</v>
      </c>
      <c r="D3716">
        <v>25.153777567676201</v>
      </c>
      <c r="E3716">
        <v>0</v>
      </c>
      <c r="F3716" s="1">
        <v>46116.099108796298</v>
      </c>
      <c r="G3716">
        <v>52.8777613425152</v>
      </c>
      <c r="H3716" t="s">
        <v>33</v>
      </c>
      <c r="I3716" s="2"/>
      <c r="J3716" t="s">
        <v>16</v>
      </c>
      <c r="K3716">
        <v>486114.54266645201</v>
      </c>
      <c r="L3716" t="s">
        <v>17</v>
      </c>
      <c r="M3716">
        <v>0</v>
      </c>
      <c r="N3716">
        <v>0</v>
      </c>
    </row>
    <row r="3717" spans="2:14" x14ac:dyDescent="0.25">
      <c r="B3717" t="s">
        <v>14</v>
      </c>
      <c r="C3717" s="1">
        <v>46115.999988425923</v>
      </c>
      <c r="D3717">
        <v>25.153777567676201</v>
      </c>
      <c r="E3717">
        <v>0</v>
      </c>
      <c r="F3717" s="1">
        <v>46113.605474537035</v>
      </c>
      <c r="G3717">
        <v>52.8777613425152</v>
      </c>
      <c r="H3717" t="s">
        <v>33</v>
      </c>
      <c r="I3717" s="2"/>
      <c r="J3717" t="s">
        <v>16</v>
      </c>
      <c r="K3717">
        <v>486114.54266645201</v>
      </c>
      <c r="L3717" t="s">
        <v>17</v>
      </c>
      <c r="M3717">
        <v>0</v>
      </c>
      <c r="N3717">
        <v>0</v>
      </c>
    </row>
    <row r="3718" spans="2:14" x14ac:dyDescent="0.25">
      <c r="B3718" t="s">
        <v>14</v>
      </c>
      <c r="C3718" s="1">
        <v>46114.999988425923</v>
      </c>
      <c r="D3718">
        <v>25.153777567676201</v>
      </c>
      <c r="E3718">
        <v>0</v>
      </c>
      <c r="F3718" s="1">
        <v>46113.605474537035</v>
      </c>
      <c r="G3718">
        <v>52.8777613425152</v>
      </c>
      <c r="H3718" t="s">
        <v>33</v>
      </c>
      <c r="I3718" s="2"/>
      <c r="J3718" t="s">
        <v>16</v>
      </c>
      <c r="K3718">
        <v>486114.54266645201</v>
      </c>
      <c r="L3718" t="s">
        <v>17</v>
      </c>
      <c r="M3718">
        <v>0</v>
      </c>
      <c r="N3718">
        <v>0</v>
      </c>
    </row>
    <row r="3719" spans="2:14" x14ac:dyDescent="0.25">
      <c r="B3719" t="s">
        <v>14</v>
      </c>
      <c r="C3719" s="1">
        <v>46113.999988425923</v>
      </c>
      <c r="D3719">
        <v>25.153777567676201</v>
      </c>
      <c r="E3719">
        <v>0</v>
      </c>
      <c r="F3719" s="1">
        <v>46113.605474537035</v>
      </c>
      <c r="G3719">
        <v>52.8777613425152</v>
      </c>
      <c r="H3719" t="s">
        <v>33</v>
      </c>
      <c r="I3719" s="2"/>
      <c r="J3719" t="s">
        <v>16</v>
      </c>
      <c r="K3719">
        <v>486114.54266645201</v>
      </c>
      <c r="L3719" t="s">
        <v>17</v>
      </c>
      <c r="M3719">
        <v>0</v>
      </c>
      <c r="N3719">
        <v>0</v>
      </c>
    </row>
    <row r="3720" spans="2:14" x14ac:dyDescent="0.25">
      <c r="B3720" t="s">
        <v>14</v>
      </c>
      <c r="C3720" s="1">
        <v>46112.999988425923</v>
      </c>
      <c r="D3720">
        <v>25.153777567676201</v>
      </c>
      <c r="E3720">
        <v>0</v>
      </c>
      <c r="F3720" s="1">
        <v>46110.099803240744</v>
      </c>
      <c r="G3720">
        <v>52.8777613425152</v>
      </c>
      <c r="H3720" t="s">
        <v>33</v>
      </c>
      <c r="I3720" s="2"/>
      <c r="J3720" t="s">
        <v>16</v>
      </c>
      <c r="K3720">
        <v>486114.54266645201</v>
      </c>
      <c r="L3720" t="s">
        <v>17</v>
      </c>
      <c r="M3720">
        <v>0</v>
      </c>
      <c r="N3720">
        <v>0</v>
      </c>
    </row>
    <row r="3721" spans="2:14" x14ac:dyDescent="0.25">
      <c r="B3721" t="s">
        <v>14</v>
      </c>
      <c r="C3721" s="1">
        <v>46111.999988425923</v>
      </c>
      <c r="D3721">
        <v>25.153777567676201</v>
      </c>
      <c r="E3721">
        <v>0</v>
      </c>
      <c r="F3721" s="1">
        <v>46110.099803240744</v>
      </c>
      <c r="G3721">
        <v>52.8777613425152</v>
      </c>
      <c r="H3721" t="s">
        <v>33</v>
      </c>
      <c r="I3721" s="2"/>
      <c r="J3721" t="s">
        <v>16</v>
      </c>
      <c r="K3721">
        <v>486114.54266645201</v>
      </c>
      <c r="L3721" t="s">
        <v>17</v>
      </c>
      <c r="M3721">
        <v>0</v>
      </c>
      <c r="N3721">
        <v>0</v>
      </c>
    </row>
    <row r="3722" spans="2:14" x14ac:dyDescent="0.25">
      <c r="B3722" t="s">
        <v>14</v>
      </c>
      <c r="C3722" s="1">
        <v>46110.999988425923</v>
      </c>
      <c r="D3722">
        <v>25.153777567676201</v>
      </c>
      <c r="E3722">
        <v>0</v>
      </c>
      <c r="F3722" s="1">
        <v>46110.099803240744</v>
      </c>
      <c r="G3722">
        <v>52.8777613425152</v>
      </c>
      <c r="H3722" t="s">
        <v>33</v>
      </c>
      <c r="I3722" s="2"/>
      <c r="J3722" t="s">
        <v>16</v>
      </c>
      <c r="K3722">
        <v>486114.54266645201</v>
      </c>
      <c r="L3722" t="s">
        <v>17</v>
      </c>
      <c r="M3722">
        <v>0</v>
      </c>
      <c r="N3722">
        <v>0</v>
      </c>
    </row>
    <row r="3723" spans="2:14" x14ac:dyDescent="0.25">
      <c r="B3723" t="s">
        <v>14</v>
      </c>
      <c r="C3723" s="1">
        <v>46109.999988425923</v>
      </c>
      <c r="D3723">
        <v>25.153777567676201</v>
      </c>
      <c r="E3723">
        <v>486114.54266645201</v>
      </c>
      <c r="F3723" s="1">
        <v>46107.606296296297</v>
      </c>
      <c r="G3723">
        <v>52.8777613425152</v>
      </c>
      <c r="H3723" t="s">
        <v>33</v>
      </c>
      <c r="I3723" s="2"/>
      <c r="J3723" t="s">
        <v>16</v>
      </c>
      <c r="K3723">
        <v>486114.54266645201</v>
      </c>
      <c r="L3723" t="s">
        <v>17</v>
      </c>
      <c r="M3723">
        <v>486114.54266645201</v>
      </c>
      <c r="N3723">
        <v>1</v>
      </c>
    </row>
    <row r="3724" spans="2:14" x14ac:dyDescent="0.25">
      <c r="B3724" t="s">
        <v>14</v>
      </c>
      <c r="C3724" s="1">
        <v>46108.999988425923</v>
      </c>
      <c r="D3724">
        <v>25.153777567676201</v>
      </c>
      <c r="E3724">
        <v>486114.54266645201</v>
      </c>
      <c r="F3724" s="1">
        <v>46107.606296296297</v>
      </c>
      <c r="G3724">
        <v>52.8777613425152</v>
      </c>
      <c r="H3724" t="s">
        <v>33</v>
      </c>
      <c r="I3724" s="2"/>
      <c r="J3724" t="s">
        <v>16</v>
      </c>
      <c r="K3724">
        <v>486114.54266645201</v>
      </c>
      <c r="L3724" t="s">
        <v>17</v>
      </c>
      <c r="M3724">
        <v>0</v>
      </c>
      <c r="N3724">
        <v>1</v>
      </c>
    </row>
    <row r="3725" spans="2:14" x14ac:dyDescent="0.25">
      <c r="B3725" t="s">
        <v>14</v>
      </c>
      <c r="C3725" s="1">
        <v>46107.999988425923</v>
      </c>
      <c r="D3725">
        <v>25.153777567676201</v>
      </c>
      <c r="E3725">
        <v>486114.54266645201</v>
      </c>
      <c r="F3725" s="1">
        <v>46107.606296296297</v>
      </c>
      <c r="G3725">
        <v>52.8777613425152</v>
      </c>
      <c r="H3725" t="s">
        <v>33</v>
      </c>
      <c r="I3725" s="2"/>
      <c r="J3725" t="s">
        <v>16</v>
      </c>
      <c r="K3725">
        <v>486114.54266645201</v>
      </c>
      <c r="L3725" t="s">
        <v>17</v>
      </c>
      <c r="M3725">
        <v>0</v>
      </c>
      <c r="N3725">
        <v>1</v>
      </c>
    </row>
    <row r="3726" spans="2:14" x14ac:dyDescent="0.25">
      <c r="B3726" t="s">
        <v>14</v>
      </c>
      <c r="C3726" s="1">
        <v>46106.999988425923</v>
      </c>
      <c r="D3726">
        <v>25.153777567676201</v>
      </c>
      <c r="E3726">
        <v>0</v>
      </c>
      <c r="F3726" s="1">
        <v>46104.099108796298</v>
      </c>
      <c r="G3726">
        <v>52.8777613425152</v>
      </c>
      <c r="H3726" t="s">
        <v>33</v>
      </c>
      <c r="I3726" s="2"/>
      <c r="J3726" t="s">
        <v>16</v>
      </c>
      <c r="K3726">
        <v>486114.54266645201</v>
      </c>
      <c r="L3726" t="s">
        <v>17</v>
      </c>
      <c r="M3726">
        <v>-486114.54266645201</v>
      </c>
      <c r="N3726">
        <v>0</v>
      </c>
    </row>
    <row r="3727" spans="2:14" x14ac:dyDescent="0.25">
      <c r="B3727" t="s">
        <v>14</v>
      </c>
      <c r="C3727" s="1">
        <v>46105.999988425923</v>
      </c>
      <c r="D3727">
        <v>25.153777567676201</v>
      </c>
      <c r="E3727">
        <v>0</v>
      </c>
      <c r="F3727" s="1">
        <v>46104.099108796298</v>
      </c>
      <c r="G3727">
        <v>52.8777613425152</v>
      </c>
      <c r="H3727" t="s">
        <v>33</v>
      </c>
      <c r="I3727" s="2"/>
      <c r="J3727" t="s">
        <v>16</v>
      </c>
      <c r="K3727">
        <v>486114.54266645201</v>
      </c>
      <c r="L3727" t="s">
        <v>17</v>
      </c>
      <c r="M3727">
        <v>0</v>
      </c>
      <c r="N3727">
        <v>0</v>
      </c>
    </row>
    <row r="3728" spans="2:14" x14ac:dyDescent="0.25">
      <c r="B3728" t="s">
        <v>14</v>
      </c>
      <c r="C3728" s="1">
        <v>46104.999988425923</v>
      </c>
      <c r="D3728">
        <v>25.153777567676201</v>
      </c>
      <c r="E3728">
        <v>0</v>
      </c>
      <c r="F3728" s="1">
        <v>46104.099108796298</v>
      </c>
      <c r="G3728">
        <v>52.8777613425152</v>
      </c>
      <c r="H3728" t="s">
        <v>33</v>
      </c>
      <c r="I3728" s="2"/>
      <c r="J3728" t="s">
        <v>16</v>
      </c>
      <c r="K3728">
        <v>486114.54266645201</v>
      </c>
      <c r="L3728" t="s">
        <v>17</v>
      </c>
      <c r="M3728">
        <v>0</v>
      </c>
      <c r="N3728">
        <v>0</v>
      </c>
    </row>
    <row r="3729" spans="2:14" x14ac:dyDescent="0.25">
      <c r="B3729" t="s">
        <v>14</v>
      </c>
      <c r="C3729" s="1">
        <v>46103.999988425923</v>
      </c>
      <c r="D3729">
        <v>25.153777567676201</v>
      </c>
      <c r="E3729">
        <v>0</v>
      </c>
      <c r="F3729" s="1">
        <v>46101.605474537035</v>
      </c>
      <c r="G3729">
        <v>52.8777613425152</v>
      </c>
      <c r="H3729" t="s">
        <v>33</v>
      </c>
      <c r="I3729" s="2"/>
      <c r="J3729" t="s">
        <v>16</v>
      </c>
      <c r="K3729">
        <v>486114.54266645201</v>
      </c>
      <c r="L3729" t="s">
        <v>17</v>
      </c>
      <c r="M3729">
        <v>0</v>
      </c>
      <c r="N3729">
        <v>0</v>
      </c>
    </row>
    <row r="3730" spans="2:14" x14ac:dyDescent="0.25">
      <c r="B3730" t="s">
        <v>14</v>
      </c>
      <c r="C3730" s="1">
        <v>46102.999988425923</v>
      </c>
      <c r="D3730">
        <v>25.153777567676201</v>
      </c>
      <c r="E3730">
        <v>0</v>
      </c>
      <c r="F3730" s="1">
        <v>46101.605474537035</v>
      </c>
      <c r="G3730">
        <v>52.8777613425152</v>
      </c>
      <c r="H3730" t="s">
        <v>33</v>
      </c>
      <c r="I3730" s="2"/>
      <c r="J3730" t="s">
        <v>16</v>
      </c>
      <c r="K3730">
        <v>486114.54266645201</v>
      </c>
      <c r="L3730" t="s">
        <v>17</v>
      </c>
      <c r="M3730">
        <v>0</v>
      </c>
      <c r="N3730">
        <v>0</v>
      </c>
    </row>
    <row r="3731" spans="2:14" x14ac:dyDescent="0.25">
      <c r="B3731" t="s">
        <v>14</v>
      </c>
      <c r="C3731" s="1">
        <v>46101.999988425923</v>
      </c>
      <c r="D3731">
        <v>25.153777567676201</v>
      </c>
      <c r="E3731">
        <v>0</v>
      </c>
      <c r="F3731" s="1">
        <v>46101.605474537035</v>
      </c>
      <c r="G3731">
        <v>52.8777613425152</v>
      </c>
      <c r="H3731" t="s">
        <v>33</v>
      </c>
      <c r="I3731" s="2"/>
      <c r="J3731" t="s">
        <v>16</v>
      </c>
      <c r="K3731">
        <v>486114.54266645201</v>
      </c>
      <c r="L3731" t="s">
        <v>17</v>
      </c>
      <c r="M3731">
        <v>0</v>
      </c>
      <c r="N3731">
        <v>0</v>
      </c>
    </row>
    <row r="3732" spans="2:14" x14ac:dyDescent="0.25">
      <c r="B3732" t="s">
        <v>14</v>
      </c>
      <c r="C3732" s="1">
        <v>46100.999988425923</v>
      </c>
      <c r="D3732">
        <v>25.153777567676201</v>
      </c>
      <c r="E3732">
        <v>0</v>
      </c>
      <c r="F3732" s="1">
        <v>46098.099803240744</v>
      </c>
      <c r="G3732">
        <v>52.8777613425152</v>
      </c>
      <c r="H3732" t="s">
        <v>33</v>
      </c>
      <c r="I3732" s="2"/>
      <c r="J3732" t="s">
        <v>16</v>
      </c>
      <c r="K3732">
        <v>486114.54266645201</v>
      </c>
      <c r="L3732" t="s">
        <v>17</v>
      </c>
      <c r="M3732">
        <v>0</v>
      </c>
      <c r="N3732">
        <v>0</v>
      </c>
    </row>
    <row r="3733" spans="2:14" x14ac:dyDescent="0.25">
      <c r="B3733" t="s">
        <v>14</v>
      </c>
      <c r="C3733" s="1">
        <v>46099.999988425923</v>
      </c>
      <c r="D3733">
        <v>25.153777567676201</v>
      </c>
      <c r="E3733">
        <v>0</v>
      </c>
      <c r="F3733" s="1">
        <v>46098.099803240744</v>
      </c>
      <c r="G3733">
        <v>52.8777613425152</v>
      </c>
      <c r="H3733" t="s">
        <v>33</v>
      </c>
      <c r="I3733" s="2"/>
      <c r="J3733" t="s">
        <v>16</v>
      </c>
      <c r="K3733">
        <v>486114.54266645201</v>
      </c>
      <c r="L3733" t="s">
        <v>17</v>
      </c>
      <c r="M3733">
        <v>0</v>
      </c>
      <c r="N3733">
        <v>0</v>
      </c>
    </row>
    <row r="3734" spans="2:14" x14ac:dyDescent="0.25">
      <c r="B3734" t="s">
        <v>14</v>
      </c>
      <c r="C3734" s="1">
        <v>46098.999988425923</v>
      </c>
      <c r="D3734">
        <v>25.153777567676201</v>
      </c>
      <c r="E3734">
        <v>0</v>
      </c>
      <c r="F3734" s="1">
        <v>46098.099803240744</v>
      </c>
      <c r="G3734">
        <v>52.8777613425152</v>
      </c>
      <c r="H3734" t="s">
        <v>33</v>
      </c>
      <c r="I3734" s="2"/>
      <c r="J3734" t="s">
        <v>16</v>
      </c>
      <c r="K3734">
        <v>486114.54266645201</v>
      </c>
      <c r="L3734" t="s">
        <v>17</v>
      </c>
      <c r="M3734">
        <v>0</v>
      </c>
      <c r="N3734">
        <v>0</v>
      </c>
    </row>
    <row r="3735" spans="2:14" x14ac:dyDescent="0.25">
      <c r="B3735" t="s">
        <v>14</v>
      </c>
      <c r="C3735" s="1">
        <v>46097.999988425923</v>
      </c>
      <c r="D3735">
        <v>25.153777567676201</v>
      </c>
      <c r="E3735">
        <v>393412.58580024599</v>
      </c>
      <c r="F3735" s="1">
        <v>46095.606296296297</v>
      </c>
      <c r="G3735">
        <v>52.8777613425152</v>
      </c>
      <c r="H3735" t="s">
        <v>33</v>
      </c>
      <c r="I3735" s="2"/>
      <c r="J3735" t="s">
        <v>16</v>
      </c>
      <c r="K3735">
        <v>486114.54266645201</v>
      </c>
      <c r="L3735" t="s">
        <v>17</v>
      </c>
      <c r="M3735">
        <v>393412.58580024599</v>
      </c>
      <c r="N3735">
        <v>0.80930017777761898</v>
      </c>
    </row>
    <row r="3736" spans="2:14" x14ac:dyDescent="0.25">
      <c r="B3736" t="s">
        <v>14</v>
      </c>
      <c r="C3736" s="1">
        <v>46096.999988425923</v>
      </c>
      <c r="D3736">
        <v>25.153777567676201</v>
      </c>
      <c r="E3736">
        <v>393412.58580024599</v>
      </c>
      <c r="F3736" s="1">
        <v>46095.606296296297</v>
      </c>
      <c r="G3736">
        <v>52.8777613425152</v>
      </c>
      <c r="H3736" t="s">
        <v>33</v>
      </c>
      <c r="I3736" s="2"/>
      <c r="J3736" t="s">
        <v>16</v>
      </c>
      <c r="K3736">
        <v>486114.54266645201</v>
      </c>
      <c r="L3736" t="s">
        <v>17</v>
      </c>
      <c r="M3736">
        <v>0</v>
      </c>
      <c r="N3736">
        <v>0.80930017777761898</v>
      </c>
    </row>
    <row r="3737" spans="2:14" x14ac:dyDescent="0.25">
      <c r="B3737" t="s">
        <v>14</v>
      </c>
      <c r="C3737" s="1">
        <v>46095.999988425923</v>
      </c>
      <c r="D3737">
        <v>25.153777567676201</v>
      </c>
      <c r="E3737">
        <v>393412.58580024599</v>
      </c>
      <c r="F3737" s="1">
        <v>46095.606296296297</v>
      </c>
      <c r="G3737">
        <v>52.8777613425152</v>
      </c>
      <c r="H3737" t="s">
        <v>33</v>
      </c>
      <c r="I3737" s="2"/>
      <c r="J3737" t="s">
        <v>16</v>
      </c>
      <c r="K3737">
        <v>486114.54266645201</v>
      </c>
      <c r="L3737" t="s">
        <v>17</v>
      </c>
      <c r="M3737">
        <v>0</v>
      </c>
      <c r="N3737">
        <v>0.80930017777761898</v>
      </c>
    </row>
    <row r="3738" spans="2:14" x14ac:dyDescent="0.25">
      <c r="B3738" t="s">
        <v>14</v>
      </c>
      <c r="C3738" s="1">
        <v>46094.999988425923</v>
      </c>
      <c r="D3738">
        <v>25.153777567676201</v>
      </c>
      <c r="E3738">
        <v>376278.46895954001</v>
      </c>
      <c r="F3738" s="1">
        <v>46092.099097222221</v>
      </c>
      <c r="G3738">
        <v>52.8777613425152</v>
      </c>
      <c r="H3738" t="s">
        <v>33</v>
      </c>
      <c r="I3738" s="2"/>
      <c r="J3738" t="s">
        <v>16</v>
      </c>
      <c r="K3738">
        <v>486114.54266645201</v>
      </c>
      <c r="L3738" t="s">
        <v>17</v>
      </c>
      <c r="M3738">
        <v>-17134.116840705501</v>
      </c>
      <c r="N3738">
        <v>0.77405310052146303</v>
      </c>
    </row>
    <row r="3739" spans="2:14" x14ac:dyDescent="0.25">
      <c r="B3739" t="s">
        <v>14</v>
      </c>
      <c r="C3739" s="1">
        <v>46093.999988425923</v>
      </c>
      <c r="D3739">
        <v>25.153777567676201</v>
      </c>
      <c r="E3739">
        <v>376278.46895954001</v>
      </c>
      <c r="F3739" s="1">
        <v>46092.099097222221</v>
      </c>
      <c r="G3739">
        <v>52.8777613425152</v>
      </c>
      <c r="H3739" t="s">
        <v>33</v>
      </c>
      <c r="I3739" s="2"/>
      <c r="J3739" t="s">
        <v>16</v>
      </c>
      <c r="K3739">
        <v>486114.54266645201</v>
      </c>
      <c r="L3739" t="s">
        <v>17</v>
      </c>
      <c r="M3739">
        <v>0</v>
      </c>
      <c r="N3739">
        <v>0.77405310052146303</v>
      </c>
    </row>
    <row r="3740" spans="2:14" x14ac:dyDescent="0.25">
      <c r="B3740" t="s">
        <v>14</v>
      </c>
      <c r="C3740" s="1">
        <v>46092.999988425923</v>
      </c>
      <c r="D3740">
        <v>25.153777567676201</v>
      </c>
      <c r="E3740">
        <v>376278.46895954001</v>
      </c>
      <c r="F3740" s="1">
        <v>46092.099097222221</v>
      </c>
      <c r="G3740">
        <v>52.8777613425152</v>
      </c>
      <c r="H3740" t="s">
        <v>33</v>
      </c>
      <c r="I3740" s="2"/>
      <c r="J3740" t="s">
        <v>16</v>
      </c>
      <c r="K3740">
        <v>486114.54266645201</v>
      </c>
      <c r="L3740" t="s">
        <v>17</v>
      </c>
      <c r="M3740">
        <v>0</v>
      </c>
      <c r="N3740">
        <v>0.77405310052146303</v>
      </c>
    </row>
    <row r="3741" spans="2:14" x14ac:dyDescent="0.25">
      <c r="B3741" t="s">
        <v>14</v>
      </c>
      <c r="C3741" s="1">
        <v>46091.999988425923</v>
      </c>
      <c r="D3741">
        <v>25.153777567676201</v>
      </c>
      <c r="E3741">
        <v>334760.55695438897</v>
      </c>
      <c r="F3741" s="1">
        <v>46089.605474537035</v>
      </c>
      <c r="G3741">
        <v>52.8777613425152</v>
      </c>
      <c r="H3741" t="s">
        <v>33</v>
      </c>
      <c r="I3741" s="2"/>
      <c r="J3741" t="s">
        <v>16</v>
      </c>
      <c r="K3741">
        <v>486114.54266645201</v>
      </c>
      <c r="L3741" t="s">
        <v>17</v>
      </c>
      <c r="M3741">
        <v>-41517.912005150902</v>
      </c>
      <c r="N3741">
        <v>0.68864542730639</v>
      </c>
    </row>
    <row r="3742" spans="2:14" x14ac:dyDescent="0.25">
      <c r="B3742" t="s">
        <v>14</v>
      </c>
      <c r="C3742" s="1">
        <v>46090.999988425923</v>
      </c>
      <c r="D3742">
        <v>25.153777567676201</v>
      </c>
      <c r="E3742">
        <v>334760.55695438897</v>
      </c>
      <c r="F3742" s="1">
        <v>46089.605474537035</v>
      </c>
      <c r="G3742">
        <v>52.8777613425152</v>
      </c>
      <c r="H3742" t="s">
        <v>33</v>
      </c>
      <c r="I3742" s="2"/>
      <c r="J3742" t="s">
        <v>16</v>
      </c>
      <c r="K3742">
        <v>486114.54266645201</v>
      </c>
      <c r="L3742" t="s">
        <v>17</v>
      </c>
      <c r="M3742">
        <v>0</v>
      </c>
      <c r="N3742">
        <v>0.68864542730639</v>
      </c>
    </row>
    <row r="3743" spans="2:14" x14ac:dyDescent="0.25">
      <c r="B3743" t="s">
        <v>14</v>
      </c>
      <c r="C3743" s="1">
        <v>46089.999988425923</v>
      </c>
      <c r="D3743">
        <v>25.153777567676201</v>
      </c>
      <c r="E3743">
        <v>334760.55695438897</v>
      </c>
      <c r="F3743" s="1">
        <v>46089.605474537035</v>
      </c>
      <c r="G3743">
        <v>52.8777613425152</v>
      </c>
      <c r="H3743" t="s">
        <v>33</v>
      </c>
      <c r="I3743" s="2"/>
      <c r="J3743" t="s">
        <v>16</v>
      </c>
      <c r="K3743">
        <v>486114.54266645201</v>
      </c>
      <c r="L3743" t="s">
        <v>17</v>
      </c>
      <c r="M3743">
        <v>0</v>
      </c>
      <c r="N3743">
        <v>0.68864542730639</v>
      </c>
    </row>
    <row r="3744" spans="2:14" x14ac:dyDescent="0.25">
      <c r="B3744" t="s">
        <v>14</v>
      </c>
      <c r="C3744" s="1">
        <v>46088.999988425923</v>
      </c>
      <c r="D3744">
        <v>25.153777567676201</v>
      </c>
      <c r="E3744">
        <v>286447.27311433997</v>
      </c>
      <c r="F3744" s="1">
        <v>46086.099803240744</v>
      </c>
      <c r="G3744">
        <v>52.8777613425152</v>
      </c>
      <c r="H3744" t="s">
        <v>33</v>
      </c>
      <c r="I3744" s="2"/>
      <c r="J3744" t="s">
        <v>16</v>
      </c>
      <c r="K3744">
        <v>486114.54266645201</v>
      </c>
      <c r="L3744" t="s">
        <v>17</v>
      </c>
      <c r="M3744">
        <v>-48313.283840049102</v>
      </c>
      <c r="N3744">
        <v>0.58925880213973802</v>
      </c>
    </row>
    <row r="3745" spans="2:14" x14ac:dyDescent="0.25">
      <c r="B3745" t="s">
        <v>14</v>
      </c>
      <c r="C3745" s="1">
        <v>46087.999988425923</v>
      </c>
      <c r="D3745">
        <v>25.153777567676201</v>
      </c>
      <c r="E3745">
        <v>286447.27311433997</v>
      </c>
      <c r="F3745" s="1">
        <v>46086.099803240744</v>
      </c>
      <c r="G3745">
        <v>52.8777613425152</v>
      </c>
      <c r="H3745" t="s">
        <v>33</v>
      </c>
      <c r="I3745" s="2"/>
      <c r="J3745" t="s">
        <v>16</v>
      </c>
      <c r="K3745">
        <v>486114.54266645201</v>
      </c>
      <c r="L3745" t="s">
        <v>17</v>
      </c>
      <c r="M3745">
        <v>0</v>
      </c>
      <c r="N3745">
        <v>0.58925880213973802</v>
      </c>
    </row>
    <row r="3746" spans="2:14" x14ac:dyDescent="0.25">
      <c r="B3746" t="s">
        <v>14</v>
      </c>
      <c r="C3746" s="1">
        <v>46086.999988425923</v>
      </c>
      <c r="D3746">
        <v>25.153777567676201</v>
      </c>
      <c r="E3746">
        <v>286447.27311433997</v>
      </c>
      <c r="F3746" s="1">
        <v>46086.099803240744</v>
      </c>
      <c r="G3746">
        <v>52.8777613425152</v>
      </c>
      <c r="H3746" t="s">
        <v>33</v>
      </c>
      <c r="I3746" s="2"/>
      <c r="J3746" t="s">
        <v>16</v>
      </c>
      <c r="K3746">
        <v>486114.54266645201</v>
      </c>
      <c r="L3746" t="s">
        <v>17</v>
      </c>
      <c r="M3746">
        <v>0</v>
      </c>
      <c r="N3746">
        <v>0.58925880213973802</v>
      </c>
    </row>
    <row r="3747" spans="2:14" x14ac:dyDescent="0.25">
      <c r="B3747" t="s">
        <v>14</v>
      </c>
      <c r="C3747" s="1">
        <v>46085.999988425923</v>
      </c>
      <c r="D3747">
        <v>25.153777567676201</v>
      </c>
      <c r="E3747">
        <v>235684.294277059</v>
      </c>
      <c r="F3747" s="1">
        <v>46083.60628472222</v>
      </c>
      <c r="G3747">
        <v>52.8777613425152</v>
      </c>
      <c r="H3747" t="s">
        <v>33</v>
      </c>
      <c r="I3747" s="2"/>
      <c r="J3747" t="s">
        <v>16</v>
      </c>
      <c r="K3747">
        <v>486114.54266645201</v>
      </c>
      <c r="L3747" t="s">
        <v>17</v>
      </c>
      <c r="M3747">
        <v>-50762.978837281298</v>
      </c>
      <c r="N3747">
        <v>0.48483283998103699</v>
      </c>
    </row>
    <row r="3748" spans="2:14" x14ac:dyDescent="0.25">
      <c r="B3748" t="s">
        <v>14</v>
      </c>
      <c r="C3748" s="1">
        <v>46084.999988425923</v>
      </c>
      <c r="D3748">
        <v>25.153777567676201</v>
      </c>
      <c r="E3748">
        <v>235684.294277059</v>
      </c>
      <c r="F3748" s="1">
        <v>46083.60628472222</v>
      </c>
      <c r="G3748">
        <v>52.8777613425152</v>
      </c>
      <c r="H3748" t="s">
        <v>33</v>
      </c>
      <c r="I3748" s="2"/>
      <c r="J3748" t="s">
        <v>16</v>
      </c>
      <c r="K3748">
        <v>486114.54266645201</v>
      </c>
      <c r="L3748" t="s">
        <v>17</v>
      </c>
      <c r="M3748">
        <v>0</v>
      </c>
      <c r="N3748">
        <v>0.48483283998103699</v>
      </c>
    </row>
    <row r="3749" spans="2:14" x14ac:dyDescent="0.25">
      <c r="B3749" t="s">
        <v>14</v>
      </c>
      <c r="C3749" s="1">
        <v>46083.999988425923</v>
      </c>
      <c r="D3749">
        <v>25.153777567676201</v>
      </c>
      <c r="E3749">
        <v>235684.294277059</v>
      </c>
      <c r="F3749" s="1">
        <v>46083.60628472222</v>
      </c>
      <c r="G3749">
        <v>52.8777613425152</v>
      </c>
      <c r="H3749" t="s">
        <v>33</v>
      </c>
      <c r="I3749" s="2"/>
      <c r="J3749" t="s">
        <v>16</v>
      </c>
      <c r="K3749">
        <v>486114.54266645201</v>
      </c>
      <c r="L3749" t="s">
        <v>17</v>
      </c>
      <c r="M3749">
        <v>0</v>
      </c>
      <c r="N3749">
        <v>0.48483283998103699</v>
      </c>
    </row>
    <row r="3750" spans="2:14" x14ac:dyDescent="0.25">
      <c r="B3750" t="s">
        <v>14</v>
      </c>
      <c r="C3750" s="1">
        <v>46082.999988425923</v>
      </c>
      <c r="D3750">
        <v>25.153777567676201</v>
      </c>
      <c r="E3750">
        <v>153473.03647489901</v>
      </c>
      <c r="F3750" s="1">
        <v>46080.099097222221</v>
      </c>
      <c r="G3750">
        <v>52.8777613425152</v>
      </c>
      <c r="H3750" t="s">
        <v>33</v>
      </c>
      <c r="I3750" s="2"/>
      <c r="J3750" t="s">
        <v>16</v>
      </c>
      <c r="K3750">
        <v>486114.54266645201</v>
      </c>
      <c r="L3750" t="s">
        <v>17</v>
      </c>
      <c r="M3750">
        <v>-82211.257802159394</v>
      </c>
      <c r="N3750">
        <v>0.31571373206212699</v>
      </c>
    </row>
    <row r="3751" spans="2:14" x14ac:dyDescent="0.25">
      <c r="B3751" t="s">
        <v>14</v>
      </c>
      <c r="C3751" s="1">
        <v>46081.999988425923</v>
      </c>
      <c r="D3751">
        <v>25.153777567676201</v>
      </c>
      <c r="E3751">
        <v>153473.03647489901</v>
      </c>
      <c r="F3751" s="1">
        <v>46080.099097222221</v>
      </c>
      <c r="G3751">
        <v>52.8777613425152</v>
      </c>
      <c r="H3751" t="s">
        <v>33</v>
      </c>
      <c r="I3751" s="2"/>
      <c r="J3751" t="s">
        <v>16</v>
      </c>
      <c r="K3751">
        <v>486114.54266645201</v>
      </c>
      <c r="L3751" t="s">
        <v>17</v>
      </c>
      <c r="M3751">
        <v>0</v>
      </c>
      <c r="N3751">
        <v>0.31571373206212699</v>
      </c>
    </row>
    <row r="3752" spans="2:14" x14ac:dyDescent="0.25">
      <c r="B3752" t="s">
        <v>14</v>
      </c>
      <c r="C3752" s="1">
        <v>46080.999988425923</v>
      </c>
      <c r="D3752">
        <v>25.153777567676201</v>
      </c>
      <c r="E3752">
        <v>153473.03647489901</v>
      </c>
      <c r="F3752" s="1">
        <v>46080.099097222221</v>
      </c>
      <c r="G3752">
        <v>52.8777613425152</v>
      </c>
      <c r="H3752" t="s">
        <v>33</v>
      </c>
      <c r="I3752" s="2"/>
      <c r="J3752" t="s">
        <v>16</v>
      </c>
      <c r="K3752">
        <v>486114.54266645201</v>
      </c>
      <c r="L3752" t="s">
        <v>17</v>
      </c>
      <c r="M3752">
        <v>0</v>
      </c>
      <c r="N3752">
        <v>0.31571373206212699</v>
      </c>
    </row>
    <row r="3753" spans="2:14" x14ac:dyDescent="0.25">
      <c r="B3753" t="s">
        <v>14</v>
      </c>
      <c r="C3753" s="1">
        <v>46079.999988425923</v>
      </c>
      <c r="D3753">
        <v>25.153777567676201</v>
      </c>
      <c r="E3753">
        <v>105233.883075055</v>
      </c>
      <c r="F3753" s="1">
        <v>46077.605474537035</v>
      </c>
      <c r="G3753">
        <v>52.8777613425152</v>
      </c>
      <c r="H3753" t="s">
        <v>33</v>
      </c>
      <c r="I3753" s="2"/>
      <c r="J3753" t="s">
        <v>16</v>
      </c>
      <c r="K3753">
        <v>486114.54266645201</v>
      </c>
      <c r="L3753" t="s">
        <v>17</v>
      </c>
      <c r="M3753">
        <v>-48239.153399843999</v>
      </c>
      <c r="N3753">
        <v>0.216479602724541</v>
      </c>
    </row>
    <row r="3754" spans="2:14" x14ac:dyDescent="0.25">
      <c r="B3754" t="s">
        <v>14</v>
      </c>
      <c r="C3754" s="1">
        <v>46078.999988425923</v>
      </c>
      <c r="D3754">
        <v>25.153777567676201</v>
      </c>
      <c r="E3754">
        <v>105233.883075055</v>
      </c>
      <c r="F3754" s="1">
        <v>46077.605474537035</v>
      </c>
      <c r="G3754">
        <v>52.8777613425152</v>
      </c>
      <c r="H3754" t="s">
        <v>33</v>
      </c>
      <c r="I3754" s="2"/>
      <c r="J3754" t="s">
        <v>16</v>
      </c>
      <c r="K3754">
        <v>486114.54266645201</v>
      </c>
      <c r="L3754" t="s">
        <v>17</v>
      </c>
      <c r="M3754">
        <v>0</v>
      </c>
      <c r="N3754">
        <v>0.216479602724541</v>
      </c>
    </row>
    <row r="3755" spans="2:14" x14ac:dyDescent="0.25">
      <c r="B3755" t="s">
        <v>14</v>
      </c>
      <c r="C3755" s="1">
        <v>46077.999988425923</v>
      </c>
      <c r="D3755">
        <v>25.153777567676201</v>
      </c>
      <c r="E3755">
        <v>105233.883075055</v>
      </c>
      <c r="F3755" s="1">
        <v>46077.605474537035</v>
      </c>
      <c r="G3755">
        <v>52.8777613425152</v>
      </c>
      <c r="H3755" t="s">
        <v>33</v>
      </c>
      <c r="I3755" s="2"/>
      <c r="J3755" t="s">
        <v>16</v>
      </c>
      <c r="K3755">
        <v>486114.54266645201</v>
      </c>
      <c r="L3755" t="s">
        <v>17</v>
      </c>
      <c r="M3755">
        <v>0</v>
      </c>
      <c r="N3755">
        <v>0.216479602724541</v>
      </c>
    </row>
    <row r="3756" spans="2:14" x14ac:dyDescent="0.25">
      <c r="B3756" t="s">
        <v>14</v>
      </c>
      <c r="C3756" s="1">
        <v>46076.999988425923</v>
      </c>
      <c r="D3756">
        <v>25.153777567676201</v>
      </c>
      <c r="E3756">
        <v>17198.165029278702</v>
      </c>
      <c r="F3756" s="1">
        <v>46074.099803240744</v>
      </c>
      <c r="G3756">
        <v>52.8777613425152</v>
      </c>
      <c r="H3756" t="s">
        <v>33</v>
      </c>
      <c r="I3756" s="2"/>
      <c r="J3756" t="s">
        <v>16</v>
      </c>
      <c r="K3756">
        <v>486114.54266645201</v>
      </c>
      <c r="L3756" t="s">
        <v>17</v>
      </c>
      <c r="M3756">
        <v>-88035.718045776899</v>
      </c>
      <c r="N3756">
        <v>3.5378832599705298E-2</v>
      </c>
    </row>
    <row r="3757" spans="2:14" x14ac:dyDescent="0.25">
      <c r="B3757" t="s">
        <v>14</v>
      </c>
      <c r="C3757" s="1">
        <v>46075.999988425923</v>
      </c>
      <c r="D3757">
        <v>25.153777567676201</v>
      </c>
      <c r="E3757">
        <v>17198.165029278702</v>
      </c>
      <c r="F3757" s="1">
        <v>46074.099803240744</v>
      </c>
      <c r="G3757">
        <v>52.8777613425152</v>
      </c>
      <c r="H3757" t="s">
        <v>33</v>
      </c>
      <c r="I3757" s="2"/>
      <c r="J3757" t="s">
        <v>16</v>
      </c>
      <c r="K3757">
        <v>486114.54266645201</v>
      </c>
      <c r="L3757" t="s">
        <v>17</v>
      </c>
      <c r="M3757">
        <v>0</v>
      </c>
      <c r="N3757">
        <v>3.5378832599705298E-2</v>
      </c>
    </row>
    <row r="3758" spans="2:14" x14ac:dyDescent="0.25">
      <c r="B3758" t="s">
        <v>14</v>
      </c>
      <c r="C3758" s="1">
        <v>46074.999988425923</v>
      </c>
      <c r="D3758">
        <v>25.153777567676201</v>
      </c>
      <c r="E3758">
        <v>17198.165029278702</v>
      </c>
      <c r="F3758" s="1">
        <v>46074.099803240744</v>
      </c>
      <c r="G3758">
        <v>52.8777613425152</v>
      </c>
      <c r="H3758" t="s">
        <v>33</v>
      </c>
      <c r="I3758" s="2"/>
      <c r="J3758" t="s">
        <v>16</v>
      </c>
      <c r="K3758">
        <v>486114.54266645201</v>
      </c>
      <c r="L3758" t="s">
        <v>17</v>
      </c>
      <c r="M3758">
        <v>0</v>
      </c>
      <c r="N3758">
        <v>3.5378832599705298E-2</v>
      </c>
    </row>
    <row r="3759" spans="2:14" x14ac:dyDescent="0.25">
      <c r="B3759" t="s">
        <v>14</v>
      </c>
      <c r="C3759" s="1">
        <v>46073.999988425923</v>
      </c>
      <c r="D3759">
        <v>25.153777567676201</v>
      </c>
      <c r="E3759">
        <v>5917.47676363552</v>
      </c>
      <c r="F3759" s="1">
        <v>46071.606296296297</v>
      </c>
      <c r="G3759">
        <v>52.8777613425152</v>
      </c>
      <c r="H3759" t="s">
        <v>33</v>
      </c>
      <c r="I3759" s="2"/>
      <c r="J3759" t="s">
        <v>16</v>
      </c>
      <c r="K3759">
        <v>486114.54266645201</v>
      </c>
      <c r="L3759" t="s">
        <v>17</v>
      </c>
      <c r="M3759">
        <v>-11280.688265643101</v>
      </c>
      <c r="N3759">
        <v>1.2173009124920999E-2</v>
      </c>
    </row>
    <row r="3760" spans="2:14" x14ac:dyDescent="0.25">
      <c r="B3760" t="s">
        <v>14</v>
      </c>
      <c r="C3760" s="1">
        <v>46072.999988425923</v>
      </c>
      <c r="D3760">
        <v>25.153777567676201</v>
      </c>
      <c r="E3760">
        <v>5917.47676363552</v>
      </c>
      <c r="F3760" s="1">
        <v>46071.606296296297</v>
      </c>
      <c r="G3760">
        <v>52.8777613425152</v>
      </c>
      <c r="H3760" t="s">
        <v>33</v>
      </c>
      <c r="I3760" s="2"/>
      <c r="J3760" t="s">
        <v>16</v>
      </c>
      <c r="K3760">
        <v>486114.54266645201</v>
      </c>
      <c r="L3760" t="s">
        <v>17</v>
      </c>
      <c r="M3760">
        <v>0</v>
      </c>
      <c r="N3760">
        <v>1.2173009124920999E-2</v>
      </c>
    </row>
    <row r="3761" spans="2:14" x14ac:dyDescent="0.25">
      <c r="B3761" t="s">
        <v>14</v>
      </c>
      <c r="C3761" s="1">
        <v>46071.999988425923</v>
      </c>
      <c r="D3761">
        <v>25.153777567676201</v>
      </c>
      <c r="E3761">
        <v>5917.47676363552</v>
      </c>
      <c r="F3761" s="1">
        <v>46071.606296296297</v>
      </c>
      <c r="G3761">
        <v>52.8777613425152</v>
      </c>
      <c r="H3761" t="s">
        <v>33</v>
      </c>
      <c r="I3761" s="2"/>
      <c r="J3761" t="s">
        <v>16</v>
      </c>
      <c r="K3761">
        <v>486114.54266645201</v>
      </c>
      <c r="L3761" t="s">
        <v>17</v>
      </c>
      <c r="M3761">
        <v>0</v>
      </c>
      <c r="N3761">
        <v>1.2173009124920999E-2</v>
      </c>
    </row>
    <row r="3762" spans="2:14" x14ac:dyDescent="0.25">
      <c r="B3762" t="s">
        <v>14</v>
      </c>
      <c r="C3762" s="1">
        <v>46070.999988425923</v>
      </c>
      <c r="D3762">
        <v>25.153777567676201</v>
      </c>
      <c r="E3762">
        <v>5837.4923570740502</v>
      </c>
      <c r="F3762" s="1">
        <v>46068.099097222221</v>
      </c>
      <c r="G3762">
        <v>52.8777613425152</v>
      </c>
      <c r="H3762" t="s">
        <v>33</v>
      </c>
      <c r="I3762" s="2"/>
      <c r="J3762" t="s">
        <v>16</v>
      </c>
      <c r="K3762">
        <v>486114.54266645201</v>
      </c>
      <c r="L3762" t="s">
        <v>17</v>
      </c>
      <c r="M3762">
        <v>-79.984406561474302</v>
      </c>
      <c r="N3762">
        <v>1.20084709357881E-2</v>
      </c>
    </row>
    <row r="3763" spans="2:14" x14ac:dyDescent="0.25">
      <c r="B3763" t="s">
        <v>14</v>
      </c>
      <c r="C3763" s="1">
        <v>46069.999988425923</v>
      </c>
      <c r="D3763">
        <v>25.153777567676201</v>
      </c>
      <c r="E3763">
        <v>5837.4923570740502</v>
      </c>
      <c r="F3763" s="1">
        <v>46068.099097222221</v>
      </c>
      <c r="G3763">
        <v>52.8777613425152</v>
      </c>
      <c r="H3763" t="s">
        <v>33</v>
      </c>
      <c r="I3763" s="2"/>
      <c r="J3763" t="s">
        <v>16</v>
      </c>
      <c r="K3763">
        <v>486114.54266645201</v>
      </c>
      <c r="L3763" t="s">
        <v>17</v>
      </c>
      <c r="M3763">
        <v>0</v>
      </c>
      <c r="N3763">
        <v>1.20084709357881E-2</v>
      </c>
    </row>
    <row r="3764" spans="2:14" x14ac:dyDescent="0.25">
      <c r="B3764" t="s">
        <v>14</v>
      </c>
      <c r="C3764" s="1">
        <v>46068.999988425923</v>
      </c>
      <c r="D3764">
        <v>25.153777567676201</v>
      </c>
      <c r="E3764">
        <v>5837.4923570740502</v>
      </c>
      <c r="F3764" s="1">
        <v>46068.099097222221</v>
      </c>
      <c r="G3764">
        <v>52.8777613425152</v>
      </c>
      <c r="H3764" t="s">
        <v>33</v>
      </c>
      <c r="I3764" s="2"/>
      <c r="J3764" t="s">
        <v>16</v>
      </c>
      <c r="K3764">
        <v>486114.54266645201</v>
      </c>
      <c r="L3764" t="s">
        <v>17</v>
      </c>
      <c r="M3764">
        <v>0</v>
      </c>
      <c r="N3764">
        <v>1.20084709357881E-2</v>
      </c>
    </row>
    <row r="3765" spans="2:14" x14ac:dyDescent="0.25">
      <c r="B3765" t="s">
        <v>14</v>
      </c>
      <c r="C3765" s="1">
        <v>46067.999988425923</v>
      </c>
      <c r="D3765">
        <v>25.153777567676201</v>
      </c>
      <c r="E3765">
        <v>6246.1626393002798</v>
      </c>
      <c r="F3765" s="1">
        <v>46065.605474537035</v>
      </c>
      <c r="G3765">
        <v>52.8777613425152</v>
      </c>
      <c r="H3765" t="s">
        <v>33</v>
      </c>
      <c r="I3765" s="2"/>
      <c r="J3765" t="s">
        <v>16</v>
      </c>
      <c r="K3765">
        <v>486114.54266645201</v>
      </c>
      <c r="L3765" t="s">
        <v>17</v>
      </c>
      <c r="M3765">
        <v>408.67028222622997</v>
      </c>
      <c r="N3765">
        <v>1.2849158153217501E-2</v>
      </c>
    </row>
    <row r="3766" spans="2:14" x14ac:dyDescent="0.25">
      <c r="B3766" t="s">
        <v>14</v>
      </c>
      <c r="C3766" s="1">
        <v>46066.999988425923</v>
      </c>
      <c r="D3766">
        <v>25.153777567676201</v>
      </c>
      <c r="E3766">
        <v>6246.1626393002798</v>
      </c>
      <c r="F3766" s="1">
        <v>46065.605474537035</v>
      </c>
      <c r="G3766">
        <v>52.8777613425152</v>
      </c>
      <c r="H3766" t="s">
        <v>33</v>
      </c>
      <c r="I3766" s="2"/>
      <c r="J3766" t="s">
        <v>16</v>
      </c>
      <c r="K3766">
        <v>486114.54266645201</v>
      </c>
      <c r="L3766" t="s">
        <v>17</v>
      </c>
      <c r="M3766">
        <v>0</v>
      </c>
      <c r="N3766">
        <v>1.2849158153217501E-2</v>
      </c>
    </row>
    <row r="3767" spans="2:14" x14ac:dyDescent="0.25">
      <c r="B3767" t="s">
        <v>14</v>
      </c>
      <c r="C3767" s="1">
        <v>46065.999988425923</v>
      </c>
      <c r="D3767">
        <v>25.153777567676201</v>
      </c>
      <c r="E3767">
        <v>6246.1626393002798</v>
      </c>
      <c r="F3767" s="1">
        <v>46065.605474537035</v>
      </c>
      <c r="G3767">
        <v>52.8777613425152</v>
      </c>
      <c r="H3767" t="s">
        <v>33</v>
      </c>
      <c r="I3767" s="2"/>
      <c r="J3767" t="s">
        <v>16</v>
      </c>
      <c r="K3767">
        <v>486114.54266645201</v>
      </c>
      <c r="L3767" t="s">
        <v>17</v>
      </c>
      <c r="M3767">
        <v>0</v>
      </c>
      <c r="N3767">
        <v>1.2849158153217501E-2</v>
      </c>
    </row>
    <row r="3768" spans="2:14" x14ac:dyDescent="0.25">
      <c r="B3768" t="s">
        <v>14</v>
      </c>
      <c r="C3768" s="1">
        <v>46064.999988425923</v>
      </c>
      <c r="D3768">
        <v>25.153777567676201</v>
      </c>
      <c r="E3768">
        <v>5729.3528695063396</v>
      </c>
      <c r="F3768" s="1">
        <v>46062.099814814814</v>
      </c>
      <c r="G3768">
        <v>52.8777613425152</v>
      </c>
      <c r="H3768" t="s">
        <v>33</v>
      </c>
      <c r="I3768" s="2"/>
      <c r="J3768" t="s">
        <v>16</v>
      </c>
      <c r="K3768">
        <v>486114.54266645201</v>
      </c>
      <c r="L3768" t="s">
        <v>17</v>
      </c>
      <c r="M3768">
        <v>-516.80976979393699</v>
      </c>
      <c r="N3768">
        <v>1.17860141317301E-2</v>
      </c>
    </row>
    <row r="3769" spans="2:14" x14ac:dyDescent="0.25">
      <c r="B3769" t="s">
        <v>14</v>
      </c>
      <c r="C3769" s="1">
        <v>46063.999988425923</v>
      </c>
      <c r="D3769">
        <v>25.153777567676201</v>
      </c>
      <c r="E3769">
        <v>5729.3528695063396</v>
      </c>
      <c r="F3769" s="1">
        <v>46062.099814814814</v>
      </c>
      <c r="G3769">
        <v>52.8777613425152</v>
      </c>
      <c r="H3769" t="s">
        <v>33</v>
      </c>
      <c r="I3769" s="2"/>
      <c r="J3769" t="s">
        <v>16</v>
      </c>
      <c r="K3769">
        <v>486114.54266645201</v>
      </c>
      <c r="L3769" t="s">
        <v>17</v>
      </c>
      <c r="M3769">
        <v>0</v>
      </c>
      <c r="N3769">
        <v>1.17860141317301E-2</v>
      </c>
    </row>
    <row r="3770" spans="2:14" x14ac:dyDescent="0.25">
      <c r="B3770" t="s">
        <v>14</v>
      </c>
      <c r="C3770" s="1">
        <v>46062.999988425923</v>
      </c>
      <c r="D3770">
        <v>25.153777567676201</v>
      </c>
      <c r="E3770">
        <v>5729.3528695063396</v>
      </c>
      <c r="F3770" s="1">
        <v>46062.099814814814</v>
      </c>
      <c r="G3770">
        <v>52.8777613425152</v>
      </c>
      <c r="H3770" t="s">
        <v>33</v>
      </c>
      <c r="I3770" s="2"/>
      <c r="J3770" t="s">
        <v>16</v>
      </c>
      <c r="K3770">
        <v>486114.54266645201</v>
      </c>
      <c r="L3770" t="s">
        <v>17</v>
      </c>
      <c r="M3770">
        <v>0</v>
      </c>
      <c r="N3770">
        <v>1.17860141317301E-2</v>
      </c>
    </row>
    <row r="3771" spans="2:14" x14ac:dyDescent="0.25">
      <c r="B3771" t="s">
        <v>14</v>
      </c>
      <c r="C3771" s="1">
        <v>46061.999988425923</v>
      </c>
      <c r="D3771">
        <v>25.153777567676201</v>
      </c>
      <c r="E3771">
        <v>433388.134569232</v>
      </c>
      <c r="F3771" s="1">
        <v>46059.606296296297</v>
      </c>
      <c r="G3771">
        <v>52.8777613425152</v>
      </c>
      <c r="H3771" t="s">
        <v>33</v>
      </c>
      <c r="I3771" s="2"/>
      <c r="J3771" t="s">
        <v>16</v>
      </c>
      <c r="K3771">
        <v>486114.54266645201</v>
      </c>
      <c r="L3771" t="s">
        <v>17</v>
      </c>
      <c r="M3771">
        <v>427658.78169972601</v>
      </c>
      <c r="N3771">
        <v>0.89153501187600104</v>
      </c>
    </row>
    <row r="3772" spans="2:14" x14ac:dyDescent="0.25">
      <c r="B3772" t="s">
        <v>14</v>
      </c>
      <c r="C3772" s="1">
        <v>46060.999988425923</v>
      </c>
      <c r="D3772">
        <v>25.153777567676201</v>
      </c>
      <c r="E3772">
        <v>433388.134569232</v>
      </c>
      <c r="F3772" s="1">
        <v>46059.606296296297</v>
      </c>
      <c r="G3772">
        <v>52.8777613425152</v>
      </c>
      <c r="H3772" t="s">
        <v>33</v>
      </c>
      <c r="I3772" s="2"/>
      <c r="J3772" t="s">
        <v>16</v>
      </c>
      <c r="K3772">
        <v>486114.54266645201</v>
      </c>
      <c r="L3772" t="s">
        <v>17</v>
      </c>
      <c r="M3772">
        <v>0</v>
      </c>
      <c r="N3772">
        <v>0.89153501187600104</v>
      </c>
    </row>
    <row r="3773" spans="2:14" x14ac:dyDescent="0.25">
      <c r="B3773" t="s">
        <v>14</v>
      </c>
      <c r="C3773" s="1">
        <v>46059.999988425923</v>
      </c>
      <c r="D3773">
        <v>25.153777567676201</v>
      </c>
      <c r="E3773">
        <v>433388.134569232</v>
      </c>
      <c r="F3773" s="1">
        <v>46059.606296296297</v>
      </c>
      <c r="G3773">
        <v>52.8777613425152</v>
      </c>
      <c r="H3773" t="s">
        <v>33</v>
      </c>
      <c r="I3773" s="2"/>
      <c r="J3773" t="s">
        <v>16</v>
      </c>
      <c r="K3773">
        <v>486114.54266645201</v>
      </c>
      <c r="L3773" t="s">
        <v>17</v>
      </c>
      <c r="M3773">
        <v>0</v>
      </c>
      <c r="N3773">
        <v>0.89153501187600104</v>
      </c>
    </row>
    <row r="3774" spans="2:14" x14ac:dyDescent="0.25">
      <c r="B3774" t="s">
        <v>14</v>
      </c>
      <c r="C3774" s="1">
        <v>46058.999988425923</v>
      </c>
      <c r="D3774">
        <v>25.153777567676201</v>
      </c>
      <c r="E3774">
        <v>486114.54266645201</v>
      </c>
      <c r="F3774" s="1">
        <v>46056.099097222221</v>
      </c>
      <c r="G3774">
        <v>52.8777613425152</v>
      </c>
      <c r="H3774" t="s">
        <v>33</v>
      </c>
      <c r="I3774" s="2"/>
      <c r="J3774" t="s">
        <v>16</v>
      </c>
      <c r="K3774">
        <v>486114.54266645201</v>
      </c>
      <c r="L3774" t="s">
        <v>17</v>
      </c>
      <c r="M3774">
        <v>52726.408097219602</v>
      </c>
      <c r="N3774">
        <v>1</v>
      </c>
    </row>
    <row r="3775" spans="2:14" x14ac:dyDescent="0.25">
      <c r="B3775" t="s">
        <v>14</v>
      </c>
      <c r="C3775" s="1">
        <v>46057.999988425923</v>
      </c>
      <c r="D3775">
        <v>25.153777567676201</v>
      </c>
      <c r="E3775">
        <v>486114.54266645201</v>
      </c>
      <c r="F3775" s="1">
        <v>46056.099097222221</v>
      </c>
      <c r="G3775">
        <v>52.8777613425152</v>
      </c>
      <c r="H3775" t="s">
        <v>33</v>
      </c>
      <c r="I3775" s="2"/>
      <c r="J3775" t="s">
        <v>16</v>
      </c>
      <c r="K3775">
        <v>486114.54266645201</v>
      </c>
      <c r="L3775" t="s">
        <v>17</v>
      </c>
      <c r="M3775">
        <v>0</v>
      </c>
      <c r="N3775">
        <v>1</v>
      </c>
    </row>
    <row r="3776" spans="2:14" x14ac:dyDescent="0.25">
      <c r="B3776" t="s">
        <v>14</v>
      </c>
      <c r="C3776" s="1">
        <v>46056.999988425923</v>
      </c>
      <c r="D3776">
        <v>25.153777567676201</v>
      </c>
      <c r="E3776">
        <v>486114.54266645201</v>
      </c>
      <c r="F3776" s="1">
        <v>46056.099097222221</v>
      </c>
      <c r="G3776">
        <v>52.8777613425152</v>
      </c>
      <c r="H3776" t="s">
        <v>33</v>
      </c>
      <c r="I3776" s="2"/>
      <c r="J3776" t="s">
        <v>16</v>
      </c>
      <c r="K3776">
        <v>486114.54266645201</v>
      </c>
      <c r="L3776" t="s">
        <v>17</v>
      </c>
      <c r="M3776">
        <v>0</v>
      </c>
      <c r="N3776">
        <v>1</v>
      </c>
    </row>
    <row r="3777" spans="2:14" x14ac:dyDescent="0.25">
      <c r="B3777" t="s">
        <v>14</v>
      </c>
      <c r="C3777" s="1">
        <v>46055.999988425923</v>
      </c>
      <c r="D3777">
        <v>25.153777567676201</v>
      </c>
      <c r="E3777">
        <v>449218.83599841001</v>
      </c>
      <c r="F3777" s="1">
        <v>46053.605474537035</v>
      </c>
      <c r="G3777">
        <v>52.8777613425152</v>
      </c>
      <c r="H3777" t="s">
        <v>33</v>
      </c>
      <c r="I3777" s="2"/>
      <c r="J3777" t="s">
        <v>16</v>
      </c>
      <c r="K3777">
        <v>486114.54266645201</v>
      </c>
      <c r="L3777" t="s">
        <v>17</v>
      </c>
      <c r="M3777">
        <v>-36895.706668042199</v>
      </c>
      <c r="N3777">
        <v>0.924100796356223</v>
      </c>
    </row>
    <row r="3778" spans="2:14" x14ac:dyDescent="0.25">
      <c r="B3778" t="s">
        <v>14</v>
      </c>
      <c r="C3778" s="1">
        <v>46054.999988425923</v>
      </c>
      <c r="D3778">
        <v>25.153777567676201</v>
      </c>
      <c r="E3778">
        <v>449218.83599841001</v>
      </c>
      <c r="F3778" s="1">
        <v>46053.605474537035</v>
      </c>
      <c r="G3778">
        <v>52.8777613425152</v>
      </c>
      <c r="H3778" t="s">
        <v>33</v>
      </c>
      <c r="I3778" s="2"/>
      <c r="J3778" t="s">
        <v>16</v>
      </c>
      <c r="K3778">
        <v>486114.54266645201</v>
      </c>
      <c r="L3778" t="s">
        <v>17</v>
      </c>
      <c r="M3778">
        <v>0</v>
      </c>
      <c r="N3778">
        <v>0.924100796356223</v>
      </c>
    </row>
    <row r="3779" spans="2:14" x14ac:dyDescent="0.25">
      <c r="B3779" t="s">
        <v>14</v>
      </c>
      <c r="C3779" s="1">
        <v>46053.999988425923</v>
      </c>
      <c r="D3779">
        <v>25.153777567676201</v>
      </c>
      <c r="E3779">
        <v>449218.83599841001</v>
      </c>
      <c r="F3779" s="1">
        <v>46053.605474537035</v>
      </c>
      <c r="G3779">
        <v>52.8777613425152</v>
      </c>
      <c r="H3779" t="s">
        <v>33</v>
      </c>
      <c r="I3779" s="2"/>
      <c r="J3779" t="s">
        <v>16</v>
      </c>
      <c r="K3779">
        <v>486114.54266645201</v>
      </c>
      <c r="L3779" t="s">
        <v>17</v>
      </c>
      <c r="M3779">
        <v>0</v>
      </c>
      <c r="N3779">
        <v>0.924100796356223</v>
      </c>
    </row>
    <row r="3780" spans="2:14" x14ac:dyDescent="0.25">
      <c r="B3780" t="s">
        <v>14</v>
      </c>
      <c r="C3780" s="1">
        <v>46052.999988425923</v>
      </c>
      <c r="D3780">
        <v>25.153777567676201</v>
      </c>
      <c r="E3780">
        <v>453801.77904929098</v>
      </c>
      <c r="F3780" s="1">
        <v>46050.099814814814</v>
      </c>
      <c r="G3780">
        <v>52.8777613425152</v>
      </c>
      <c r="H3780" t="s">
        <v>33</v>
      </c>
      <c r="I3780" s="2"/>
      <c r="J3780" t="s">
        <v>16</v>
      </c>
      <c r="K3780">
        <v>486114.54266645201</v>
      </c>
      <c r="L3780" t="s">
        <v>17</v>
      </c>
      <c r="M3780">
        <v>4582.9430508818396</v>
      </c>
      <c r="N3780">
        <v>0.93352849836600704</v>
      </c>
    </row>
    <row r="3781" spans="2:14" x14ac:dyDescent="0.25">
      <c r="B3781" t="s">
        <v>14</v>
      </c>
      <c r="C3781" s="1">
        <v>46051.999988425923</v>
      </c>
      <c r="D3781">
        <v>25.153777567676201</v>
      </c>
      <c r="E3781">
        <v>453801.77904929098</v>
      </c>
      <c r="F3781" s="1">
        <v>46050.099814814814</v>
      </c>
      <c r="G3781">
        <v>52.8777613425152</v>
      </c>
      <c r="H3781" t="s">
        <v>33</v>
      </c>
      <c r="I3781" s="2"/>
      <c r="J3781" t="s">
        <v>16</v>
      </c>
      <c r="K3781">
        <v>486114.54266645201</v>
      </c>
      <c r="L3781" t="s">
        <v>17</v>
      </c>
      <c r="M3781">
        <v>0</v>
      </c>
      <c r="N3781">
        <v>0.93352849836600704</v>
      </c>
    </row>
    <row r="3782" spans="2:14" x14ac:dyDescent="0.25">
      <c r="B3782" t="s">
        <v>14</v>
      </c>
      <c r="C3782" s="1">
        <v>46050.999988425923</v>
      </c>
      <c r="D3782">
        <v>25.153777567676201</v>
      </c>
      <c r="E3782">
        <v>453801.77904929098</v>
      </c>
      <c r="F3782" s="1">
        <v>46050.099814814814</v>
      </c>
      <c r="G3782">
        <v>52.8777613425152</v>
      </c>
      <c r="H3782" t="s">
        <v>33</v>
      </c>
      <c r="I3782" s="2"/>
      <c r="J3782" t="s">
        <v>16</v>
      </c>
      <c r="K3782">
        <v>486114.54266645201</v>
      </c>
      <c r="L3782" t="s">
        <v>17</v>
      </c>
      <c r="M3782">
        <v>0</v>
      </c>
      <c r="N3782">
        <v>0.93352849836600704</v>
      </c>
    </row>
    <row r="3783" spans="2:14" x14ac:dyDescent="0.25">
      <c r="B3783" t="s">
        <v>14</v>
      </c>
      <c r="C3783" s="1">
        <v>46049.999988425923</v>
      </c>
      <c r="D3783">
        <v>25.153777567676201</v>
      </c>
      <c r="E3783">
        <v>444263.94234991202</v>
      </c>
      <c r="F3783" s="1">
        <v>46047.606307870374</v>
      </c>
      <c r="G3783">
        <v>52.8777613425152</v>
      </c>
      <c r="H3783" t="s">
        <v>33</v>
      </c>
      <c r="I3783" s="2"/>
      <c r="J3783" t="s">
        <v>16</v>
      </c>
      <c r="K3783">
        <v>486114.54266645201</v>
      </c>
      <c r="L3783" t="s">
        <v>17</v>
      </c>
      <c r="M3783">
        <v>-9537.8366993793697</v>
      </c>
      <c r="N3783">
        <v>0.91390794423269095</v>
      </c>
    </row>
    <row r="3784" spans="2:14" x14ac:dyDescent="0.25">
      <c r="B3784" t="s">
        <v>14</v>
      </c>
      <c r="C3784" s="1">
        <v>46048.999988425923</v>
      </c>
      <c r="D3784">
        <v>25.153777567676201</v>
      </c>
      <c r="E3784">
        <v>444263.94234991202</v>
      </c>
      <c r="F3784" s="1">
        <v>46047.606307870374</v>
      </c>
      <c r="G3784">
        <v>52.8777613425152</v>
      </c>
      <c r="H3784" t="s">
        <v>33</v>
      </c>
      <c r="I3784" s="2"/>
      <c r="J3784" t="s">
        <v>16</v>
      </c>
      <c r="K3784">
        <v>486114.54266645201</v>
      </c>
      <c r="L3784" t="s">
        <v>17</v>
      </c>
      <c r="M3784">
        <v>0</v>
      </c>
      <c r="N3784">
        <v>0.91390794423269095</v>
      </c>
    </row>
    <row r="3785" spans="2:14" x14ac:dyDescent="0.25">
      <c r="B3785" t="s">
        <v>14</v>
      </c>
      <c r="C3785" s="1">
        <v>46047.999988425923</v>
      </c>
      <c r="D3785">
        <v>25.153777567676201</v>
      </c>
      <c r="E3785">
        <v>444263.94234991202</v>
      </c>
      <c r="F3785" s="1">
        <v>46047.606307870374</v>
      </c>
      <c r="G3785">
        <v>52.8777613425152</v>
      </c>
      <c r="H3785" t="s">
        <v>33</v>
      </c>
      <c r="I3785" s="2"/>
      <c r="J3785" t="s">
        <v>16</v>
      </c>
      <c r="K3785">
        <v>486114.54266645201</v>
      </c>
      <c r="L3785" t="s">
        <v>17</v>
      </c>
      <c r="M3785">
        <v>0</v>
      </c>
      <c r="N3785">
        <v>0.91390794423269095</v>
      </c>
    </row>
    <row r="3786" spans="2:14" x14ac:dyDescent="0.25">
      <c r="B3786" t="s">
        <v>14</v>
      </c>
      <c r="C3786" s="1">
        <v>46046.999988425923</v>
      </c>
      <c r="D3786">
        <v>25.153777567676201</v>
      </c>
      <c r="E3786">
        <v>308300.34598667402</v>
      </c>
      <c r="F3786" s="1">
        <v>46041.605486111112</v>
      </c>
      <c r="G3786">
        <v>52.8777613425152</v>
      </c>
      <c r="H3786" t="s">
        <v>33</v>
      </c>
      <c r="I3786" s="2"/>
      <c r="J3786" t="s">
        <v>16</v>
      </c>
      <c r="K3786">
        <v>486114.54266645201</v>
      </c>
      <c r="L3786" t="s">
        <v>17</v>
      </c>
      <c r="M3786">
        <v>-135963.59636323701</v>
      </c>
      <c r="N3786">
        <v>0.63421337756236396</v>
      </c>
    </row>
    <row r="3787" spans="2:14" x14ac:dyDescent="0.25">
      <c r="B3787" t="s">
        <v>14</v>
      </c>
      <c r="C3787" s="1">
        <v>46045.999988425923</v>
      </c>
      <c r="D3787">
        <v>25.153777567676201</v>
      </c>
      <c r="E3787">
        <v>308300.34598667402</v>
      </c>
      <c r="F3787" s="1">
        <v>46041.605486111112</v>
      </c>
      <c r="G3787">
        <v>52.8777613425152</v>
      </c>
      <c r="H3787" t="s">
        <v>33</v>
      </c>
      <c r="I3787" s="2"/>
      <c r="J3787" t="s">
        <v>16</v>
      </c>
      <c r="K3787">
        <v>486114.54266645201</v>
      </c>
      <c r="L3787" t="s">
        <v>17</v>
      </c>
      <c r="M3787">
        <v>0</v>
      </c>
      <c r="N3787">
        <v>0.63421337756236396</v>
      </c>
    </row>
    <row r="3788" spans="2:14" x14ac:dyDescent="0.25">
      <c r="B3788" t="s">
        <v>14</v>
      </c>
      <c r="C3788" s="1">
        <v>46044.999988425923</v>
      </c>
      <c r="D3788">
        <v>25.153777567676201</v>
      </c>
      <c r="E3788">
        <v>308300.34598667402</v>
      </c>
      <c r="F3788" s="1">
        <v>46041.605486111112</v>
      </c>
      <c r="G3788">
        <v>52.8777613425152</v>
      </c>
      <c r="H3788" t="s">
        <v>33</v>
      </c>
      <c r="I3788" s="2"/>
      <c r="J3788" t="s">
        <v>16</v>
      </c>
      <c r="K3788">
        <v>486114.54266645201</v>
      </c>
      <c r="L3788" t="s">
        <v>17</v>
      </c>
      <c r="M3788">
        <v>0</v>
      </c>
      <c r="N3788">
        <v>0.63421337756236396</v>
      </c>
    </row>
    <row r="3789" spans="2:14" x14ac:dyDescent="0.25">
      <c r="B3789" t="s">
        <v>14</v>
      </c>
      <c r="C3789" s="1">
        <v>46043.999988425923</v>
      </c>
      <c r="D3789">
        <v>25.153777567676201</v>
      </c>
      <c r="E3789">
        <v>308300.34598667402</v>
      </c>
      <c r="F3789" s="1">
        <v>46041.605486111112</v>
      </c>
      <c r="G3789">
        <v>52.8777613425152</v>
      </c>
      <c r="H3789" t="s">
        <v>33</v>
      </c>
      <c r="I3789" s="2"/>
      <c r="J3789" t="s">
        <v>16</v>
      </c>
      <c r="K3789">
        <v>486114.54266645201</v>
      </c>
      <c r="L3789" t="s">
        <v>17</v>
      </c>
      <c r="M3789">
        <v>0</v>
      </c>
      <c r="N3789">
        <v>0.63421337756236396</v>
      </c>
    </row>
    <row r="3790" spans="2:14" x14ac:dyDescent="0.25">
      <c r="B3790" t="s">
        <v>14</v>
      </c>
      <c r="C3790" s="1">
        <v>46042.999988425923</v>
      </c>
      <c r="D3790">
        <v>25.153777567676201</v>
      </c>
      <c r="E3790">
        <v>308300.34598667402</v>
      </c>
      <c r="F3790" s="1">
        <v>46041.605486111112</v>
      </c>
      <c r="G3790">
        <v>52.8777613425152</v>
      </c>
      <c r="H3790" t="s">
        <v>33</v>
      </c>
      <c r="I3790" s="2"/>
      <c r="J3790" t="s">
        <v>16</v>
      </c>
      <c r="K3790">
        <v>486114.54266645201</v>
      </c>
      <c r="L3790" t="s">
        <v>17</v>
      </c>
      <c r="M3790">
        <v>0</v>
      </c>
      <c r="N3790">
        <v>0.63421337756236396</v>
      </c>
    </row>
    <row r="3791" spans="2:14" x14ac:dyDescent="0.25">
      <c r="B3791" t="s">
        <v>14</v>
      </c>
      <c r="C3791" s="1">
        <v>46041.999988425923</v>
      </c>
      <c r="D3791">
        <v>25.153777567676201</v>
      </c>
      <c r="E3791">
        <v>308300.34598667402</v>
      </c>
      <c r="F3791" s="1">
        <v>46041.605486111112</v>
      </c>
      <c r="G3791">
        <v>52.8777613425152</v>
      </c>
      <c r="H3791" t="s">
        <v>33</v>
      </c>
      <c r="I3791" s="2"/>
      <c r="J3791" t="s">
        <v>16</v>
      </c>
      <c r="K3791">
        <v>486114.54266645201</v>
      </c>
      <c r="L3791" t="s">
        <v>17</v>
      </c>
      <c r="M3791">
        <v>0</v>
      </c>
      <c r="N3791">
        <v>0.63421337756236396</v>
      </c>
    </row>
    <row r="3792" spans="2:14" x14ac:dyDescent="0.25">
      <c r="B3792" t="s">
        <v>14</v>
      </c>
      <c r="C3792" s="1">
        <v>46040.999988425923</v>
      </c>
      <c r="D3792">
        <v>25.153777567676201</v>
      </c>
      <c r="E3792">
        <v>225603.30957465299</v>
      </c>
      <c r="F3792" s="1">
        <v>46038.099826388891</v>
      </c>
      <c r="G3792">
        <v>52.8777613425152</v>
      </c>
      <c r="H3792" t="s">
        <v>33</v>
      </c>
      <c r="I3792" s="2"/>
      <c r="J3792" t="s">
        <v>16</v>
      </c>
      <c r="K3792">
        <v>486114.54266645201</v>
      </c>
      <c r="L3792" t="s">
        <v>17</v>
      </c>
      <c r="M3792">
        <v>-82697.036412020898</v>
      </c>
      <c r="N3792">
        <v>0.46409496070034501</v>
      </c>
    </row>
    <row r="3793" spans="2:14" x14ac:dyDescent="0.25">
      <c r="B3793" t="s">
        <v>14</v>
      </c>
      <c r="C3793" s="1">
        <v>46039.999988425923</v>
      </c>
      <c r="D3793">
        <v>25.153777567676201</v>
      </c>
      <c r="E3793">
        <v>225603.30957465299</v>
      </c>
      <c r="F3793" s="1">
        <v>46038.099826388891</v>
      </c>
      <c r="G3793">
        <v>52.8777613425152</v>
      </c>
      <c r="H3793" t="s">
        <v>33</v>
      </c>
      <c r="I3793" s="2"/>
      <c r="J3793" t="s">
        <v>16</v>
      </c>
      <c r="K3793">
        <v>486114.54266645201</v>
      </c>
      <c r="L3793" t="s">
        <v>17</v>
      </c>
      <c r="M3793">
        <v>0</v>
      </c>
      <c r="N3793">
        <v>0.46409496070034501</v>
      </c>
    </row>
    <row r="3794" spans="2:14" x14ac:dyDescent="0.25">
      <c r="B3794" t="s">
        <v>14</v>
      </c>
      <c r="C3794" s="1">
        <v>46038.999988425923</v>
      </c>
      <c r="D3794">
        <v>25.153777567676201</v>
      </c>
      <c r="E3794">
        <v>225603.30957465299</v>
      </c>
      <c r="F3794" s="1">
        <v>46038.099826388891</v>
      </c>
      <c r="G3794">
        <v>52.8777613425152</v>
      </c>
      <c r="H3794" t="s">
        <v>33</v>
      </c>
      <c r="I3794" s="2"/>
      <c r="J3794" t="s">
        <v>16</v>
      </c>
      <c r="K3794">
        <v>486114.54266645201</v>
      </c>
      <c r="L3794" t="s">
        <v>17</v>
      </c>
      <c r="M3794">
        <v>0</v>
      </c>
      <c r="N3794">
        <v>0.46409496070034501</v>
      </c>
    </row>
    <row r="3795" spans="2:14" x14ac:dyDescent="0.25">
      <c r="B3795" t="s">
        <v>14</v>
      </c>
      <c r="C3795" s="1">
        <v>46037.999988425923</v>
      </c>
      <c r="D3795">
        <v>25.153777567676201</v>
      </c>
      <c r="E3795">
        <v>163241.244261524</v>
      </c>
      <c r="F3795" s="1">
        <v>46035.606319444443</v>
      </c>
      <c r="G3795">
        <v>52.8777613425152</v>
      </c>
      <c r="H3795" t="s">
        <v>33</v>
      </c>
      <c r="I3795" s="2"/>
      <c r="J3795" t="s">
        <v>16</v>
      </c>
      <c r="K3795">
        <v>486114.54266645201</v>
      </c>
      <c r="L3795" t="s">
        <v>17</v>
      </c>
      <c r="M3795">
        <v>-62362.065313128798</v>
      </c>
      <c r="N3795">
        <v>0.33580818908668802</v>
      </c>
    </row>
    <row r="3796" spans="2:14" x14ac:dyDescent="0.25">
      <c r="B3796" t="s">
        <v>14</v>
      </c>
      <c r="C3796" s="1">
        <v>46036.999988425923</v>
      </c>
      <c r="D3796">
        <v>25.153777567676201</v>
      </c>
      <c r="E3796">
        <v>163241.244261524</v>
      </c>
      <c r="F3796" s="1">
        <v>46035.606319444443</v>
      </c>
      <c r="G3796">
        <v>52.8777613425152</v>
      </c>
      <c r="H3796" t="s">
        <v>33</v>
      </c>
      <c r="I3796" s="2"/>
      <c r="J3796" t="s">
        <v>16</v>
      </c>
      <c r="K3796">
        <v>486114.54266645201</v>
      </c>
      <c r="L3796" t="s">
        <v>17</v>
      </c>
      <c r="M3796">
        <v>0</v>
      </c>
      <c r="N3796">
        <v>0.33580818908668802</v>
      </c>
    </row>
    <row r="3797" spans="2:14" x14ac:dyDescent="0.25">
      <c r="B3797" t="s">
        <v>14</v>
      </c>
      <c r="C3797" s="1">
        <v>46035.999988425923</v>
      </c>
      <c r="D3797">
        <v>25.153777567676201</v>
      </c>
      <c r="E3797">
        <v>163241.244261524</v>
      </c>
      <c r="F3797" s="1">
        <v>46035.606319444443</v>
      </c>
      <c r="G3797">
        <v>52.8777613425152</v>
      </c>
      <c r="H3797" t="s">
        <v>33</v>
      </c>
      <c r="I3797" s="2"/>
      <c r="J3797" t="s">
        <v>16</v>
      </c>
      <c r="K3797">
        <v>486114.54266645201</v>
      </c>
      <c r="L3797" t="s">
        <v>17</v>
      </c>
      <c r="M3797">
        <v>0</v>
      </c>
      <c r="N3797">
        <v>0.33580818908668802</v>
      </c>
    </row>
    <row r="3798" spans="2:14" x14ac:dyDescent="0.25">
      <c r="B3798" t="s">
        <v>14</v>
      </c>
      <c r="C3798" s="1">
        <v>46034.999988425923</v>
      </c>
      <c r="D3798">
        <v>25.153777567676201</v>
      </c>
      <c r="E3798">
        <v>52794.5166881798</v>
      </c>
      <c r="F3798" s="1">
        <v>46032.099108796298</v>
      </c>
      <c r="G3798">
        <v>52.8777613425152</v>
      </c>
      <c r="H3798" t="s">
        <v>33</v>
      </c>
      <c r="I3798" s="2"/>
      <c r="J3798" t="s">
        <v>16</v>
      </c>
      <c r="K3798">
        <v>486114.54266645201</v>
      </c>
      <c r="L3798" t="s">
        <v>17</v>
      </c>
      <c r="M3798">
        <v>-110446.72757334499</v>
      </c>
      <c r="N3798">
        <v>0.10860509623635101</v>
      </c>
    </row>
    <row r="3799" spans="2:14" x14ac:dyDescent="0.25">
      <c r="B3799" t="s">
        <v>14</v>
      </c>
      <c r="C3799" s="1">
        <v>46033.999988425923</v>
      </c>
      <c r="D3799">
        <v>25.153777567676201</v>
      </c>
      <c r="E3799">
        <v>52794.5166881798</v>
      </c>
      <c r="F3799" s="1">
        <v>46032.099108796298</v>
      </c>
      <c r="G3799">
        <v>52.8777613425152</v>
      </c>
      <c r="H3799" t="s">
        <v>33</v>
      </c>
      <c r="I3799" s="2"/>
      <c r="J3799" t="s">
        <v>16</v>
      </c>
      <c r="K3799">
        <v>486114.54266645201</v>
      </c>
      <c r="L3799" t="s">
        <v>17</v>
      </c>
      <c r="M3799">
        <v>0</v>
      </c>
      <c r="N3799">
        <v>0.10860509623635101</v>
      </c>
    </row>
    <row r="3800" spans="2:14" x14ac:dyDescent="0.25">
      <c r="B3800" t="s">
        <v>14</v>
      </c>
      <c r="C3800" s="1">
        <v>46032.999988425923</v>
      </c>
      <c r="D3800">
        <v>25.153777567676201</v>
      </c>
      <c r="E3800">
        <v>52794.5166881798</v>
      </c>
      <c r="F3800" s="1">
        <v>46032.099108796298</v>
      </c>
      <c r="G3800">
        <v>52.8777613425152</v>
      </c>
      <c r="H3800" t="s">
        <v>33</v>
      </c>
      <c r="I3800" s="2"/>
      <c r="J3800" t="s">
        <v>16</v>
      </c>
      <c r="K3800">
        <v>486114.54266645201</v>
      </c>
      <c r="L3800" t="s">
        <v>17</v>
      </c>
      <c r="M3800">
        <v>0</v>
      </c>
      <c r="N3800">
        <v>0.10860509623635101</v>
      </c>
    </row>
    <row r="3801" spans="2:14" x14ac:dyDescent="0.25">
      <c r="B3801" t="s">
        <v>14</v>
      </c>
      <c r="C3801" s="1">
        <v>46031.999988425923</v>
      </c>
      <c r="D3801">
        <v>25.153777567676201</v>
      </c>
      <c r="E3801">
        <v>7046.8123539077296</v>
      </c>
      <c r="F3801" s="1">
        <v>46029.605486111112</v>
      </c>
      <c r="G3801">
        <v>52.8777613425152</v>
      </c>
      <c r="H3801" t="s">
        <v>33</v>
      </c>
      <c r="I3801" s="2"/>
      <c r="J3801" t="s">
        <v>16</v>
      </c>
      <c r="K3801">
        <v>486114.54266645201</v>
      </c>
      <c r="L3801" t="s">
        <v>17</v>
      </c>
      <c r="M3801">
        <v>-45747.704334272101</v>
      </c>
      <c r="N3801">
        <v>1.4496197367917201E-2</v>
      </c>
    </row>
    <row r="3802" spans="2:14" x14ac:dyDescent="0.25">
      <c r="B3802" t="s">
        <v>14</v>
      </c>
      <c r="C3802" s="1">
        <v>46030.999988425923</v>
      </c>
      <c r="D3802">
        <v>25.153777567676201</v>
      </c>
      <c r="E3802">
        <v>7046.8123539077296</v>
      </c>
      <c r="F3802" s="1">
        <v>46029.605486111112</v>
      </c>
      <c r="G3802">
        <v>52.8777613425152</v>
      </c>
      <c r="H3802" t="s">
        <v>33</v>
      </c>
      <c r="I3802" s="2"/>
      <c r="J3802" t="s">
        <v>16</v>
      </c>
      <c r="K3802">
        <v>486114.54266645201</v>
      </c>
      <c r="L3802" t="s">
        <v>17</v>
      </c>
      <c r="M3802">
        <v>0</v>
      </c>
      <c r="N3802">
        <v>1.4496197367917201E-2</v>
      </c>
    </row>
    <row r="3803" spans="2:14" x14ac:dyDescent="0.25">
      <c r="B3803" t="s">
        <v>14</v>
      </c>
      <c r="C3803" s="1">
        <v>46029.999988425923</v>
      </c>
      <c r="D3803">
        <v>25.153777567676201</v>
      </c>
      <c r="E3803">
        <v>7046.8123539077296</v>
      </c>
      <c r="F3803" s="1">
        <v>46029.605486111112</v>
      </c>
      <c r="G3803">
        <v>52.8777613425152</v>
      </c>
      <c r="H3803" t="s">
        <v>33</v>
      </c>
      <c r="I3803" s="2"/>
      <c r="J3803" t="s">
        <v>16</v>
      </c>
      <c r="K3803">
        <v>486114.54266645201</v>
      </c>
      <c r="L3803" t="s">
        <v>17</v>
      </c>
      <c r="M3803">
        <v>0</v>
      </c>
      <c r="N3803">
        <v>1.4496197367917201E-2</v>
      </c>
    </row>
    <row r="3804" spans="2:14" x14ac:dyDescent="0.25">
      <c r="B3804" t="s">
        <v>14</v>
      </c>
      <c r="C3804" s="1">
        <v>46028.999988425923</v>
      </c>
      <c r="D3804">
        <v>25.153777567676201</v>
      </c>
      <c r="E3804">
        <v>486114.54266645201</v>
      </c>
      <c r="F3804" s="1">
        <v>46026.09983796296</v>
      </c>
      <c r="G3804">
        <v>52.8777613425152</v>
      </c>
      <c r="H3804" t="s">
        <v>33</v>
      </c>
      <c r="I3804" s="2"/>
      <c r="J3804" t="s">
        <v>16</v>
      </c>
      <c r="K3804">
        <v>486114.54266645201</v>
      </c>
      <c r="L3804" t="s">
        <v>17</v>
      </c>
      <c r="M3804">
        <v>479067.73031254398</v>
      </c>
      <c r="N3804">
        <v>1</v>
      </c>
    </row>
    <row r="3805" spans="2:14" x14ac:dyDescent="0.25">
      <c r="B3805" t="s">
        <v>14</v>
      </c>
      <c r="C3805" s="1">
        <v>46027.999988425923</v>
      </c>
      <c r="D3805">
        <v>25.153777567676201</v>
      </c>
      <c r="E3805">
        <v>486114.54266645201</v>
      </c>
      <c r="F3805" s="1">
        <v>46026.09983796296</v>
      </c>
      <c r="G3805">
        <v>52.8777613425152</v>
      </c>
      <c r="H3805" t="s">
        <v>33</v>
      </c>
      <c r="I3805" s="2"/>
      <c r="J3805" t="s">
        <v>16</v>
      </c>
      <c r="K3805">
        <v>486114.54266645201</v>
      </c>
      <c r="L3805" t="s">
        <v>17</v>
      </c>
      <c r="M3805">
        <v>0</v>
      </c>
      <c r="N3805">
        <v>1</v>
      </c>
    </row>
    <row r="3806" spans="2:14" x14ac:dyDescent="0.25">
      <c r="B3806" t="s">
        <v>14</v>
      </c>
      <c r="C3806" s="1">
        <v>46026.999988425923</v>
      </c>
      <c r="D3806">
        <v>25.153777567676201</v>
      </c>
      <c r="E3806">
        <v>486114.54266645201</v>
      </c>
      <c r="F3806" s="1">
        <v>46026.09983796296</v>
      </c>
      <c r="G3806">
        <v>52.8777613425152</v>
      </c>
      <c r="H3806" t="s">
        <v>33</v>
      </c>
      <c r="I3806" s="2"/>
      <c r="J3806" t="s">
        <v>16</v>
      </c>
      <c r="K3806">
        <v>486114.54266645201</v>
      </c>
      <c r="L3806" t="s">
        <v>17</v>
      </c>
      <c r="M3806">
        <v>0</v>
      </c>
      <c r="N3806">
        <v>1</v>
      </c>
    </row>
    <row r="3807" spans="2:14" x14ac:dyDescent="0.25">
      <c r="B3807" t="s">
        <v>14</v>
      </c>
      <c r="C3807" s="1">
        <v>46025.999988425923</v>
      </c>
      <c r="D3807">
        <v>25.153777567676201</v>
      </c>
      <c r="E3807">
        <v>486114.54266645201</v>
      </c>
      <c r="F3807" s="1">
        <v>46023.60633101852</v>
      </c>
      <c r="G3807">
        <v>52.8777613425152</v>
      </c>
      <c r="H3807" t="s">
        <v>33</v>
      </c>
      <c r="I3807" s="2"/>
      <c r="J3807" t="s">
        <v>16</v>
      </c>
      <c r="K3807">
        <v>486114.54266645201</v>
      </c>
      <c r="L3807" t="s">
        <v>17</v>
      </c>
      <c r="M3807">
        <v>0</v>
      </c>
      <c r="N3807">
        <v>1</v>
      </c>
    </row>
    <row r="3808" spans="2:14" x14ac:dyDescent="0.25">
      <c r="B3808" t="s">
        <v>14</v>
      </c>
      <c r="C3808" s="1">
        <v>46024.999988425923</v>
      </c>
      <c r="D3808">
        <v>25.153777567676201</v>
      </c>
      <c r="E3808">
        <v>486114.54266645201</v>
      </c>
      <c r="F3808" s="1">
        <v>46023.60633101852</v>
      </c>
      <c r="G3808">
        <v>52.8777613425152</v>
      </c>
      <c r="H3808" t="s">
        <v>33</v>
      </c>
      <c r="I3808" s="2"/>
      <c r="J3808" t="s">
        <v>16</v>
      </c>
      <c r="K3808">
        <v>486114.54266645201</v>
      </c>
      <c r="L3808" t="s">
        <v>17</v>
      </c>
      <c r="M3808">
        <v>0</v>
      </c>
      <c r="N3808">
        <v>1</v>
      </c>
    </row>
    <row r="3809" spans="2:14" x14ac:dyDescent="0.25">
      <c r="B3809" t="s">
        <v>14</v>
      </c>
      <c r="C3809" s="1">
        <v>46023.999988425923</v>
      </c>
      <c r="D3809">
        <v>25.153777567676201</v>
      </c>
      <c r="E3809">
        <v>486114.54266645201</v>
      </c>
      <c r="F3809" s="1">
        <v>46023.60633101852</v>
      </c>
      <c r="G3809">
        <v>52.8777613425152</v>
      </c>
      <c r="H3809" t="s">
        <v>33</v>
      </c>
      <c r="I3809" s="2"/>
      <c r="J3809" t="s">
        <v>16</v>
      </c>
      <c r="K3809">
        <v>486114.54266645201</v>
      </c>
      <c r="L3809" t="s">
        <v>17</v>
      </c>
      <c r="M3809">
        <v>0</v>
      </c>
      <c r="N3809">
        <v>1</v>
      </c>
    </row>
    <row r="3810" spans="2:14" x14ac:dyDescent="0.25">
      <c r="B3810" t="s">
        <v>14</v>
      </c>
      <c r="C3810" s="1">
        <v>46246.999988425923</v>
      </c>
      <c r="D3810">
        <v>25.153956309963199</v>
      </c>
      <c r="E3810">
        <v>212946.863586169</v>
      </c>
      <c r="F3810" s="1">
        <v>46246.605821759258</v>
      </c>
      <c r="G3810">
        <v>52.876177550206201</v>
      </c>
      <c r="H3810" t="s">
        <v>34</v>
      </c>
      <c r="I3810" s="2"/>
      <c r="J3810" t="s">
        <v>16</v>
      </c>
      <c r="K3810">
        <v>564519.09623497899</v>
      </c>
      <c r="L3810" t="s">
        <v>17</v>
      </c>
      <c r="M3810">
        <v>0</v>
      </c>
      <c r="N3810">
        <v>0.37721817562311599</v>
      </c>
    </row>
    <row r="3811" spans="2:14" x14ac:dyDescent="0.25">
      <c r="B3811" t="s">
        <v>14</v>
      </c>
      <c r="C3811" s="1">
        <v>46245.999988425923</v>
      </c>
      <c r="D3811">
        <v>25.153956309963199</v>
      </c>
      <c r="E3811">
        <v>126717.31179028</v>
      </c>
      <c r="F3811" s="1">
        <v>46243.09915509259</v>
      </c>
      <c r="G3811">
        <v>52.876177550206201</v>
      </c>
      <c r="H3811" t="s">
        <v>34</v>
      </c>
      <c r="I3811" s="2"/>
      <c r="J3811" t="s">
        <v>16</v>
      </c>
      <c r="K3811">
        <v>564519.09623497899</v>
      </c>
      <c r="L3811" t="s">
        <v>17</v>
      </c>
      <c r="M3811">
        <v>-86229.551795888605</v>
      </c>
      <c r="N3811">
        <v>0.22446948674617501</v>
      </c>
    </row>
    <row r="3812" spans="2:14" x14ac:dyDescent="0.25">
      <c r="B3812" t="s">
        <v>14</v>
      </c>
      <c r="C3812" s="1">
        <v>46244.999988425923</v>
      </c>
      <c r="D3812">
        <v>25.153956309963199</v>
      </c>
      <c r="E3812">
        <v>126717.31179028</v>
      </c>
      <c r="F3812" s="1">
        <v>46243.09915509259</v>
      </c>
      <c r="G3812">
        <v>52.876177550206201</v>
      </c>
      <c r="H3812" t="s">
        <v>34</v>
      </c>
      <c r="I3812" s="2"/>
      <c r="J3812" t="s">
        <v>16</v>
      </c>
      <c r="K3812">
        <v>564519.09623497899</v>
      </c>
      <c r="L3812" t="s">
        <v>17</v>
      </c>
      <c r="M3812">
        <v>0</v>
      </c>
      <c r="N3812">
        <v>0.22446948674617501</v>
      </c>
    </row>
    <row r="3813" spans="2:14" x14ac:dyDescent="0.25">
      <c r="B3813" t="s">
        <v>14</v>
      </c>
      <c r="C3813" s="1">
        <v>46243.999988425923</v>
      </c>
      <c r="D3813">
        <v>25.153956309963199</v>
      </c>
      <c r="E3813">
        <v>126717.31179028</v>
      </c>
      <c r="F3813" s="1">
        <v>46243.09915509259</v>
      </c>
      <c r="G3813">
        <v>52.876177550206201</v>
      </c>
      <c r="H3813" t="s">
        <v>34</v>
      </c>
      <c r="I3813" s="2"/>
      <c r="J3813" t="s">
        <v>16</v>
      </c>
      <c r="K3813">
        <v>564519.09623497899</v>
      </c>
      <c r="L3813" t="s">
        <v>17</v>
      </c>
      <c r="M3813">
        <v>0</v>
      </c>
      <c r="N3813">
        <v>0.22446948674617501</v>
      </c>
    </row>
    <row r="3814" spans="2:14" x14ac:dyDescent="0.25">
      <c r="B3814" t="s">
        <v>14</v>
      </c>
      <c r="C3814" s="1">
        <v>46242.999988425923</v>
      </c>
      <c r="D3814">
        <v>25.153956309963199</v>
      </c>
      <c r="E3814">
        <v>109669.27338768799</v>
      </c>
      <c r="F3814" s="1">
        <v>46240.605520833335</v>
      </c>
      <c r="G3814">
        <v>52.876177550206201</v>
      </c>
      <c r="H3814" t="s">
        <v>34</v>
      </c>
      <c r="I3814" s="2"/>
      <c r="J3814" t="s">
        <v>16</v>
      </c>
      <c r="K3814">
        <v>564519.09623497899</v>
      </c>
      <c r="L3814" t="s">
        <v>17</v>
      </c>
      <c r="M3814">
        <v>-17048.038402592501</v>
      </c>
      <c r="N3814">
        <v>0.19427026316579801</v>
      </c>
    </row>
    <row r="3815" spans="2:14" x14ac:dyDescent="0.25">
      <c r="B3815" t="s">
        <v>14</v>
      </c>
      <c r="C3815" s="1">
        <v>46241.999988425923</v>
      </c>
      <c r="D3815">
        <v>25.153956309963199</v>
      </c>
      <c r="E3815">
        <v>109669.27338768799</v>
      </c>
      <c r="F3815" s="1">
        <v>46240.605520833335</v>
      </c>
      <c r="G3815">
        <v>52.876177550206201</v>
      </c>
      <c r="H3815" t="s">
        <v>34</v>
      </c>
      <c r="I3815" s="2"/>
      <c r="J3815" t="s">
        <v>16</v>
      </c>
      <c r="K3815">
        <v>564519.09623497899</v>
      </c>
      <c r="L3815" t="s">
        <v>17</v>
      </c>
      <c r="M3815">
        <v>0</v>
      </c>
      <c r="N3815">
        <v>0.19427026316579801</v>
      </c>
    </row>
    <row r="3816" spans="2:14" x14ac:dyDescent="0.25">
      <c r="B3816" t="s">
        <v>14</v>
      </c>
      <c r="C3816" s="1">
        <v>46240.999988425923</v>
      </c>
      <c r="D3816">
        <v>25.153956309963199</v>
      </c>
      <c r="E3816">
        <v>109669.27338768799</v>
      </c>
      <c r="F3816" s="1">
        <v>46240.605520833335</v>
      </c>
      <c r="G3816">
        <v>52.876177550206201</v>
      </c>
      <c r="H3816" t="s">
        <v>34</v>
      </c>
      <c r="I3816" s="2"/>
      <c r="J3816" t="s">
        <v>16</v>
      </c>
      <c r="K3816">
        <v>564519.09623497899</v>
      </c>
      <c r="L3816" t="s">
        <v>17</v>
      </c>
      <c r="M3816">
        <v>0</v>
      </c>
      <c r="N3816">
        <v>0.19427026316579801</v>
      </c>
    </row>
    <row r="3817" spans="2:14" x14ac:dyDescent="0.25">
      <c r="B3817" t="s">
        <v>14</v>
      </c>
      <c r="C3817" s="1">
        <v>46239.999988425923</v>
      </c>
      <c r="D3817">
        <v>25.153956309963199</v>
      </c>
      <c r="E3817">
        <v>126209.105228228</v>
      </c>
      <c r="F3817" s="1">
        <v>46237.099328703705</v>
      </c>
      <c r="G3817">
        <v>52.876177550206201</v>
      </c>
      <c r="H3817" t="s">
        <v>34</v>
      </c>
      <c r="I3817" s="2"/>
      <c r="J3817" t="s">
        <v>16</v>
      </c>
      <c r="K3817">
        <v>564519.09623497899</v>
      </c>
      <c r="L3817" t="s">
        <v>17</v>
      </c>
      <c r="M3817">
        <v>16539.831840540599</v>
      </c>
      <c r="N3817">
        <v>0.223569239853836</v>
      </c>
    </row>
    <row r="3818" spans="2:14" x14ac:dyDescent="0.25">
      <c r="B3818" t="s">
        <v>14</v>
      </c>
      <c r="C3818" s="1">
        <v>46238.999988425923</v>
      </c>
      <c r="D3818">
        <v>25.153956309963199</v>
      </c>
      <c r="E3818">
        <v>126209.105228228</v>
      </c>
      <c r="F3818" s="1">
        <v>46237.099328703705</v>
      </c>
      <c r="G3818">
        <v>52.876177550206201</v>
      </c>
      <c r="H3818" t="s">
        <v>34</v>
      </c>
      <c r="I3818" s="2"/>
      <c r="J3818" t="s">
        <v>16</v>
      </c>
      <c r="K3818">
        <v>564519.09623497899</v>
      </c>
      <c r="L3818" t="s">
        <v>17</v>
      </c>
      <c r="M3818">
        <v>0</v>
      </c>
      <c r="N3818">
        <v>0.223569239853836</v>
      </c>
    </row>
    <row r="3819" spans="2:14" x14ac:dyDescent="0.25">
      <c r="B3819" t="s">
        <v>14</v>
      </c>
      <c r="C3819" s="1">
        <v>46237.999988425923</v>
      </c>
      <c r="D3819">
        <v>25.153956309963199</v>
      </c>
      <c r="E3819">
        <v>126209.105228228</v>
      </c>
      <c r="F3819" s="1">
        <v>46237.099328703705</v>
      </c>
      <c r="G3819">
        <v>52.876177550206201</v>
      </c>
      <c r="H3819" t="s">
        <v>34</v>
      </c>
      <c r="I3819" s="2"/>
      <c r="J3819" t="s">
        <v>16</v>
      </c>
      <c r="K3819">
        <v>564519.09623497899</v>
      </c>
      <c r="L3819" t="s">
        <v>17</v>
      </c>
      <c r="M3819">
        <v>0</v>
      </c>
      <c r="N3819">
        <v>0.223569239853836</v>
      </c>
    </row>
    <row r="3820" spans="2:14" x14ac:dyDescent="0.25">
      <c r="B3820" t="s">
        <v>14</v>
      </c>
      <c r="C3820" s="1">
        <v>46236.999988425923</v>
      </c>
      <c r="D3820">
        <v>25.153956309963199</v>
      </c>
      <c r="E3820">
        <v>106733.53055831599</v>
      </c>
      <c r="F3820" s="1">
        <v>46234.605810185189</v>
      </c>
      <c r="G3820">
        <v>52.876177550206201</v>
      </c>
      <c r="H3820" t="s">
        <v>34</v>
      </c>
      <c r="I3820" s="2"/>
      <c r="J3820" t="s">
        <v>16</v>
      </c>
      <c r="K3820">
        <v>564519.09623497899</v>
      </c>
      <c r="L3820" t="s">
        <v>17</v>
      </c>
      <c r="M3820">
        <v>-19475.574669912399</v>
      </c>
      <c r="N3820">
        <v>0.189069831773926</v>
      </c>
    </row>
    <row r="3821" spans="2:14" x14ac:dyDescent="0.25">
      <c r="B3821" t="s">
        <v>14</v>
      </c>
      <c r="C3821" s="1">
        <v>46235.999988425923</v>
      </c>
      <c r="D3821">
        <v>25.153956309963199</v>
      </c>
      <c r="E3821">
        <v>106733.53055831599</v>
      </c>
      <c r="F3821" s="1">
        <v>46234.605810185189</v>
      </c>
      <c r="G3821">
        <v>52.876177550206201</v>
      </c>
      <c r="H3821" t="s">
        <v>34</v>
      </c>
      <c r="I3821" s="2"/>
      <c r="J3821" t="s">
        <v>16</v>
      </c>
      <c r="K3821">
        <v>564519.09623497899</v>
      </c>
      <c r="L3821" t="s">
        <v>17</v>
      </c>
      <c r="M3821">
        <v>0</v>
      </c>
      <c r="N3821">
        <v>0.189069831773926</v>
      </c>
    </row>
    <row r="3822" spans="2:14" x14ac:dyDescent="0.25">
      <c r="B3822" t="s">
        <v>14</v>
      </c>
      <c r="C3822" s="1">
        <v>46234.999988425923</v>
      </c>
      <c r="D3822">
        <v>25.153956309963199</v>
      </c>
      <c r="E3822">
        <v>106733.53055831599</v>
      </c>
      <c r="F3822" s="1">
        <v>46234.605810185189</v>
      </c>
      <c r="G3822">
        <v>52.876177550206201</v>
      </c>
      <c r="H3822" t="s">
        <v>34</v>
      </c>
      <c r="I3822" s="2"/>
      <c r="J3822" t="s">
        <v>16</v>
      </c>
      <c r="K3822">
        <v>564519.09623497899</v>
      </c>
      <c r="L3822" t="s">
        <v>17</v>
      </c>
      <c r="M3822">
        <v>0</v>
      </c>
      <c r="N3822">
        <v>0.189069831773926</v>
      </c>
    </row>
    <row r="3823" spans="2:14" x14ac:dyDescent="0.25">
      <c r="B3823" t="s">
        <v>14</v>
      </c>
      <c r="C3823" s="1">
        <v>46233.999988425923</v>
      </c>
      <c r="D3823">
        <v>25.153956309963199</v>
      </c>
      <c r="E3823">
        <v>114937.044252722</v>
      </c>
      <c r="F3823" s="1">
        <v>46231.09915509259</v>
      </c>
      <c r="G3823">
        <v>52.876177550206201</v>
      </c>
      <c r="H3823" t="s">
        <v>34</v>
      </c>
      <c r="I3823" s="2"/>
      <c r="J3823" t="s">
        <v>16</v>
      </c>
      <c r="K3823">
        <v>564519.09623497899</v>
      </c>
      <c r="L3823" t="s">
        <v>17</v>
      </c>
      <c r="M3823">
        <v>8203.5136944057795</v>
      </c>
      <c r="N3823">
        <v>0.203601693936107</v>
      </c>
    </row>
    <row r="3824" spans="2:14" x14ac:dyDescent="0.25">
      <c r="B3824" t="s">
        <v>14</v>
      </c>
      <c r="C3824" s="1">
        <v>46232.999988425923</v>
      </c>
      <c r="D3824">
        <v>25.153956309963199</v>
      </c>
      <c r="E3824">
        <v>114937.044252722</v>
      </c>
      <c r="F3824" s="1">
        <v>46231.09915509259</v>
      </c>
      <c r="G3824">
        <v>52.876177550206201</v>
      </c>
      <c r="H3824" t="s">
        <v>34</v>
      </c>
      <c r="I3824" s="2"/>
      <c r="J3824" t="s">
        <v>16</v>
      </c>
      <c r="K3824">
        <v>564519.09623497899</v>
      </c>
      <c r="L3824" t="s">
        <v>17</v>
      </c>
      <c r="M3824">
        <v>0</v>
      </c>
      <c r="N3824">
        <v>0.203601693936107</v>
      </c>
    </row>
    <row r="3825" spans="2:14" x14ac:dyDescent="0.25">
      <c r="B3825" t="s">
        <v>14</v>
      </c>
      <c r="C3825" s="1">
        <v>46231.999988425923</v>
      </c>
      <c r="D3825">
        <v>25.153956309963199</v>
      </c>
      <c r="E3825">
        <v>114937.044252722</v>
      </c>
      <c r="F3825" s="1">
        <v>46231.09915509259</v>
      </c>
      <c r="G3825">
        <v>52.876177550206201</v>
      </c>
      <c r="H3825" t="s">
        <v>34</v>
      </c>
      <c r="I3825" s="2"/>
      <c r="J3825" t="s">
        <v>16</v>
      </c>
      <c r="K3825">
        <v>564519.09623497899</v>
      </c>
      <c r="L3825" t="s">
        <v>17</v>
      </c>
      <c r="M3825">
        <v>0</v>
      </c>
      <c r="N3825">
        <v>0.203601693936107</v>
      </c>
    </row>
    <row r="3826" spans="2:14" x14ac:dyDescent="0.25">
      <c r="B3826" t="s">
        <v>14</v>
      </c>
      <c r="C3826" s="1">
        <v>46230.999988425923</v>
      </c>
      <c r="D3826">
        <v>25.153956309963199</v>
      </c>
      <c r="E3826">
        <v>99871.916196116203</v>
      </c>
      <c r="F3826" s="1">
        <v>46228.605520833335</v>
      </c>
      <c r="G3826">
        <v>52.876177550206201</v>
      </c>
      <c r="H3826" t="s">
        <v>34</v>
      </c>
      <c r="I3826" s="2"/>
      <c r="J3826" t="s">
        <v>16</v>
      </c>
      <c r="K3826">
        <v>564519.09623497899</v>
      </c>
      <c r="L3826" t="s">
        <v>17</v>
      </c>
      <c r="M3826">
        <v>-15065.128056605899</v>
      </c>
      <c r="N3826">
        <v>0.17691503593448801</v>
      </c>
    </row>
    <row r="3827" spans="2:14" x14ac:dyDescent="0.25">
      <c r="B3827" t="s">
        <v>14</v>
      </c>
      <c r="C3827" s="1">
        <v>46229.999988425923</v>
      </c>
      <c r="D3827">
        <v>25.153956309963199</v>
      </c>
      <c r="E3827">
        <v>99871.916196116203</v>
      </c>
      <c r="F3827" s="1">
        <v>46228.605520833335</v>
      </c>
      <c r="G3827">
        <v>52.876177550206201</v>
      </c>
      <c r="H3827" t="s">
        <v>34</v>
      </c>
      <c r="I3827" s="2"/>
      <c r="J3827" t="s">
        <v>16</v>
      </c>
      <c r="K3827">
        <v>564519.09623497899</v>
      </c>
      <c r="L3827" t="s">
        <v>17</v>
      </c>
      <c r="M3827">
        <v>0</v>
      </c>
      <c r="N3827">
        <v>0.17691503593448801</v>
      </c>
    </row>
    <row r="3828" spans="2:14" x14ac:dyDescent="0.25">
      <c r="B3828" t="s">
        <v>14</v>
      </c>
      <c r="C3828" s="1">
        <v>46228.999988425923</v>
      </c>
      <c r="D3828">
        <v>25.153956309963199</v>
      </c>
      <c r="E3828">
        <v>99871.916196116203</v>
      </c>
      <c r="F3828" s="1">
        <v>46228.605520833335</v>
      </c>
      <c r="G3828">
        <v>52.876177550206201</v>
      </c>
      <c r="H3828" t="s">
        <v>34</v>
      </c>
      <c r="I3828" s="2"/>
      <c r="J3828" t="s">
        <v>16</v>
      </c>
      <c r="K3828">
        <v>564519.09623497899</v>
      </c>
      <c r="L3828" t="s">
        <v>17</v>
      </c>
      <c r="M3828">
        <v>0</v>
      </c>
      <c r="N3828">
        <v>0.17691503593448801</v>
      </c>
    </row>
    <row r="3829" spans="2:14" x14ac:dyDescent="0.25">
      <c r="B3829" t="s">
        <v>14</v>
      </c>
      <c r="C3829" s="1">
        <v>46227.999988425923</v>
      </c>
      <c r="D3829">
        <v>25.153956309963199</v>
      </c>
      <c r="E3829">
        <v>509599.624288233</v>
      </c>
      <c r="F3829" s="1">
        <v>46225.099317129629</v>
      </c>
      <c r="G3829">
        <v>52.876177550206201</v>
      </c>
      <c r="H3829" t="s">
        <v>34</v>
      </c>
      <c r="I3829" s="2"/>
      <c r="J3829" t="s">
        <v>16</v>
      </c>
      <c r="K3829">
        <v>564519.09623497899</v>
      </c>
      <c r="L3829" t="s">
        <v>17</v>
      </c>
      <c r="M3829">
        <v>409727.70809211599</v>
      </c>
      <c r="N3829">
        <v>0.90271458961613904</v>
      </c>
    </row>
    <row r="3830" spans="2:14" x14ac:dyDescent="0.25">
      <c r="B3830" t="s">
        <v>14</v>
      </c>
      <c r="C3830" s="1">
        <v>46226.999988425923</v>
      </c>
      <c r="D3830">
        <v>25.153956309963199</v>
      </c>
      <c r="E3830">
        <v>509599.624288233</v>
      </c>
      <c r="F3830" s="1">
        <v>46225.099317129629</v>
      </c>
      <c r="G3830">
        <v>52.876177550206201</v>
      </c>
      <c r="H3830" t="s">
        <v>34</v>
      </c>
      <c r="I3830" s="2"/>
      <c r="J3830" t="s">
        <v>16</v>
      </c>
      <c r="K3830">
        <v>564519.09623497899</v>
      </c>
      <c r="L3830" t="s">
        <v>17</v>
      </c>
      <c r="M3830">
        <v>0</v>
      </c>
      <c r="N3830">
        <v>0.90271458961613904</v>
      </c>
    </row>
    <row r="3831" spans="2:14" x14ac:dyDescent="0.25">
      <c r="B3831" t="s">
        <v>14</v>
      </c>
      <c r="C3831" s="1">
        <v>46225.999988425923</v>
      </c>
      <c r="D3831">
        <v>25.153956309963199</v>
      </c>
      <c r="E3831">
        <v>509599.624288233</v>
      </c>
      <c r="F3831" s="1">
        <v>46225.099317129629</v>
      </c>
      <c r="G3831">
        <v>52.876177550206201</v>
      </c>
      <c r="H3831" t="s">
        <v>34</v>
      </c>
      <c r="I3831" s="2"/>
      <c r="J3831" t="s">
        <v>16</v>
      </c>
      <c r="K3831">
        <v>564519.09623497899</v>
      </c>
      <c r="L3831" t="s">
        <v>17</v>
      </c>
      <c r="M3831">
        <v>0</v>
      </c>
      <c r="N3831">
        <v>0.90271458961613904</v>
      </c>
    </row>
    <row r="3832" spans="2:14" x14ac:dyDescent="0.25">
      <c r="B3832" t="s">
        <v>14</v>
      </c>
      <c r="C3832" s="1">
        <v>46224.999988425923</v>
      </c>
      <c r="D3832">
        <v>25.153956309963199</v>
      </c>
      <c r="E3832">
        <v>192512.648157257</v>
      </c>
      <c r="F3832" s="1">
        <v>46222.605810185189</v>
      </c>
      <c r="G3832">
        <v>52.876177550206201</v>
      </c>
      <c r="H3832" t="s">
        <v>34</v>
      </c>
      <c r="I3832" s="2"/>
      <c r="J3832" t="s">
        <v>16</v>
      </c>
      <c r="K3832">
        <v>564519.09623497899</v>
      </c>
      <c r="L3832" t="s">
        <v>17</v>
      </c>
      <c r="M3832">
        <v>-317086.976130975</v>
      </c>
      <c r="N3832">
        <v>0.34102061283879898</v>
      </c>
    </row>
    <row r="3833" spans="2:14" x14ac:dyDescent="0.25">
      <c r="B3833" t="s">
        <v>14</v>
      </c>
      <c r="C3833" s="1">
        <v>46223.999988425923</v>
      </c>
      <c r="D3833">
        <v>25.153956309963199</v>
      </c>
      <c r="E3833">
        <v>192512.648157257</v>
      </c>
      <c r="F3833" s="1">
        <v>46222.605810185189</v>
      </c>
      <c r="G3833">
        <v>52.876177550206201</v>
      </c>
      <c r="H3833" t="s">
        <v>34</v>
      </c>
      <c r="I3833" s="2"/>
      <c r="J3833" t="s">
        <v>16</v>
      </c>
      <c r="K3833">
        <v>564519.09623497899</v>
      </c>
      <c r="L3833" t="s">
        <v>17</v>
      </c>
      <c r="M3833">
        <v>0</v>
      </c>
      <c r="N3833">
        <v>0.34102061283879898</v>
      </c>
    </row>
    <row r="3834" spans="2:14" x14ac:dyDescent="0.25">
      <c r="B3834" t="s">
        <v>14</v>
      </c>
      <c r="C3834" s="1">
        <v>46222.999988425923</v>
      </c>
      <c r="D3834">
        <v>25.153956309963199</v>
      </c>
      <c r="E3834">
        <v>192512.648157257</v>
      </c>
      <c r="F3834" s="1">
        <v>46222.605810185189</v>
      </c>
      <c r="G3834">
        <v>52.876177550206201</v>
      </c>
      <c r="H3834" t="s">
        <v>34</v>
      </c>
      <c r="I3834" s="2"/>
      <c r="J3834" t="s">
        <v>16</v>
      </c>
      <c r="K3834">
        <v>564519.09623497899</v>
      </c>
      <c r="L3834" t="s">
        <v>17</v>
      </c>
      <c r="M3834">
        <v>0</v>
      </c>
      <c r="N3834">
        <v>0.34102061283879898</v>
      </c>
    </row>
    <row r="3835" spans="2:14" x14ac:dyDescent="0.25">
      <c r="B3835" t="s">
        <v>14</v>
      </c>
      <c r="C3835" s="1">
        <v>46221.999988425923</v>
      </c>
      <c r="D3835">
        <v>25.153956309963199</v>
      </c>
      <c r="E3835">
        <v>125311.760216514</v>
      </c>
      <c r="F3835" s="1">
        <v>46219.099143518521</v>
      </c>
      <c r="G3835">
        <v>52.876177550206201</v>
      </c>
      <c r="H3835" t="s">
        <v>34</v>
      </c>
      <c r="I3835" s="2"/>
      <c r="J3835" t="s">
        <v>16</v>
      </c>
      <c r="K3835">
        <v>564519.09623497899</v>
      </c>
      <c r="L3835" t="s">
        <v>17</v>
      </c>
      <c r="M3835">
        <v>-67200.887940743502</v>
      </c>
      <c r="N3835">
        <v>0.221979665616756</v>
      </c>
    </row>
    <row r="3836" spans="2:14" x14ac:dyDescent="0.25">
      <c r="B3836" t="s">
        <v>14</v>
      </c>
      <c r="C3836" s="1">
        <v>46220.999988425923</v>
      </c>
      <c r="D3836">
        <v>25.153956309963199</v>
      </c>
      <c r="E3836">
        <v>125311.760216514</v>
      </c>
      <c r="F3836" s="1">
        <v>46219.099143518521</v>
      </c>
      <c r="G3836">
        <v>52.876177550206201</v>
      </c>
      <c r="H3836" t="s">
        <v>34</v>
      </c>
      <c r="I3836" s="2"/>
      <c r="J3836" t="s">
        <v>16</v>
      </c>
      <c r="K3836">
        <v>564519.09623497899</v>
      </c>
      <c r="L3836" t="s">
        <v>17</v>
      </c>
      <c r="M3836">
        <v>0</v>
      </c>
      <c r="N3836">
        <v>0.221979665616756</v>
      </c>
    </row>
    <row r="3837" spans="2:14" x14ac:dyDescent="0.25">
      <c r="B3837" t="s">
        <v>14</v>
      </c>
      <c r="C3837" s="1">
        <v>46219.999988425923</v>
      </c>
      <c r="D3837">
        <v>25.153956309963199</v>
      </c>
      <c r="E3837">
        <v>125311.760216514</v>
      </c>
      <c r="F3837" s="1">
        <v>46219.099143518521</v>
      </c>
      <c r="G3837">
        <v>52.876177550206201</v>
      </c>
      <c r="H3837" t="s">
        <v>34</v>
      </c>
      <c r="I3837" s="2"/>
      <c r="J3837" t="s">
        <v>16</v>
      </c>
      <c r="K3837">
        <v>564519.09623497899</v>
      </c>
      <c r="L3837" t="s">
        <v>17</v>
      </c>
      <c r="M3837">
        <v>0</v>
      </c>
      <c r="N3837">
        <v>0.221979665616756</v>
      </c>
    </row>
    <row r="3838" spans="2:14" x14ac:dyDescent="0.25">
      <c r="B3838" t="s">
        <v>14</v>
      </c>
      <c r="C3838" s="1">
        <v>46218.999988425923</v>
      </c>
      <c r="D3838">
        <v>25.153956309963199</v>
      </c>
      <c r="E3838">
        <v>109821.51217291399</v>
      </c>
      <c r="F3838" s="1">
        <v>46216.605509259258</v>
      </c>
      <c r="G3838">
        <v>52.876177550206201</v>
      </c>
      <c r="H3838" t="s">
        <v>34</v>
      </c>
      <c r="I3838" s="2"/>
      <c r="J3838" t="s">
        <v>16</v>
      </c>
      <c r="K3838">
        <v>564519.09623497899</v>
      </c>
      <c r="L3838" t="s">
        <v>17</v>
      </c>
      <c r="M3838">
        <v>-15490.2480435998</v>
      </c>
      <c r="N3838">
        <v>0.19453994188214499</v>
      </c>
    </row>
    <row r="3839" spans="2:14" x14ac:dyDescent="0.25">
      <c r="B3839" t="s">
        <v>14</v>
      </c>
      <c r="C3839" s="1">
        <v>46217.999988425923</v>
      </c>
      <c r="D3839">
        <v>25.153956309963199</v>
      </c>
      <c r="E3839">
        <v>109821.51217291399</v>
      </c>
      <c r="F3839" s="1">
        <v>46216.605509259258</v>
      </c>
      <c r="G3839">
        <v>52.876177550206201</v>
      </c>
      <c r="H3839" t="s">
        <v>34</v>
      </c>
      <c r="I3839" s="2"/>
      <c r="J3839" t="s">
        <v>16</v>
      </c>
      <c r="K3839">
        <v>564519.09623497899</v>
      </c>
      <c r="L3839" t="s">
        <v>17</v>
      </c>
      <c r="M3839">
        <v>0</v>
      </c>
      <c r="N3839">
        <v>0.19453994188214499</v>
      </c>
    </row>
    <row r="3840" spans="2:14" x14ac:dyDescent="0.25">
      <c r="B3840" t="s">
        <v>14</v>
      </c>
      <c r="C3840" s="1">
        <v>46216.999988425923</v>
      </c>
      <c r="D3840">
        <v>25.153956309963199</v>
      </c>
      <c r="E3840">
        <v>109821.51217291399</v>
      </c>
      <c r="F3840" s="1">
        <v>46216.605509259258</v>
      </c>
      <c r="G3840">
        <v>52.876177550206201</v>
      </c>
      <c r="H3840" t="s">
        <v>34</v>
      </c>
      <c r="I3840" s="2"/>
      <c r="J3840" t="s">
        <v>16</v>
      </c>
      <c r="K3840">
        <v>564519.09623497899</v>
      </c>
      <c r="L3840" t="s">
        <v>17</v>
      </c>
      <c r="M3840">
        <v>0</v>
      </c>
      <c r="N3840">
        <v>0.19453994188214499</v>
      </c>
    </row>
    <row r="3841" spans="2:14" x14ac:dyDescent="0.25">
      <c r="B3841" t="s">
        <v>14</v>
      </c>
      <c r="C3841" s="1">
        <v>46215.999988425923</v>
      </c>
      <c r="D3841">
        <v>25.153956309963199</v>
      </c>
      <c r="E3841">
        <v>203898.38537170101</v>
      </c>
      <c r="F3841" s="1">
        <v>46213.099305555559</v>
      </c>
      <c r="G3841">
        <v>52.876177550206201</v>
      </c>
      <c r="H3841" t="s">
        <v>34</v>
      </c>
      <c r="I3841" s="2"/>
      <c r="J3841" t="s">
        <v>16</v>
      </c>
      <c r="K3841">
        <v>564519.09623497899</v>
      </c>
      <c r="L3841" t="s">
        <v>17</v>
      </c>
      <c r="M3841">
        <v>94076.873198787405</v>
      </c>
      <c r="N3841">
        <v>0.361189527035644</v>
      </c>
    </row>
    <row r="3842" spans="2:14" x14ac:dyDescent="0.25">
      <c r="B3842" t="s">
        <v>14</v>
      </c>
      <c r="C3842" s="1">
        <v>46214.999988425923</v>
      </c>
      <c r="D3842">
        <v>25.153956309963199</v>
      </c>
      <c r="E3842">
        <v>203898.38537170101</v>
      </c>
      <c r="F3842" s="1">
        <v>46213.099305555559</v>
      </c>
      <c r="G3842">
        <v>52.876177550206201</v>
      </c>
      <c r="H3842" t="s">
        <v>34</v>
      </c>
      <c r="I3842" s="2"/>
      <c r="J3842" t="s">
        <v>16</v>
      </c>
      <c r="K3842">
        <v>564519.09623497899</v>
      </c>
      <c r="L3842" t="s">
        <v>17</v>
      </c>
      <c r="M3842">
        <v>0</v>
      </c>
      <c r="N3842">
        <v>0.361189527035644</v>
      </c>
    </row>
    <row r="3843" spans="2:14" x14ac:dyDescent="0.25">
      <c r="B3843" t="s">
        <v>14</v>
      </c>
      <c r="C3843" s="1">
        <v>46213.999988425923</v>
      </c>
      <c r="D3843">
        <v>25.153956309963199</v>
      </c>
      <c r="E3843">
        <v>203898.38537170101</v>
      </c>
      <c r="F3843" s="1">
        <v>46213.099305555559</v>
      </c>
      <c r="G3843">
        <v>52.876177550206201</v>
      </c>
      <c r="H3843" t="s">
        <v>34</v>
      </c>
      <c r="I3843" s="2"/>
      <c r="J3843" t="s">
        <v>16</v>
      </c>
      <c r="K3843">
        <v>564519.09623497899</v>
      </c>
      <c r="L3843" t="s">
        <v>17</v>
      </c>
      <c r="M3843">
        <v>0</v>
      </c>
      <c r="N3843">
        <v>0.361189527035644</v>
      </c>
    </row>
    <row r="3844" spans="2:14" x14ac:dyDescent="0.25">
      <c r="B3844" t="s">
        <v>14</v>
      </c>
      <c r="C3844" s="1">
        <v>46212.999988425923</v>
      </c>
      <c r="D3844">
        <v>25.153956309963199</v>
      </c>
      <c r="E3844">
        <v>117118.014449674</v>
      </c>
      <c r="F3844" s="1">
        <v>46210.605798611112</v>
      </c>
      <c r="G3844">
        <v>52.876177550206201</v>
      </c>
      <c r="H3844" t="s">
        <v>34</v>
      </c>
      <c r="I3844" s="2"/>
      <c r="J3844" t="s">
        <v>16</v>
      </c>
      <c r="K3844">
        <v>564519.09623497899</v>
      </c>
      <c r="L3844" t="s">
        <v>17</v>
      </c>
      <c r="M3844">
        <v>-86780.370922027505</v>
      </c>
      <c r="N3844">
        <v>0.20746510654959999</v>
      </c>
    </row>
    <row r="3845" spans="2:14" x14ac:dyDescent="0.25">
      <c r="B3845" t="s">
        <v>14</v>
      </c>
      <c r="C3845" s="1">
        <v>46211.999988425923</v>
      </c>
      <c r="D3845">
        <v>25.153956309963199</v>
      </c>
      <c r="E3845">
        <v>117118.014449674</v>
      </c>
      <c r="F3845" s="1">
        <v>46210.605798611112</v>
      </c>
      <c r="G3845">
        <v>52.876177550206201</v>
      </c>
      <c r="H3845" t="s">
        <v>34</v>
      </c>
      <c r="I3845" s="2"/>
      <c r="J3845" t="s">
        <v>16</v>
      </c>
      <c r="K3845">
        <v>564519.09623497899</v>
      </c>
      <c r="L3845" t="s">
        <v>17</v>
      </c>
      <c r="M3845">
        <v>0</v>
      </c>
      <c r="N3845">
        <v>0.20746510654959999</v>
      </c>
    </row>
    <row r="3846" spans="2:14" x14ac:dyDescent="0.25">
      <c r="B3846" t="s">
        <v>14</v>
      </c>
      <c r="C3846" s="1">
        <v>46210.999988425923</v>
      </c>
      <c r="D3846">
        <v>25.153956309963199</v>
      </c>
      <c r="E3846">
        <v>117118.014449674</v>
      </c>
      <c r="F3846" s="1">
        <v>46210.605798611112</v>
      </c>
      <c r="G3846">
        <v>52.876177550206201</v>
      </c>
      <c r="H3846" t="s">
        <v>34</v>
      </c>
      <c r="I3846" s="2"/>
      <c r="J3846" t="s">
        <v>16</v>
      </c>
      <c r="K3846">
        <v>564519.09623497899</v>
      </c>
      <c r="L3846" t="s">
        <v>17</v>
      </c>
      <c r="M3846">
        <v>0</v>
      </c>
      <c r="N3846">
        <v>0.20746510654959999</v>
      </c>
    </row>
    <row r="3847" spans="2:14" x14ac:dyDescent="0.25">
      <c r="B3847" t="s">
        <v>14</v>
      </c>
      <c r="C3847" s="1">
        <v>46209.999988425923</v>
      </c>
      <c r="D3847">
        <v>25.153956309963199</v>
      </c>
      <c r="E3847">
        <v>132025.168510049</v>
      </c>
      <c r="F3847" s="1">
        <v>46207.099131944444</v>
      </c>
      <c r="G3847">
        <v>52.876177550206201</v>
      </c>
      <c r="H3847" t="s">
        <v>34</v>
      </c>
      <c r="I3847" s="2"/>
      <c r="J3847" t="s">
        <v>16</v>
      </c>
      <c r="K3847">
        <v>564519.09623497899</v>
      </c>
      <c r="L3847" t="s">
        <v>17</v>
      </c>
      <c r="M3847">
        <v>14907.1540603749</v>
      </c>
      <c r="N3847">
        <v>0.23387192637163501</v>
      </c>
    </row>
    <row r="3848" spans="2:14" x14ac:dyDescent="0.25">
      <c r="B3848" t="s">
        <v>14</v>
      </c>
      <c r="C3848" s="1">
        <v>46208.999988425923</v>
      </c>
      <c r="D3848">
        <v>25.153956309963199</v>
      </c>
      <c r="E3848">
        <v>132025.168510049</v>
      </c>
      <c r="F3848" s="1">
        <v>46207.099131944444</v>
      </c>
      <c r="G3848">
        <v>52.876177550206201</v>
      </c>
      <c r="H3848" t="s">
        <v>34</v>
      </c>
      <c r="I3848" s="2"/>
      <c r="J3848" t="s">
        <v>16</v>
      </c>
      <c r="K3848">
        <v>564519.09623497899</v>
      </c>
      <c r="L3848" t="s">
        <v>17</v>
      </c>
      <c r="M3848">
        <v>0</v>
      </c>
      <c r="N3848">
        <v>0.23387192637163501</v>
      </c>
    </row>
    <row r="3849" spans="2:14" x14ac:dyDescent="0.25">
      <c r="B3849" t="s">
        <v>14</v>
      </c>
      <c r="C3849" s="1">
        <v>46207.999988425923</v>
      </c>
      <c r="D3849">
        <v>25.153956309963199</v>
      </c>
      <c r="E3849">
        <v>132025.168510049</v>
      </c>
      <c r="F3849" s="1">
        <v>46207.099131944444</v>
      </c>
      <c r="G3849">
        <v>52.876177550206201</v>
      </c>
      <c r="H3849" t="s">
        <v>34</v>
      </c>
      <c r="I3849" s="2"/>
      <c r="J3849" t="s">
        <v>16</v>
      </c>
      <c r="K3849">
        <v>564519.09623497899</v>
      </c>
      <c r="L3849" t="s">
        <v>17</v>
      </c>
      <c r="M3849">
        <v>0</v>
      </c>
      <c r="N3849">
        <v>0.23387192637163501</v>
      </c>
    </row>
    <row r="3850" spans="2:14" x14ac:dyDescent="0.25">
      <c r="B3850" t="s">
        <v>14</v>
      </c>
      <c r="C3850" s="1">
        <v>46206.999988425923</v>
      </c>
      <c r="D3850">
        <v>25.153956309963199</v>
      </c>
      <c r="E3850">
        <v>111606.88571172699</v>
      </c>
      <c r="F3850" s="1">
        <v>46204.605509259258</v>
      </c>
      <c r="G3850">
        <v>52.876177550206201</v>
      </c>
      <c r="H3850" t="s">
        <v>34</v>
      </c>
      <c r="I3850" s="2"/>
      <c r="J3850" t="s">
        <v>16</v>
      </c>
      <c r="K3850">
        <v>564519.09623497899</v>
      </c>
      <c r="L3850" t="s">
        <v>17</v>
      </c>
      <c r="M3850">
        <v>-20418.282798321299</v>
      </c>
      <c r="N3850">
        <v>0.197702586956016</v>
      </c>
    </row>
    <row r="3851" spans="2:14" x14ac:dyDescent="0.25">
      <c r="B3851" t="s">
        <v>14</v>
      </c>
      <c r="C3851" s="1">
        <v>46205.999988425923</v>
      </c>
      <c r="D3851">
        <v>25.153956309963199</v>
      </c>
      <c r="E3851">
        <v>111606.88571172699</v>
      </c>
      <c r="F3851" s="1">
        <v>46204.605509259258</v>
      </c>
      <c r="G3851">
        <v>52.876177550206201</v>
      </c>
      <c r="H3851" t="s">
        <v>34</v>
      </c>
      <c r="I3851" s="2"/>
      <c r="J3851" t="s">
        <v>16</v>
      </c>
      <c r="K3851">
        <v>564519.09623497899</v>
      </c>
      <c r="L3851" t="s">
        <v>17</v>
      </c>
      <c r="M3851">
        <v>0</v>
      </c>
      <c r="N3851">
        <v>0.197702586956016</v>
      </c>
    </row>
    <row r="3852" spans="2:14" x14ac:dyDescent="0.25">
      <c r="B3852" t="s">
        <v>14</v>
      </c>
      <c r="C3852" s="1">
        <v>46204.999988425923</v>
      </c>
      <c r="D3852">
        <v>25.153956309963199</v>
      </c>
      <c r="E3852">
        <v>111606.88571172699</v>
      </c>
      <c r="F3852" s="1">
        <v>46204.605509259258</v>
      </c>
      <c r="G3852">
        <v>52.876177550206201</v>
      </c>
      <c r="H3852" t="s">
        <v>34</v>
      </c>
      <c r="I3852" s="2"/>
      <c r="J3852" t="s">
        <v>16</v>
      </c>
      <c r="K3852">
        <v>564519.09623497899</v>
      </c>
      <c r="L3852" t="s">
        <v>17</v>
      </c>
      <c r="M3852">
        <v>0</v>
      </c>
      <c r="N3852">
        <v>0.197702586956016</v>
      </c>
    </row>
    <row r="3853" spans="2:14" x14ac:dyDescent="0.25">
      <c r="B3853" t="s">
        <v>14</v>
      </c>
      <c r="C3853" s="1">
        <v>46203.999988425923</v>
      </c>
      <c r="D3853">
        <v>25.153956309963199</v>
      </c>
      <c r="E3853">
        <v>128147.67420908999</v>
      </c>
      <c r="F3853" s="1">
        <v>46201.099305555559</v>
      </c>
      <c r="G3853">
        <v>52.876177550206201</v>
      </c>
      <c r="H3853" t="s">
        <v>34</v>
      </c>
      <c r="I3853" s="2"/>
      <c r="J3853" t="s">
        <v>16</v>
      </c>
      <c r="K3853">
        <v>564519.09623497899</v>
      </c>
      <c r="L3853" t="s">
        <v>17</v>
      </c>
      <c r="M3853">
        <v>16540.7884973625</v>
      </c>
      <c r="N3853">
        <v>0.22700325828437301</v>
      </c>
    </row>
    <row r="3854" spans="2:14" x14ac:dyDescent="0.25">
      <c r="B3854" t="s">
        <v>14</v>
      </c>
      <c r="C3854" s="1">
        <v>46202.999988425923</v>
      </c>
      <c r="D3854">
        <v>25.153956309963199</v>
      </c>
      <c r="E3854">
        <v>128147.67420908999</v>
      </c>
      <c r="F3854" s="1">
        <v>46201.099305555559</v>
      </c>
      <c r="G3854">
        <v>52.876177550206201</v>
      </c>
      <c r="H3854" t="s">
        <v>34</v>
      </c>
      <c r="I3854" s="2"/>
      <c r="J3854" t="s">
        <v>16</v>
      </c>
      <c r="K3854">
        <v>564519.09623497899</v>
      </c>
      <c r="L3854" t="s">
        <v>17</v>
      </c>
      <c r="M3854">
        <v>0</v>
      </c>
      <c r="N3854">
        <v>0.22700325828437301</v>
      </c>
    </row>
    <row r="3855" spans="2:14" x14ac:dyDescent="0.25">
      <c r="B3855" t="s">
        <v>14</v>
      </c>
      <c r="C3855" s="1">
        <v>46201.999988425923</v>
      </c>
      <c r="D3855">
        <v>25.153956309963199</v>
      </c>
      <c r="E3855">
        <v>128147.67420908999</v>
      </c>
      <c r="F3855" s="1">
        <v>46201.099305555559</v>
      </c>
      <c r="G3855">
        <v>52.876177550206201</v>
      </c>
      <c r="H3855" t="s">
        <v>34</v>
      </c>
      <c r="I3855" s="2"/>
      <c r="J3855" t="s">
        <v>16</v>
      </c>
      <c r="K3855">
        <v>564519.09623497899</v>
      </c>
      <c r="L3855" t="s">
        <v>17</v>
      </c>
      <c r="M3855">
        <v>0</v>
      </c>
      <c r="N3855">
        <v>0.22700325828437301</v>
      </c>
    </row>
    <row r="3856" spans="2:14" x14ac:dyDescent="0.25">
      <c r="B3856" t="s">
        <v>14</v>
      </c>
      <c r="C3856" s="1">
        <v>46200.999988425923</v>
      </c>
      <c r="D3856">
        <v>25.153956309963199</v>
      </c>
      <c r="E3856">
        <v>109657.251434007</v>
      </c>
      <c r="F3856" s="1">
        <v>46198.605787037035</v>
      </c>
      <c r="G3856">
        <v>52.876177550206201</v>
      </c>
      <c r="H3856" t="s">
        <v>34</v>
      </c>
      <c r="I3856" s="2"/>
      <c r="J3856" t="s">
        <v>16</v>
      </c>
      <c r="K3856">
        <v>564519.09623497899</v>
      </c>
      <c r="L3856" t="s">
        <v>17</v>
      </c>
      <c r="M3856">
        <v>-18490.4227750832</v>
      </c>
      <c r="N3856">
        <v>0.19424896724549801</v>
      </c>
    </row>
    <row r="3857" spans="2:14" x14ac:dyDescent="0.25">
      <c r="B3857" t="s">
        <v>14</v>
      </c>
      <c r="C3857" s="1">
        <v>46199.999988425923</v>
      </c>
      <c r="D3857">
        <v>25.153956309963199</v>
      </c>
      <c r="E3857">
        <v>109657.251434007</v>
      </c>
      <c r="F3857" s="1">
        <v>46198.605787037035</v>
      </c>
      <c r="G3857">
        <v>52.876177550206201</v>
      </c>
      <c r="H3857" t="s">
        <v>34</v>
      </c>
      <c r="I3857" s="2"/>
      <c r="J3857" t="s">
        <v>16</v>
      </c>
      <c r="K3857">
        <v>564519.09623497899</v>
      </c>
      <c r="L3857" t="s">
        <v>17</v>
      </c>
      <c r="M3857">
        <v>0</v>
      </c>
      <c r="N3857">
        <v>0.19424896724549801</v>
      </c>
    </row>
    <row r="3858" spans="2:14" x14ac:dyDescent="0.25">
      <c r="B3858" t="s">
        <v>14</v>
      </c>
      <c r="C3858" s="1">
        <v>46198.999988425923</v>
      </c>
      <c r="D3858">
        <v>25.153956309963199</v>
      </c>
      <c r="E3858">
        <v>109657.251434007</v>
      </c>
      <c r="F3858" s="1">
        <v>46198.605787037035</v>
      </c>
      <c r="G3858">
        <v>52.876177550206201</v>
      </c>
      <c r="H3858" t="s">
        <v>34</v>
      </c>
      <c r="I3858" s="2"/>
      <c r="J3858" t="s">
        <v>16</v>
      </c>
      <c r="K3858">
        <v>564519.09623497899</v>
      </c>
      <c r="L3858" t="s">
        <v>17</v>
      </c>
      <c r="M3858">
        <v>0</v>
      </c>
      <c r="N3858">
        <v>0.19424896724549801</v>
      </c>
    </row>
    <row r="3859" spans="2:14" x14ac:dyDescent="0.25">
      <c r="B3859" t="s">
        <v>14</v>
      </c>
      <c r="C3859" s="1">
        <v>46197.999988425923</v>
      </c>
      <c r="D3859">
        <v>25.153956309963199</v>
      </c>
      <c r="E3859">
        <v>128289.848110565</v>
      </c>
      <c r="F3859" s="1">
        <v>46194.099780092591</v>
      </c>
      <c r="G3859">
        <v>52.876177550206201</v>
      </c>
      <c r="H3859" t="s">
        <v>34</v>
      </c>
      <c r="I3859" s="2"/>
      <c r="J3859" t="s">
        <v>16</v>
      </c>
      <c r="K3859">
        <v>564519.09623497899</v>
      </c>
      <c r="L3859" t="s">
        <v>17</v>
      </c>
      <c r="M3859">
        <v>18632.5966765587</v>
      </c>
      <c r="N3859">
        <v>0.22725510787179001</v>
      </c>
    </row>
    <row r="3860" spans="2:14" x14ac:dyDescent="0.25">
      <c r="B3860" t="s">
        <v>14</v>
      </c>
      <c r="C3860" s="1">
        <v>46196.999988425923</v>
      </c>
      <c r="D3860">
        <v>25.153956309963199</v>
      </c>
      <c r="E3860">
        <v>128289.848110565</v>
      </c>
      <c r="F3860" s="1">
        <v>46194.099780092591</v>
      </c>
      <c r="G3860">
        <v>52.876177550206201</v>
      </c>
      <c r="H3860" t="s">
        <v>34</v>
      </c>
      <c r="I3860" s="2"/>
      <c r="J3860" t="s">
        <v>16</v>
      </c>
      <c r="K3860">
        <v>564519.09623497899</v>
      </c>
      <c r="L3860" t="s">
        <v>17</v>
      </c>
      <c r="M3860">
        <v>0</v>
      </c>
      <c r="N3860">
        <v>0.22725510787179001</v>
      </c>
    </row>
    <row r="3861" spans="2:14" x14ac:dyDescent="0.25">
      <c r="B3861" t="s">
        <v>14</v>
      </c>
      <c r="C3861" s="1">
        <v>46195.999988425923</v>
      </c>
      <c r="D3861">
        <v>25.153956309963199</v>
      </c>
      <c r="E3861">
        <v>128289.848110565</v>
      </c>
      <c r="F3861" s="1">
        <v>46194.099780092591</v>
      </c>
      <c r="G3861">
        <v>52.876177550206201</v>
      </c>
      <c r="H3861" t="s">
        <v>34</v>
      </c>
      <c r="I3861" s="2"/>
      <c r="J3861" t="s">
        <v>16</v>
      </c>
      <c r="K3861">
        <v>564519.09623497899</v>
      </c>
      <c r="L3861" t="s">
        <v>17</v>
      </c>
      <c r="M3861">
        <v>0</v>
      </c>
      <c r="N3861">
        <v>0.22725510787179001</v>
      </c>
    </row>
    <row r="3862" spans="2:14" x14ac:dyDescent="0.25">
      <c r="B3862" t="s">
        <v>14</v>
      </c>
      <c r="C3862" s="1">
        <v>46194.999988425923</v>
      </c>
      <c r="D3862">
        <v>25.153956309963199</v>
      </c>
      <c r="E3862">
        <v>128289.848110565</v>
      </c>
      <c r="F3862" s="1">
        <v>46194.099780092591</v>
      </c>
      <c r="G3862">
        <v>52.876177550206201</v>
      </c>
      <c r="H3862" t="s">
        <v>34</v>
      </c>
      <c r="I3862" s="2"/>
      <c r="J3862" t="s">
        <v>16</v>
      </c>
      <c r="K3862">
        <v>564519.09623497899</v>
      </c>
      <c r="L3862" t="s">
        <v>17</v>
      </c>
      <c r="M3862">
        <v>0</v>
      </c>
      <c r="N3862">
        <v>0.22725510787179001</v>
      </c>
    </row>
    <row r="3863" spans="2:14" x14ac:dyDescent="0.25">
      <c r="B3863" t="s">
        <v>14</v>
      </c>
      <c r="C3863" s="1">
        <v>46193.999988425923</v>
      </c>
      <c r="D3863">
        <v>25.153956309963199</v>
      </c>
      <c r="E3863">
        <v>106097.256477599</v>
      </c>
      <c r="F3863" s="1">
        <v>46191.606261574074</v>
      </c>
      <c r="G3863">
        <v>52.876177550206201</v>
      </c>
      <c r="H3863" t="s">
        <v>34</v>
      </c>
      <c r="I3863" s="2"/>
      <c r="J3863" t="s">
        <v>16</v>
      </c>
      <c r="K3863">
        <v>564519.09623497899</v>
      </c>
      <c r="L3863" t="s">
        <v>17</v>
      </c>
      <c r="M3863">
        <v>-22192.5916329666</v>
      </c>
      <c r="N3863">
        <v>0.18794272361237599</v>
      </c>
    </row>
    <row r="3864" spans="2:14" x14ac:dyDescent="0.25">
      <c r="B3864" t="s">
        <v>14</v>
      </c>
      <c r="C3864" s="1">
        <v>46192.999988425923</v>
      </c>
      <c r="D3864">
        <v>25.153956309963199</v>
      </c>
      <c r="E3864">
        <v>106097.256477599</v>
      </c>
      <c r="F3864" s="1">
        <v>46191.606261574074</v>
      </c>
      <c r="G3864">
        <v>52.876177550206201</v>
      </c>
      <c r="H3864" t="s">
        <v>34</v>
      </c>
      <c r="I3864" s="2"/>
      <c r="J3864" t="s">
        <v>16</v>
      </c>
      <c r="K3864">
        <v>564519.09623497899</v>
      </c>
      <c r="L3864" t="s">
        <v>17</v>
      </c>
      <c r="M3864">
        <v>0</v>
      </c>
      <c r="N3864">
        <v>0.18794272361237599</v>
      </c>
    </row>
    <row r="3865" spans="2:14" x14ac:dyDescent="0.25">
      <c r="B3865" t="s">
        <v>14</v>
      </c>
      <c r="C3865" s="1">
        <v>46191.999988425923</v>
      </c>
      <c r="D3865">
        <v>25.153956309963199</v>
      </c>
      <c r="E3865">
        <v>106097.256477599</v>
      </c>
      <c r="F3865" s="1">
        <v>46191.606261574074</v>
      </c>
      <c r="G3865">
        <v>52.876177550206201</v>
      </c>
      <c r="H3865" t="s">
        <v>34</v>
      </c>
      <c r="I3865" s="2"/>
      <c r="J3865" t="s">
        <v>16</v>
      </c>
      <c r="K3865">
        <v>564519.09623497899</v>
      </c>
      <c r="L3865" t="s">
        <v>17</v>
      </c>
      <c r="M3865">
        <v>0</v>
      </c>
      <c r="N3865">
        <v>0.18794272361237599</v>
      </c>
    </row>
    <row r="3866" spans="2:14" x14ac:dyDescent="0.25">
      <c r="B3866" t="s">
        <v>14</v>
      </c>
      <c r="C3866" s="1">
        <v>46190.999988425923</v>
      </c>
      <c r="D3866">
        <v>25.153956309963199</v>
      </c>
      <c r="E3866">
        <v>127997.433877815</v>
      </c>
      <c r="F3866" s="1">
        <v>46189.099270833336</v>
      </c>
      <c r="G3866">
        <v>52.876177550206201</v>
      </c>
      <c r="H3866" t="s">
        <v>34</v>
      </c>
      <c r="I3866" s="2"/>
      <c r="J3866" t="s">
        <v>16</v>
      </c>
      <c r="K3866">
        <v>564519.09623497899</v>
      </c>
      <c r="L3866" t="s">
        <v>17</v>
      </c>
      <c r="M3866">
        <v>21900.177400216198</v>
      </c>
      <c r="N3866">
        <v>0.22673711966784699</v>
      </c>
    </row>
    <row r="3867" spans="2:14" x14ac:dyDescent="0.25">
      <c r="B3867" t="s">
        <v>14</v>
      </c>
      <c r="C3867" s="1">
        <v>46189.999988425923</v>
      </c>
      <c r="D3867">
        <v>25.153956309963199</v>
      </c>
      <c r="E3867">
        <v>127997.433877815</v>
      </c>
      <c r="F3867" s="1">
        <v>46189.099270833336</v>
      </c>
      <c r="G3867">
        <v>52.876177550206201</v>
      </c>
      <c r="H3867" t="s">
        <v>34</v>
      </c>
      <c r="I3867" s="2"/>
      <c r="J3867" t="s">
        <v>16</v>
      </c>
      <c r="K3867">
        <v>564519.09623497899</v>
      </c>
      <c r="L3867" t="s">
        <v>17</v>
      </c>
      <c r="M3867">
        <v>0</v>
      </c>
      <c r="N3867">
        <v>0.22673711966784699</v>
      </c>
    </row>
    <row r="3868" spans="2:14" x14ac:dyDescent="0.25">
      <c r="B3868" t="s">
        <v>14</v>
      </c>
      <c r="C3868" s="1">
        <v>46188.999988425923</v>
      </c>
      <c r="D3868">
        <v>25.153956309963199</v>
      </c>
      <c r="E3868">
        <v>106459.210054496</v>
      </c>
      <c r="F3868" s="1">
        <v>46186.60564814815</v>
      </c>
      <c r="G3868">
        <v>52.876177550206201</v>
      </c>
      <c r="H3868" t="s">
        <v>34</v>
      </c>
      <c r="I3868" s="2"/>
      <c r="J3868" t="s">
        <v>16</v>
      </c>
      <c r="K3868">
        <v>564519.09623497899</v>
      </c>
      <c r="L3868" t="s">
        <v>17</v>
      </c>
      <c r="M3868">
        <v>-21538.2238233186</v>
      </c>
      <c r="N3868">
        <v>0.18858389514990501</v>
      </c>
    </row>
    <row r="3869" spans="2:14" x14ac:dyDescent="0.25">
      <c r="B3869" t="s">
        <v>14</v>
      </c>
      <c r="C3869" s="1">
        <v>46187.999988425923</v>
      </c>
      <c r="D3869">
        <v>25.153956309963199</v>
      </c>
      <c r="E3869">
        <v>106459.210054496</v>
      </c>
      <c r="F3869" s="1">
        <v>46186.60564814815</v>
      </c>
      <c r="G3869">
        <v>52.876177550206201</v>
      </c>
      <c r="H3869" t="s">
        <v>34</v>
      </c>
      <c r="I3869" s="2"/>
      <c r="J3869" t="s">
        <v>16</v>
      </c>
      <c r="K3869">
        <v>564519.09623497899</v>
      </c>
      <c r="L3869" t="s">
        <v>17</v>
      </c>
      <c r="M3869">
        <v>0</v>
      </c>
      <c r="N3869">
        <v>0.18858389514990501</v>
      </c>
    </row>
    <row r="3870" spans="2:14" x14ac:dyDescent="0.25">
      <c r="B3870" t="s">
        <v>14</v>
      </c>
      <c r="C3870" s="1">
        <v>46186.999988425923</v>
      </c>
      <c r="D3870">
        <v>25.153956309963199</v>
      </c>
      <c r="E3870">
        <v>106459.210054496</v>
      </c>
      <c r="F3870" s="1">
        <v>46186.60564814815</v>
      </c>
      <c r="G3870">
        <v>52.876177550206201</v>
      </c>
      <c r="H3870" t="s">
        <v>34</v>
      </c>
      <c r="I3870" s="2"/>
      <c r="J3870" t="s">
        <v>16</v>
      </c>
      <c r="K3870">
        <v>564519.09623497899</v>
      </c>
      <c r="L3870" t="s">
        <v>17</v>
      </c>
      <c r="M3870">
        <v>0</v>
      </c>
      <c r="N3870">
        <v>0.18858389514990501</v>
      </c>
    </row>
    <row r="3871" spans="2:14" x14ac:dyDescent="0.25">
      <c r="B3871" t="s">
        <v>14</v>
      </c>
      <c r="C3871" s="1">
        <v>46185.999988425923</v>
      </c>
      <c r="D3871">
        <v>25.153956309963199</v>
      </c>
      <c r="E3871">
        <v>293576.74272301199</v>
      </c>
      <c r="F3871" s="1">
        <v>46182.099780092591</v>
      </c>
      <c r="G3871">
        <v>52.876177550206201</v>
      </c>
      <c r="H3871" t="s">
        <v>34</v>
      </c>
      <c r="I3871" s="2"/>
      <c r="J3871" t="s">
        <v>16</v>
      </c>
      <c r="K3871">
        <v>564519.09623497899</v>
      </c>
      <c r="L3871" t="s">
        <v>17</v>
      </c>
      <c r="M3871">
        <v>187117.53266851499</v>
      </c>
      <c r="N3871">
        <v>0.52004749649923598</v>
      </c>
    </row>
    <row r="3872" spans="2:14" x14ac:dyDescent="0.25">
      <c r="B3872" t="s">
        <v>14</v>
      </c>
      <c r="C3872" s="1">
        <v>46184.999988425923</v>
      </c>
      <c r="D3872">
        <v>25.153956309963199</v>
      </c>
      <c r="E3872">
        <v>293576.74272301199</v>
      </c>
      <c r="F3872" s="1">
        <v>46182.099780092591</v>
      </c>
      <c r="G3872">
        <v>52.876177550206201</v>
      </c>
      <c r="H3872" t="s">
        <v>34</v>
      </c>
      <c r="I3872" s="2"/>
      <c r="J3872" t="s">
        <v>16</v>
      </c>
      <c r="K3872">
        <v>564519.09623497899</v>
      </c>
      <c r="L3872" t="s">
        <v>17</v>
      </c>
      <c r="M3872">
        <v>0</v>
      </c>
      <c r="N3872">
        <v>0.52004749649923598</v>
      </c>
    </row>
    <row r="3873" spans="2:14" x14ac:dyDescent="0.25">
      <c r="B3873" t="s">
        <v>14</v>
      </c>
      <c r="C3873" s="1">
        <v>46183.999988425923</v>
      </c>
      <c r="D3873">
        <v>25.153956309963199</v>
      </c>
      <c r="E3873">
        <v>293576.74272301199</v>
      </c>
      <c r="F3873" s="1">
        <v>46182.099780092591</v>
      </c>
      <c r="G3873">
        <v>52.876177550206201</v>
      </c>
      <c r="H3873" t="s">
        <v>34</v>
      </c>
      <c r="I3873" s="2"/>
      <c r="J3873" t="s">
        <v>16</v>
      </c>
      <c r="K3873">
        <v>564519.09623497899</v>
      </c>
      <c r="L3873" t="s">
        <v>17</v>
      </c>
      <c r="M3873">
        <v>0</v>
      </c>
      <c r="N3873">
        <v>0.52004749649923598</v>
      </c>
    </row>
    <row r="3874" spans="2:14" x14ac:dyDescent="0.25">
      <c r="B3874" t="s">
        <v>14</v>
      </c>
      <c r="C3874" s="1">
        <v>46182.999988425923</v>
      </c>
      <c r="D3874">
        <v>25.153956309963199</v>
      </c>
      <c r="E3874">
        <v>293576.74272301199</v>
      </c>
      <c r="F3874" s="1">
        <v>46182.099780092591</v>
      </c>
      <c r="G3874">
        <v>52.876177550206201</v>
      </c>
      <c r="H3874" t="s">
        <v>34</v>
      </c>
      <c r="I3874" s="2"/>
      <c r="J3874" t="s">
        <v>16</v>
      </c>
      <c r="K3874">
        <v>564519.09623497899</v>
      </c>
      <c r="L3874" t="s">
        <v>17</v>
      </c>
      <c r="M3874">
        <v>0</v>
      </c>
      <c r="N3874">
        <v>0.52004749649923598</v>
      </c>
    </row>
    <row r="3875" spans="2:14" x14ac:dyDescent="0.25">
      <c r="B3875" t="s">
        <v>14</v>
      </c>
      <c r="C3875" s="1">
        <v>46181.999988425923</v>
      </c>
      <c r="D3875">
        <v>25.153956309963199</v>
      </c>
      <c r="E3875">
        <v>278471.93669163901</v>
      </c>
      <c r="F3875" s="1">
        <v>46179.606273148151</v>
      </c>
      <c r="G3875">
        <v>52.876177550206201</v>
      </c>
      <c r="H3875" t="s">
        <v>34</v>
      </c>
      <c r="I3875" s="2"/>
      <c r="J3875" t="s">
        <v>16</v>
      </c>
      <c r="K3875">
        <v>564519.09623497899</v>
      </c>
      <c r="L3875" t="s">
        <v>17</v>
      </c>
      <c r="M3875">
        <v>-15104.8060313729</v>
      </c>
      <c r="N3875">
        <v>0.493290552168897</v>
      </c>
    </row>
    <row r="3876" spans="2:14" x14ac:dyDescent="0.25">
      <c r="B3876" t="s">
        <v>14</v>
      </c>
      <c r="C3876" s="1">
        <v>46180.999988425923</v>
      </c>
      <c r="D3876">
        <v>25.153956309963199</v>
      </c>
      <c r="E3876">
        <v>278471.93669163901</v>
      </c>
      <c r="F3876" s="1">
        <v>46179.606273148151</v>
      </c>
      <c r="G3876">
        <v>52.876177550206201</v>
      </c>
      <c r="H3876" t="s">
        <v>34</v>
      </c>
      <c r="I3876" s="2"/>
      <c r="J3876" t="s">
        <v>16</v>
      </c>
      <c r="K3876">
        <v>564519.09623497899</v>
      </c>
      <c r="L3876" t="s">
        <v>17</v>
      </c>
      <c r="M3876">
        <v>0</v>
      </c>
      <c r="N3876">
        <v>0.493290552168897</v>
      </c>
    </row>
    <row r="3877" spans="2:14" x14ac:dyDescent="0.25">
      <c r="B3877" t="s">
        <v>14</v>
      </c>
      <c r="C3877" s="1">
        <v>46179.999988425923</v>
      </c>
      <c r="D3877">
        <v>25.153956309963199</v>
      </c>
      <c r="E3877">
        <v>278471.93669163901</v>
      </c>
      <c r="F3877" s="1">
        <v>46179.606273148151</v>
      </c>
      <c r="G3877">
        <v>52.876177550206201</v>
      </c>
      <c r="H3877" t="s">
        <v>34</v>
      </c>
      <c r="I3877" s="2"/>
      <c r="J3877" t="s">
        <v>16</v>
      </c>
      <c r="K3877">
        <v>564519.09623497899</v>
      </c>
      <c r="L3877" t="s">
        <v>17</v>
      </c>
      <c r="M3877">
        <v>0</v>
      </c>
      <c r="N3877">
        <v>0.493290552168897</v>
      </c>
    </row>
    <row r="3878" spans="2:14" x14ac:dyDescent="0.25">
      <c r="B3878" t="s">
        <v>14</v>
      </c>
      <c r="C3878" s="1">
        <v>46178.999988425923</v>
      </c>
      <c r="D3878">
        <v>25.153956309963199</v>
      </c>
      <c r="E3878">
        <v>122907.00593285399</v>
      </c>
      <c r="F3878" s="1">
        <v>46177.099259259259</v>
      </c>
      <c r="G3878">
        <v>52.876177550206201</v>
      </c>
      <c r="H3878" t="s">
        <v>34</v>
      </c>
      <c r="I3878" s="2"/>
      <c r="J3878" t="s">
        <v>16</v>
      </c>
      <c r="K3878">
        <v>564519.09623497899</v>
      </c>
      <c r="L3878" t="s">
        <v>17</v>
      </c>
      <c r="M3878">
        <v>-155564.93075878499</v>
      </c>
      <c r="N3878">
        <v>0.21771983756187199</v>
      </c>
    </row>
    <row r="3879" spans="2:14" x14ac:dyDescent="0.25">
      <c r="B3879" t="s">
        <v>14</v>
      </c>
      <c r="C3879" s="1">
        <v>46177.999988425923</v>
      </c>
      <c r="D3879">
        <v>25.153956309963199</v>
      </c>
      <c r="E3879">
        <v>122907.00593285399</v>
      </c>
      <c r="F3879" s="1">
        <v>46177.099259259259</v>
      </c>
      <c r="G3879">
        <v>52.876177550206201</v>
      </c>
      <c r="H3879" t="s">
        <v>34</v>
      </c>
      <c r="I3879" s="2"/>
      <c r="J3879" t="s">
        <v>16</v>
      </c>
      <c r="K3879">
        <v>564519.09623497899</v>
      </c>
      <c r="L3879" t="s">
        <v>17</v>
      </c>
      <c r="M3879">
        <v>0</v>
      </c>
      <c r="N3879">
        <v>0.21771983756187199</v>
      </c>
    </row>
    <row r="3880" spans="2:14" x14ac:dyDescent="0.25">
      <c r="B3880" t="s">
        <v>14</v>
      </c>
      <c r="C3880" s="1">
        <v>46176.999988425923</v>
      </c>
      <c r="D3880">
        <v>25.153956309963199</v>
      </c>
      <c r="E3880">
        <v>123888.14546922701</v>
      </c>
      <c r="F3880" s="1">
        <v>46176.099143518521</v>
      </c>
      <c r="G3880">
        <v>52.876177550206201</v>
      </c>
      <c r="H3880" t="s">
        <v>34</v>
      </c>
      <c r="I3880" s="2"/>
      <c r="J3880" t="s">
        <v>16</v>
      </c>
      <c r="K3880">
        <v>564519.09623497899</v>
      </c>
      <c r="L3880" t="s">
        <v>17</v>
      </c>
      <c r="M3880">
        <v>981.13953637331701</v>
      </c>
      <c r="N3880">
        <v>0.21945784703385801</v>
      </c>
    </row>
    <row r="3881" spans="2:14" x14ac:dyDescent="0.25">
      <c r="B3881" t="s">
        <v>14</v>
      </c>
      <c r="C3881" s="1">
        <v>46175.999988425923</v>
      </c>
      <c r="D3881">
        <v>25.153956309963199</v>
      </c>
      <c r="E3881">
        <v>303447.44399666501</v>
      </c>
      <c r="F3881" s="1">
        <v>46173.605520833335</v>
      </c>
      <c r="G3881">
        <v>52.876177550206201</v>
      </c>
      <c r="H3881" t="s">
        <v>34</v>
      </c>
      <c r="I3881" s="2"/>
      <c r="J3881" t="s">
        <v>16</v>
      </c>
      <c r="K3881">
        <v>564519.09623497899</v>
      </c>
      <c r="L3881" t="s">
        <v>17</v>
      </c>
      <c r="M3881">
        <v>179559.298527437</v>
      </c>
      <c r="N3881">
        <v>0.53753264685018898</v>
      </c>
    </row>
    <row r="3882" spans="2:14" x14ac:dyDescent="0.25">
      <c r="B3882" t="s">
        <v>14</v>
      </c>
      <c r="C3882" s="1">
        <v>46174.999988425923</v>
      </c>
      <c r="D3882">
        <v>25.153956309963199</v>
      </c>
      <c r="E3882">
        <v>303447.44399666501</v>
      </c>
      <c r="F3882" s="1">
        <v>46173.605520833335</v>
      </c>
      <c r="G3882">
        <v>52.876177550206201</v>
      </c>
      <c r="H3882" t="s">
        <v>34</v>
      </c>
      <c r="I3882" s="2"/>
      <c r="J3882" t="s">
        <v>16</v>
      </c>
      <c r="K3882">
        <v>564519.09623497899</v>
      </c>
      <c r="L3882" t="s">
        <v>17</v>
      </c>
      <c r="M3882">
        <v>0</v>
      </c>
      <c r="N3882">
        <v>0.53753264685018898</v>
      </c>
    </row>
    <row r="3883" spans="2:14" x14ac:dyDescent="0.25">
      <c r="B3883" t="s">
        <v>14</v>
      </c>
      <c r="C3883" s="1">
        <v>46173.999988425923</v>
      </c>
      <c r="D3883">
        <v>25.153956309963199</v>
      </c>
      <c r="E3883">
        <v>303447.44399666501</v>
      </c>
      <c r="F3883" s="1">
        <v>46173.605520833335</v>
      </c>
      <c r="G3883">
        <v>52.876177550206201</v>
      </c>
      <c r="H3883" t="s">
        <v>34</v>
      </c>
      <c r="I3883" s="2"/>
      <c r="J3883" t="s">
        <v>16</v>
      </c>
      <c r="K3883">
        <v>564519.09623497899</v>
      </c>
      <c r="L3883" t="s">
        <v>17</v>
      </c>
      <c r="M3883">
        <v>0</v>
      </c>
      <c r="N3883">
        <v>0.53753264685018898</v>
      </c>
    </row>
    <row r="3884" spans="2:14" x14ac:dyDescent="0.25">
      <c r="B3884" t="s">
        <v>14</v>
      </c>
      <c r="C3884" s="1">
        <v>46172.999988425923</v>
      </c>
      <c r="D3884">
        <v>25.153956309963199</v>
      </c>
      <c r="E3884">
        <v>126615.054584267</v>
      </c>
      <c r="F3884" s="1">
        <v>46170.099791666667</v>
      </c>
      <c r="G3884">
        <v>52.876177550206201</v>
      </c>
      <c r="H3884" t="s">
        <v>34</v>
      </c>
      <c r="I3884" s="2"/>
      <c r="J3884" t="s">
        <v>16</v>
      </c>
      <c r="K3884">
        <v>564519.09623497899</v>
      </c>
      <c r="L3884" t="s">
        <v>17</v>
      </c>
      <c r="M3884">
        <v>-176832.38941239699</v>
      </c>
      <c r="N3884">
        <v>0.224288346361917</v>
      </c>
    </row>
    <row r="3885" spans="2:14" x14ac:dyDescent="0.25">
      <c r="B3885" t="s">
        <v>14</v>
      </c>
      <c r="C3885" s="1">
        <v>46171.999988425923</v>
      </c>
      <c r="D3885">
        <v>25.153956309963199</v>
      </c>
      <c r="E3885">
        <v>126615.054584267</v>
      </c>
      <c r="F3885" s="1">
        <v>46170.099791666667</v>
      </c>
      <c r="G3885">
        <v>52.876177550206201</v>
      </c>
      <c r="H3885" t="s">
        <v>34</v>
      </c>
      <c r="I3885" s="2"/>
      <c r="J3885" t="s">
        <v>16</v>
      </c>
      <c r="K3885">
        <v>564519.09623497899</v>
      </c>
      <c r="L3885" t="s">
        <v>17</v>
      </c>
      <c r="M3885">
        <v>0</v>
      </c>
      <c r="N3885">
        <v>0.224288346361917</v>
      </c>
    </row>
    <row r="3886" spans="2:14" x14ac:dyDescent="0.25">
      <c r="B3886" t="s">
        <v>14</v>
      </c>
      <c r="C3886" s="1">
        <v>46170.999988425923</v>
      </c>
      <c r="D3886">
        <v>25.153956309963199</v>
      </c>
      <c r="E3886">
        <v>126615.054584267</v>
      </c>
      <c r="F3886" s="1">
        <v>46170.099791666667</v>
      </c>
      <c r="G3886">
        <v>52.876177550206201</v>
      </c>
      <c r="H3886" t="s">
        <v>34</v>
      </c>
      <c r="I3886" s="2"/>
      <c r="J3886" t="s">
        <v>16</v>
      </c>
      <c r="K3886">
        <v>564519.09623497899</v>
      </c>
      <c r="L3886" t="s">
        <v>17</v>
      </c>
      <c r="M3886">
        <v>0</v>
      </c>
      <c r="N3886">
        <v>0.224288346361917</v>
      </c>
    </row>
    <row r="3887" spans="2:14" x14ac:dyDescent="0.25">
      <c r="B3887" t="s">
        <v>14</v>
      </c>
      <c r="C3887" s="1">
        <v>46169.999988425923</v>
      </c>
      <c r="D3887">
        <v>25.153956309963199</v>
      </c>
      <c r="E3887">
        <v>564519.09623497899</v>
      </c>
      <c r="F3887" s="1">
        <v>46167.60628472222</v>
      </c>
      <c r="G3887">
        <v>52.876177550206201</v>
      </c>
      <c r="H3887" t="s">
        <v>34</v>
      </c>
      <c r="I3887" s="2"/>
      <c r="J3887" t="s">
        <v>16</v>
      </c>
      <c r="K3887">
        <v>564519.09623497899</v>
      </c>
      <c r="L3887" t="s">
        <v>17</v>
      </c>
      <c r="M3887">
        <v>437904.04165071098</v>
      </c>
      <c r="N3887">
        <v>1</v>
      </c>
    </row>
    <row r="3888" spans="2:14" x14ac:dyDescent="0.25">
      <c r="B3888" t="s">
        <v>14</v>
      </c>
      <c r="C3888" s="1">
        <v>46168.999988425923</v>
      </c>
      <c r="D3888">
        <v>25.153956309963199</v>
      </c>
      <c r="E3888">
        <v>564519.09623497899</v>
      </c>
      <c r="F3888" s="1">
        <v>46167.60628472222</v>
      </c>
      <c r="G3888">
        <v>52.876177550206201</v>
      </c>
      <c r="H3888" t="s">
        <v>34</v>
      </c>
      <c r="I3888" s="2"/>
      <c r="J3888" t="s">
        <v>16</v>
      </c>
      <c r="K3888">
        <v>564519.09623497899</v>
      </c>
      <c r="L3888" t="s">
        <v>17</v>
      </c>
      <c r="M3888">
        <v>0</v>
      </c>
      <c r="N3888">
        <v>1</v>
      </c>
    </row>
    <row r="3889" spans="2:14" x14ac:dyDescent="0.25">
      <c r="B3889" t="s">
        <v>14</v>
      </c>
      <c r="C3889" s="1">
        <v>46167.999988425923</v>
      </c>
      <c r="D3889">
        <v>25.153956309963199</v>
      </c>
      <c r="E3889">
        <v>564519.09623497899</v>
      </c>
      <c r="F3889" s="1">
        <v>46167.60628472222</v>
      </c>
      <c r="G3889">
        <v>52.876177550206201</v>
      </c>
      <c r="H3889" t="s">
        <v>34</v>
      </c>
      <c r="I3889" s="2"/>
      <c r="J3889" t="s">
        <v>16</v>
      </c>
      <c r="K3889">
        <v>564519.09623497899</v>
      </c>
      <c r="L3889" t="s">
        <v>17</v>
      </c>
      <c r="M3889">
        <v>0</v>
      </c>
      <c r="N3889">
        <v>1</v>
      </c>
    </row>
    <row r="3890" spans="2:14" x14ac:dyDescent="0.25">
      <c r="B3890" t="s">
        <v>14</v>
      </c>
      <c r="C3890" s="1">
        <v>46166.999988425923</v>
      </c>
      <c r="D3890">
        <v>25.153956309963199</v>
      </c>
      <c r="E3890">
        <v>416518.03220861399</v>
      </c>
      <c r="F3890" s="1">
        <v>46165.099259259259</v>
      </c>
      <c r="G3890">
        <v>52.876177550206201</v>
      </c>
      <c r="H3890" t="s">
        <v>34</v>
      </c>
      <c r="I3890" s="2"/>
      <c r="J3890" t="s">
        <v>16</v>
      </c>
      <c r="K3890">
        <v>564519.09623497899</v>
      </c>
      <c r="L3890" t="s">
        <v>17</v>
      </c>
      <c r="M3890">
        <v>-148001.064026365</v>
      </c>
      <c r="N3890">
        <v>0.73782806460676298</v>
      </c>
    </row>
    <row r="3891" spans="2:14" x14ac:dyDescent="0.25">
      <c r="B3891" t="s">
        <v>14</v>
      </c>
      <c r="C3891" s="1">
        <v>46165.999988425923</v>
      </c>
      <c r="D3891">
        <v>25.153956309963199</v>
      </c>
      <c r="E3891">
        <v>416518.03220861399</v>
      </c>
      <c r="F3891" s="1">
        <v>46165.099259259259</v>
      </c>
      <c r="G3891">
        <v>52.876177550206201</v>
      </c>
      <c r="H3891" t="s">
        <v>34</v>
      </c>
      <c r="I3891" s="2"/>
      <c r="J3891" t="s">
        <v>16</v>
      </c>
      <c r="K3891">
        <v>564519.09623497899</v>
      </c>
      <c r="L3891" t="s">
        <v>17</v>
      </c>
      <c r="M3891">
        <v>0</v>
      </c>
      <c r="N3891">
        <v>0.73782806460676298</v>
      </c>
    </row>
    <row r="3892" spans="2:14" x14ac:dyDescent="0.25">
      <c r="B3892" t="s">
        <v>14</v>
      </c>
      <c r="C3892" s="1">
        <v>46164.999988425923</v>
      </c>
      <c r="D3892">
        <v>25.153956309963199</v>
      </c>
      <c r="E3892">
        <v>119421.308995738</v>
      </c>
      <c r="F3892" s="1">
        <v>46164.099143518521</v>
      </c>
      <c r="G3892">
        <v>52.876177550206201</v>
      </c>
      <c r="H3892" t="s">
        <v>34</v>
      </c>
      <c r="I3892" s="2"/>
      <c r="J3892" t="s">
        <v>16</v>
      </c>
      <c r="K3892">
        <v>564519.09623497899</v>
      </c>
      <c r="L3892" t="s">
        <v>17</v>
      </c>
      <c r="M3892">
        <v>-297096.72321287502</v>
      </c>
      <c r="N3892">
        <v>0.21154520687114101</v>
      </c>
    </row>
    <row r="3893" spans="2:14" x14ac:dyDescent="0.25">
      <c r="B3893" t="s">
        <v>14</v>
      </c>
      <c r="C3893" s="1">
        <v>46163.999988425923</v>
      </c>
      <c r="D3893">
        <v>25.153956309963199</v>
      </c>
      <c r="E3893">
        <v>107803.33753415001</v>
      </c>
      <c r="F3893" s="1">
        <v>46162.605624999997</v>
      </c>
      <c r="G3893">
        <v>52.876177550206201</v>
      </c>
      <c r="H3893" t="s">
        <v>34</v>
      </c>
      <c r="I3893" s="2"/>
      <c r="J3893" t="s">
        <v>16</v>
      </c>
      <c r="K3893">
        <v>564519.09623497899</v>
      </c>
      <c r="L3893" t="s">
        <v>17</v>
      </c>
      <c r="M3893">
        <v>-11617.9714615879</v>
      </c>
      <c r="N3893">
        <v>0.19096490845595299</v>
      </c>
    </row>
    <row r="3894" spans="2:14" x14ac:dyDescent="0.25">
      <c r="B3894" t="s">
        <v>14</v>
      </c>
      <c r="C3894" s="1">
        <v>46162.999988425923</v>
      </c>
      <c r="D3894">
        <v>25.153956309963199</v>
      </c>
      <c r="E3894">
        <v>107803.33753415001</v>
      </c>
      <c r="F3894" s="1">
        <v>46162.605624999997</v>
      </c>
      <c r="G3894">
        <v>52.876177550206201</v>
      </c>
      <c r="H3894" t="s">
        <v>34</v>
      </c>
      <c r="I3894" s="2"/>
      <c r="J3894" t="s">
        <v>16</v>
      </c>
      <c r="K3894">
        <v>564519.09623497899</v>
      </c>
      <c r="L3894" t="s">
        <v>17</v>
      </c>
      <c r="M3894">
        <v>0</v>
      </c>
      <c r="N3894">
        <v>0.19096490845595299</v>
      </c>
    </row>
    <row r="3895" spans="2:14" x14ac:dyDescent="0.25">
      <c r="B3895" t="s">
        <v>14</v>
      </c>
      <c r="C3895" s="1">
        <v>46161.999988425923</v>
      </c>
      <c r="D3895">
        <v>25.153956309963199</v>
      </c>
      <c r="E3895">
        <v>470094.96203327901</v>
      </c>
      <c r="F3895" s="1">
        <v>46161.605509259258</v>
      </c>
      <c r="G3895">
        <v>52.876177550206201</v>
      </c>
      <c r="H3895" t="s">
        <v>34</v>
      </c>
      <c r="I3895" s="2"/>
      <c r="J3895" t="s">
        <v>16</v>
      </c>
      <c r="K3895">
        <v>564519.09623497899</v>
      </c>
      <c r="L3895" t="s">
        <v>17</v>
      </c>
      <c r="M3895">
        <v>362291.62449912902</v>
      </c>
      <c r="N3895">
        <v>0.83273527001751502</v>
      </c>
    </row>
    <row r="3896" spans="2:14" x14ac:dyDescent="0.25">
      <c r="B3896" t="s">
        <v>14</v>
      </c>
      <c r="C3896" s="1">
        <v>46160.999988425923</v>
      </c>
      <c r="D3896">
        <v>25.153956309963199</v>
      </c>
      <c r="E3896">
        <v>133006.26664446201</v>
      </c>
      <c r="F3896" s="1">
        <v>46158.099791666667</v>
      </c>
      <c r="G3896">
        <v>52.876177550206201</v>
      </c>
      <c r="H3896" t="s">
        <v>34</v>
      </c>
      <c r="I3896" s="2"/>
      <c r="J3896" t="s">
        <v>16</v>
      </c>
      <c r="K3896">
        <v>564519.09623497899</v>
      </c>
      <c r="L3896" t="s">
        <v>17</v>
      </c>
      <c r="M3896">
        <v>-337088.69538881601</v>
      </c>
      <c r="N3896">
        <v>0.235609862503392</v>
      </c>
    </row>
    <row r="3897" spans="2:14" x14ac:dyDescent="0.25">
      <c r="B3897" t="s">
        <v>14</v>
      </c>
      <c r="C3897" s="1">
        <v>46159.999988425923</v>
      </c>
      <c r="D3897">
        <v>25.153956309963199</v>
      </c>
      <c r="E3897">
        <v>133006.26664446201</v>
      </c>
      <c r="F3897" s="1">
        <v>46158.099791666667</v>
      </c>
      <c r="G3897">
        <v>52.876177550206201</v>
      </c>
      <c r="H3897" t="s">
        <v>34</v>
      </c>
      <c r="I3897" s="2"/>
      <c r="J3897" t="s">
        <v>16</v>
      </c>
      <c r="K3897">
        <v>564519.09623497899</v>
      </c>
      <c r="L3897" t="s">
        <v>17</v>
      </c>
      <c r="M3897">
        <v>0</v>
      </c>
      <c r="N3897">
        <v>0.235609862503392</v>
      </c>
    </row>
    <row r="3898" spans="2:14" x14ac:dyDescent="0.25">
      <c r="B3898" t="s">
        <v>14</v>
      </c>
      <c r="C3898" s="1">
        <v>46158.999988425923</v>
      </c>
      <c r="D3898">
        <v>25.153956309963199</v>
      </c>
      <c r="E3898">
        <v>133006.26664446201</v>
      </c>
      <c r="F3898" s="1">
        <v>46158.099791666667</v>
      </c>
      <c r="G3898">
        <v>52.876177550206201</v>
      </c>
      <c r="H3898" t="s">
        <v>34</v>
      </c>
      <c r="I3898" s="2"/>
      <c r="J3898" t="s">
        <v>16</v>
      </c>
      <c r="K3898">
        <v>564519.09623497899</v>
      </c>
      <c r="L3898" t="s">
        <v>17</v>
      </c>
      <c r="M3898">
        <v>0</v>
      </c>
      <c r="N3898">
        <v>0.235609862503392</v>
      </c>
    </row>
    <row r="3899" spans="2:14" x14ac:dyDescent="0.25">
      <c r="B3899" t="s">
        <v>14</v>
      </c>
      <c r="C3899" s="1">
        <v>46157.999988425923</v>
      </c>
      <c r="D3899">
        <v>25.153956309963199</v>
      </c>
      <c r="E3899">
        <v>113380.899927087</v>
      </c>
      <c r="F3899" s="1">
        <v>46155.60628472222</v>
      </c>
      <c r="G3899">
        <v>52.876177550206201</v>
      </c>
      <c r="H3899" t="s">
        <v>34</v>
      </c>
      <c r="I3899" s="2"/>
      <c r="J3899" t="s">
        <v>16</v>
      </c>
      <c r="K3899">
        <v>564519.09623497899</v>
      </c>
      <c r="L3899" t="s">
        <v>17</v>
      </c>
      <c r="M3899">
        <v>-19625.366717375298</v>
      </c>
      <c r="N3899">
        <v>0.200845109905534</v>
      </c>
    </row>
    <row r="3900" spans="2:14" x14ac:dyDescent="0.25">
      <c r="B3900" t="s">
        <v>14</v>
      </c>
      <c r="C3900" s="1">
        <v>46156.999988425923</v>
      </c>
      <c r="D3900">
        <v>25.153956309963199</v>
      </c>
      <c r="E3900">
        <v>113380.899927087</v>
      </c>
      <c r="F3900" s="1">
        <v>46155.60628472222</v>
      </c>
      <c r="G3900">
        <v>52.876177550206201</v>
      </c>
      <c r="H3900" t="s">
        <v>34</v>
      </c>
      <c r="I3900" s="2"/>
      <c r="J3900" t="s">
        <v>16</v>
      </c>
      <c r="K3900">
        <v>564519.09623497899</v>
      </c>
      <c r="L3900" t="s">
        <v>17</v>
      </c>
      <c r="M3900">
        <v>0</v>
      </c>
      <c r="N3900">
        <v>0.200845109905534</v>
      </c>
    </row>
    <row r="3901" spans="2:14" x14ac:dyDescent="0.25">
      <c r="B3901" t="s">
        <v>14</v>
      </c>
      <c r="C3901" s="1">
        <v>46155.999988425923</v>
      </c>
      <c r="D3901">
        <v>25.153956309963199</v>
      </c>
      <c r="E3901">
        <v>113380.899927087</v>
      </c>
      <c r="F3901" s="1">
        <v>46155.60628472222</v>
      </c>
      <c r="G3901">
        <v>52.876177550206201</v>
      </c>
      <c r="H3901" t="s">
        <v>34</v>
      </c>
      <c r="I3901" s="2"/>
      <c r="J3901" t="s">
        <v>16</v>
      </c>
      <c r="K3901">
        <v>564519.09623497899</v>
      </c>
      <c r="L3901" t="s">
        <v>17</v>
      </c>
      <c r="M3901">
        <v>0</v>
      </c>
      <c r="N3901">
        <v>0.200845109905534</v>
      </c>
    </row>
    <row r="3902" spans="2:14" x14ac:dyDescent="0.25">
      <c r="B3902" t="s">
        <v>14</v>
      </c>
      <c r="C3902" s="1">
        <v>46154.999988425923</v>
      </c>
      <c r="D3902">
        <v>25.153956309963199</v>
      </c>
      <c r="E3902">
        <v>485122.73593865201</v>
      </c>
      <c r="F3902" s="1">
        <v>46153.099247685182</v>
      </c>
      <c r="G3902">
        <v>52.876177550206201</v>
      </c>
      <c r="H3902" t="s">
        <v>34</v>
      </c>
      <c r="I3902" s="2"/>
      <c r="J3902" t="s">
        <v>16</v>
      </c>
      <c r="K3902">
        <v>564519.09623497899</v>
      </c>
      <c r="L3902" t="s">
        <v>17</v>
      </c>
      <c r="M3902">
        <v>371741.83601156401</v>
      </c>
      <c r="N3902">
        <v>0.85935575815618004</v>
      </c>
    </row>
    <row r="3903" spans="2:14" x14ac:dyDescent="0.25">
      <c r="B3903" t="s">
        <v>14</v>
      </c>
      <c r="C3903" s="1">
        <v>46153.999988425923</v>
      </c>
      <c r="D3903">
        <v>25.153956309963199</v>
      </c>
      <c r="E3903">
        <v>485122.73593865201</v>
      </c>
      <c r="F3903" s="1">
        <v>46153.099247685182</v>
      </c>
      <c r="G3903">
        <v>52.876177550206201</v>
      </c>
      <c r="H3903" t="s">
        <v>34</v>
      </c>
      <c r="I3903" s="2"/>
      <c r="J3903" t="s">
        <v>16</v>
      </c>
      <c r="K3903">
        <v>564519.09623497899</v>
      </c>
      <c r="L3903" t="s">
        <v>17</v>
      </c>
      <c r="M3903">
        <v>0</v>
      </c>
      <c r="N3903">
        <v>0.85935575815618004</v>
      </c>
    </row>
    <row r="3904" spans="2:14" x14ac:dyDescent="0.25">
      <c r="B3904" t="s">
        <v>14</v>
      </c>
      <c r="C3904" s="1">
        <v>46152.999988425923</v>
      </c>
      <c r="D3904">
        <v>25.153956309963199</v>
      </c>
      <c r="E3904">
        <v>474517.77940099902</v>
      </c>
      <c r="F3904" s="1">
        <v>46150.605613425927</v>
      </c>
      <c r="G3904">
        <v>52.876177550206201</v>
      </c>
      <c r="H3904" t="s">
        <v>34</v>
      </c>
      <c r="I3904" s="2"/>
      <c r="J3904" t="s">
        <v>16</v>
      </c>
      <c r="K3904">
        <v>564519.09623497899</v>
      </c>
      <c r="L3904" t="s">
        <v>17</v>
      </c>
      <c r="M3904">
        <v>-10604.956537653101</v>
      </c>
      <c r="N3904">
        <v>0.84056993388844103</v>
      </c>
    </row>
    <row r="3905" spans="2:14" x14ac:dyDescent="0.25">
      <c r="B3905" t="s">
        <v>14</v>
      </c>
      <c r="C3905" s="1">
        <v>46151.999988425923</v>
      </c>
      <c r="D3905">
        <v>25.153956309963199</v>
      </c>
      <c r="E3905">
        <v>474517.77940099902</v>
      </c>
      <c r="F3905" s="1">
        <v>46150.605613425927</v>
      </c>
      <c r="G3905">
        <v>52.876177550206201</v>
      </c>
      <c r="H3905" t="s">
        <v>34</v>
      </c>
      <c r="I3905" s="2"/>
      <c r="J3905" t="s">
        <v>16</v>
      </c>
      <c r="K3905">
        <v>564519.09623497899</v>
      </c>
      <c r="L3905" t="s">
        <v>17</v>
      </c>
      <c r="M3905">
        <v>0</v>
      </c>
      <c r="N3905">
        <v>0.84056993388844103</v>
      </c>
    </row>
    <row r="3906" spans="2:14" x14ac:dyDescent="0.25">
      <c r="B3906" t="s">
        <v>14</v>
      </c>
      <c r="C3906" s="1">
        <v>46150.999988425923</v>
      </c>
      <c r="D3906">
        <v>25.153956309963199</v>
      </c>
      <c r="E3906">
        <v>474517.77940099902</v>
      </c>
      <c r="F3906" s="1">
        <v>46150.605613425927</v>
      </c>
      <c r="G3906">
        <v>52.876177550206201</v>
      </c>
      <c r="H3906" t="s">
        <v>34</v>
      </c>
      <c r="I3906" s="2"/>
      <c r="J3906" t="s">
        <v>16</v>
      </c>
      <c r="K3906">
        <v>564519.09623497899</v>
      </c>
      <c r="L3906" t="s">
        <v>17</v>
      </c>
      <c r="M3906">
        <v>0</v>
      </c>
      <c r="N3906">
        <v>0.84056993388844103</v>
      </c>
    </row>
    <row r="3907" spans="2:14" x14ac:dyDescent="0.25">
      <c r="B3907" t="s">
        <v>14</v>
      </c>
      <c r="C3907" s="1">
        <v>46149.999988425923</v>
      </c>
      <c r="D3907">
        <v>25.153956309963199</v>
      </c>
      <c r="E3907">
        <v>464141.66253091698</v>
      </c>
      <c r="F3907" s="1">
        <v>46149.605497685188</v>
      </c>
      <c r="G3907">
        <v>52.876177550206201</v>
      </c>
      <c r="H3907" t="s">
        <v>34</v>
      </c>
      <c r="I3907" s="2"/>
      <c r="J3907" t="s">
        <v>16</v>
      </c>
      <c r="K3907">
        <v>564519.09623497899</v>
      </c>
      <c r="L3907" t="s">
        <v>17</v>
      </c>
      <c r="M3907">
        <v>-10376.1168700819</v>
      </c>
      <c r="N3907">
        <v>0.82218948061540797</v>
      </c>
    </row>
    <row r="3908" spans="2:14" x14ac:dyDescent="0.25">
      <c r="B3908" t="s">
        <v>14</v>
      </c>
      <c r="C3908" s="1">
        <v>46148.999988425923</v>
      </c>
      <c r="D3908">
        <v>25.153956309963199</v>
      </c>
      <c r="E3908">
        <v>121269.008434712</v>
      </c>
      <c r="F3908" s="1">
        <v>46146.099803240744</v>
      </c>
      <c r="G3908">
        <v>52.876177550206201</v>
      </c>
      <c r="H3908" t="s">
        <v>34</v>
      </c>
      <c r="I3908" s="2"/>
      <c r="J3908" t="s">
        <v>16</v>
      </c>
      <c r="K3908">
        <v>564519.09623497899</v>
      </c>
      <c r="L3908" t="s">
        <v>17</v>
      </c>
      <c r="M3908">
        <v>-342872.65409620397</v>
      </c>
      <c r="N3908">
        <v>0.21481825724498499</v>
      </c>
    </row>
    <row r="3909" spans="2:14" x14ac:dyDescent="0.25">
      <c r="B3909" t="s">
        <v>14</v>
      </c>
      <c r="C3909" s="1">
        <v>46147.999988425923</v>
      </c>
      <c r="D3909">
        <v>25.153956309963199</v>
      </c>
      <c r="E3909">
        <v>121269.008434712</v>
      </c>
      <c r="F3909" s="1">
        <v>46146.099803240744</v>
      </c>
      <c r="G3909">
        <v>52.876177550206201</v>
      </c>
      <c r="H3909" t="s">
        <v>34</v>
      </c>
      <c r="I3909" s="2"/>
      <c r="J3909" t="s">
        <v>16</v>
      </c>
      <c r="K3909">
        <v>564519.09623497899</v>
      </c>
      <c r="L3909" t="s">
        <v>17</v>
      </c>
      <c r="M3909">
        <v>0</v>
      </c>
      <c r="N3909">
        <v>0.21481825724498499</v>
      </c>
    </row>
    <row r="3910" spans="2:14" x14ac:dyDescent="0.25">
      <c r="B3910" t="s">
        <v>14</v>
      </c>
      <c r="C3910" s="1">
        <v>46146.999988425923</v>
      </c>
      <c r="D3910">
        <v>25.153956309963199</v>
      </c>
      <c r="E3910">
        <v>121269.008434712</v>
      </c>
      <c r="F3910" s="1">
        <v>46146.099803240744</v>
      </c>
      <c r="G3910">
        <v>52.876177550206201</v>
      </c>
      <c r="H3910" t="s">
        <v>34</v>
      </c>
      <c r="I3910" s="2"/>
      <c r="J3910" t="s">
        <v>16</v>
      </c>
      <c r="K3910">
        <v>564519.09623497899</v>
      </c>
      <c r="L3910" t="s">
        <v>17</v>
      </c>
      <c r="M3910">
        <v>0</v>
      </c>
      <c r="N3910">
        <v>0.21481825724498499</v>
      </c>
    </row>
    <row r="3911" spans="2:14" x14ac:dyDescent="0.25">
      <c r="B3911" t="s">
        <v>14</v>
      </c>
      <c r="C3911" s="1">
        <v>46145.999988425923</v>
      </c>
      <c r="D3911">
        <v>25.153956309963199</v>
      </c>
      <c r="E3911">
        <v>100731.01206090899</v>
      </c>
      <c r="F3911" s="1">
        <v>46143.606296296297</v>
      </c>
      <c r="G3911">
        <v>52.876177550206201</v>
      </c>
      <c r="H3911" t="s">
        <v>34</v>
      </c>
      <c r="I3911" s="2"/>
      <c r="J3911" t="s">
        <v>16</v>
      </c>
      <c r="K3911">
        <v>564519.09623497899</v>
      </c>
      <c r="L3911" t="s">
        <v>17</v>
      </c>
      <c r="M3911">
        <v>-20537.9963738027</v>
      </c>
      <c r="N3911">
        <v>0.17843685489601299</v>
      </c>
    </row>
    <row r="3912" spans="2:14" x14ac:dyDescent="0.25">
      <c r="B3912" t="s">
        <v>14</v>
      </c>
      <c r="C3912" s="1">
        <v>46144.999988425923</v>
      </c>
      <c r="D3912">
        <v>25.153956309963199</v>
      </c>
      <c r="E3912">
        <v>100731.01206090899</v>
      </c>
      <c r="F3912" s="1">
        <v>46143.606296296297</v>
      </c>
      <c r="G3912">
        <v>52.876177550206201</v>
      </c>
      <c r="H3912" t="s">
        <v>34</v>
      </c>
      <c r="I3912" s="2"/>
      <c r="J3912" t="s">
        <v>16</v>
      </c>
      <c r="K3912">
        <v>564519.09623497899</v>
      </c>
      <c r="L3912" t="s">
        <v>17</v>
      </c>
      <c r="M3912">
        <v>0</v>
      </c>
      <c r="N3912">
        <v>0.17843685489601299</v>
      </c>
    </row>
    <row r="3913" spans="2:14" x14ac:dyDescent="0.25">
      <c r="B3913" t="s">
        <v>14</v>
      </c>
      <c r="C3913" s="1">
        <v>46143.999988425923</v>
      </c>
      <c r="D3913">
        <v>25.153956309963199</v>
      </c>
      <c r="E3913">
        <v>100731.01206090899</v>
      </c>
      <c r="F3913" s="1">
        <v>46143.606296296297</v>
      </c>
      <c r="G3913">
        <v>52.876177550206201</v>
      </c>
      <c r="H3913" t="s">
        <v>34</v>
      </c>
      <c r="I3913" s="2"/>
      <c r="J3913" t="s">
        <v>16</v>
      </c>
      <c r="K3913">
        <v>564519.09623497899</v>
      </c>
      <c r="L3913" t="s">
        <v>17</v>
      </c>
      <c r="M3913">
        <v>0</v>
      </c>
      <c r="N3913">
        <v>0.17843685489601299</v>
      </c>
    </row>
    <row r="3914" spans="2:14" x14ac:dyDescent="0.25">
      <c r="B3914" t="s">
        <v>14</v>
      </c>
      <c r="C3914" s="1">
        <v>46142.999988425923</v>
      </c>
      <c r="D3914">
        <v>25.153956309963199</v>
      </c>
      <c r="E3914">
        <v>119321.159141322</v>
      </c>
      <c r="F3914" s="1">
        <v>46140.099120370367</v>
      </c>
      <c r="G3914">
        <v>52.876177550206201</v>
      </c>
      <c r="H3914" t="s">
        <v>34</v>
      </c>
      <c r="I3914" s="2"/>
      <c r="J3914" t="s">
        <v>16</v>
      </c>
      <c r="K3914">
        <v>564519.09623497899</v>
      </c>
      <c r="L3914" t="s">
        <v>17</v>
      </c>
      <c r="M3914">
        <v>18590.1470804126</v>
      </c>
      <c r="N3914">
        <v>0.21136779949009099</v>
      </c>
    </row>
    <row r="3915" spans="2:14" x14ac:dyDescent="0.25">
      <c r="B3915" t="s">
        <v>14</v>
      </c>
      <c r="C3915" s="1">
        <v>46141.999988425923</v>
      </c>
      <c r="D3915">
        <v>25.153956309963199</v>
      </c>
      <c r="E3915">
        <v>119321.159141322</v>
      </c>
      <c r="F3915" s="1">
        <v>46140.099120370367</v>
      </c>
      <c r="G3915">
        <v>52.876177550206201</v>
      </c>
      <c r="H3915" t="s">
        <v>34</v>
      </c>
      <c r="I3915" s="2"/>
      <c r="J3915" t="s">
        <v>16</v>
      </c>
      <c r="K3915">
        <v>564519.09623497899</v>
      </c>
      <c r="L3915" t="s">
        <v>17</v>
      </c>
      <c r="M3915">
        <v>0</v>
      </c>
      <c r="N3915">
        <v>0.21136779949009099</v>
      </c>
    </row>
    <row r="3916" spans="2:14" x14ac:dyDescent="0.25">
      <c r="B3916" t="s">
        <v>14</v>
      </c>
      <c r="C3916" s="1">
        <v>46140.999988425923</v>
      </c>
      <c r="D3916">
        <v>25.153956309963199</v>
      </c>
      <c r="E3916">
        <v>119321.159141322</v>
      </c>
      <c r="F3916" s="1">
        <v>46140.099120370367</v>
      </c>
      <c r="G3916">
        <v>52.876177550206201</v>
      </c>
      <c r="H3916" t="s">
        <v>34</v>
      </c>
      <c r="I3916" s="2"/>
      <c r="J3916" t="s">
        <v>16</v>
      </c>
      <c r="K3916">
        <v>564519.09623497899</v>
      </c>
      <c r="L3916" t="s">
        <v>17</v>
      </c>
      <c r="M3916">
        <v>0</v>
      </c>
      <c r="N3916">
        <v>0.21136779949009099</v>
      </c>
    </row>
    <row r="3917" spans="2:14" x14ac:dyDescent="0.25">
      <c r="B3917" t="s">
        <v>14</v>
      </c>
      <c r="C3917" s="1">
        <v>46139.999988425923</v>
      </c>
      <c r="D3917">
        <v>25.153956309963199</v>
      </c>
      <c r="E3917">
        <v>104546.886454202</v>
      </c>
      <c r="F3917" s="1">
        <v>46137.605486111112</v>
      </c>
      <c r="G3917">
        <v>52.876177550206201</v>
      </c>
      <c r="H3917" t="s">
        <v>34</v>
      </c>
      <c r="I3917" s="2"/>
      <c r="J3917" t="s">
        <v>16</v>
      </c>
      <c r="K3917">
        <v>564519.09623497899</v>
      </c>
      <c r="L3917" t="s">
        <v>17</v>
      </c>
      <c r="M3917">
        <v>-14774.272687119999</v>
      </c>
      <c r="N3917">
        <v>0.185196368292004</v>
      </c>
    </row>
    <row r="3918" spans="2:14" x14ac:dyDescent="0.25">
      <c r="B3918" t="s">
        <v>14</v>
      </c>
      <c r="C3918" s="1">
        <v>46138.999988425923</v>
      </c>
      <c r="D3918">
        <v>25.153956309963199</v>
      </c>
      <c r="E3918">
        <v>104546.886454202</v>
      </c>
      <c r="F3918" s="1">
        <v>46137.605486111112</v>
      </c>
      <c r="G3918">
        <v>52.876177550206201</v>
      </c>
      <c r="H3918" t="s">
        <v>34</v>
      </c>
      <c r="I3918" s="2"/>
      <c r="J3918" t="s">
        <v>16</v>
      </c>
      <c r="K3918">
        <v>564519.09623497899</v>
      </c>
      <c r="L3918" t="s">
        <v>17</v>
      </c>
      <c r="M3918">
        <v>0</v>
      </c>
      <c r="N3918">
        <v>0.185196368292004</v>
      </c>
    </row>
    <row r="3919" spans="2:14" x14ac:dyDescent="0.25">
      <c r="B3919" t="s">
        <v>14</v>
      </c>
      <c r="C3919" s="1">
        <v>46137.999988425923</v>
      </c>
      <c r="D3919">
        <v>25.153956309963199</v>
      </c>
      <c r="E3919">
        <v>104546.886454202</v>
      </c>
      <c r="F3919" s="1">
        <v>46137.605486111112</v>
      </c>
      <c r="G3919">
        <v>52.876177550206201</v>
      </c>
      <c r="H3919" t="s">
        <v>34</v>
      </c>
      <c r="I3919" s="2"/>
      <c r="J3919" t="s">
        <v>16</v>
      </c>
      <c r="K3919">
        <v>564519.09623497899</v>
      </c>
      <c r="L3919" t="s">
        <v>17</v>
      </c>
      <c r="M3919">
        <v>0</v>
      </c>
      <c r="N3919">
        <v>0.185196368292004</v>
      </c>
    </row>
    <row r="3920" spans="2:14" x14ac:dyDescent="0.25">
      <c r="B3920" t="s">
        <v>14</v>
      </c>
      <c r="C3920" s="1">
        <v>46136.999988425923</v>
      </c>
      <c r="D3920">
        <v>25.153956309963199</v>
      </c>
      <c r="E3920">
        <v>225032.19734206301</v>
      </c>
      <c r="F3920" s="1">
        <v>46134.099803240744</v>
      </c>
      <c r="G3920">
        <v>52.876177550206201</v>
      </c>
      <c r="H3920" t="s">
        <v>34</v>
      </c>
      <c r="I3920" s="2"/>
      <c r="J3920" t="s">
        <v>16</v>
      </c>
      <c r="K3920">
        <v>564519.09623497899</v>
      </c>
      <c r="L3920" t="s">
        <v>17</v>
      </c>
      <c r="M3920">
        <v>120485.31088786099</v>
      </c>
      <c r="N3920">
        <v>0.39862636860807699</v>
      </c>
    </row>
    <row r="3921" spans="2:14" x14ac:dyDescent="0.25">
      <c r="B3921" t="s">
        <v>14</v>
      </c>
      <c r="C3921" s="1">
        <v>46135.999988425923</v>
      </c>
      <c r="D3921">
        <v>25.153956309963199</v>
      </c>
      <c r="E3921">
        <v>225032.19734206301</v>
      </c>
      <c r="F3921" s="1">
        <v>46134.099803240744</v>
      </c>
      <c r="G3921">
        <v>52.876177550206201</v>
      </c>
      <c r="H3921" t="s">
        <v>34</v>
      </c>
      <c r="I3921" s="2"/>
      <c r="J3921" t="s">
        <v>16</v>
      </c>
      <c r="K3921">
        <v>564519.09623497899</v>
      </c>
      <c r="L3921" t="s">
        <v>17</v>
      </c>
      <c r="M3921">
        <v>0</v>
      </c>
      <c r="N3921">
        <v>0.39862636860807699</v>
      </c>
    </row>
    <row r="3922" spans="2:14" x14ac:dyDescent="0.25">
      <c r="B3922" t="s">
        <v>14</v>
      </c>
      <c r="C3922" s="1">
        <v>46134.999988425923</v>
      </c>
      <c r="D3922">
        <v>25.153956309963199</v>
      </c>
      <c r="E3922">
        <v>225032.19734206301</v>
      </c>
      <c r="F3922" s="1">
        <v>46134.099803240744</v>
      </c>
      <c r="G3922">
        <v>52.876177550206201</v>
      </c>
      <c r="H3922" t="s">
        <v>34</v>
      </c>
      <c r="I3922" s="2"/>
      <c r="J3922" t="s">
        <v>16</v>
      </c>
      <c r="K3922">
        <v>564519.09623497899</v>
      </c>
      <c r="L3922" t="s">
        <v>17</v>
      </c>
      <c r="M3922">
        <v>0</v>
      </c>
      <c r="N3922">
        <v>0.39862636860807699</v>
      </c>
    </row>
    <row r="3923" spans="2:14" x14ac:dyDescent="0.25">
      <c r="B3923" t="s">
        <v>14</v>
      </c>
      <c r="C3923" s="1">
        <v>46133.999988425923</v>
      </c>
      <c r="D3923">
        <v>25.153956309963199</v>
      </c>
      <c r="E3923">
        <v>95565.424001340099</v>
      </c>
      <c r="F3923" s="1">
        <v>46131.606296296297</v>
      </c>
      <c r="G3923">
        <v>52.876177550206201</v>
      </c>
      <c r="H3923" t="s">
        <v>34</v>
      </c>
      <c r="I3923" s="2"/>
      <c r="J3923" t="s">
        <v>16</v>
      </c>
      <c r="K3923">
        <v>564519.09623497899</v>
      </c>
      <c r="L3923" t="s">
        <v>17</v>
      </c>
      <c r="M3923">
        <v>-129466.773340723</v>
      </c>
      <c r="N3923">
        <v>0.16928643271539801</v>
      </c>
    </row>
    <row r="3924" spans="2:14" x14ac:dyDescent="0.25">
      <c r="B3924" t="s">
        <v>14</v>
      </c>
      <c r="C3924" s="1">
        <v>46132.999988425923</v>
      </c>
      <c r="D3924">
        <v>25.153956309963199</v>
      </c>
      <c r="E3924">
        <v>95565.424001340099</v>
      </c>
      <c r="F3924" s="1">
        <v>46131.606296296297</v>
      </c>
      <c r="G3924">
        <v>52.876177550206201</v>
      </c>
      <c r="H3924" t="s">
        <v>34</v>
      </c>
      <c r="I3924" s="2"/>
      <c r="J3924" t="s">
        <v>16</v>
      </c>
      <c r="K3924">
        <v>564519.09623497899</v>
      </c>
      <c r="L3924" t="s">
        <v>17</v>
      </c>
      <c r="M3924">
        <v>0</v>
      </c>
      <c r="N3924">
        <v>0.16928643271539801</v>
      </c>
    </row>
    <row r="3925" spans="2:14" x14ac:dyDescent="0.25">
      <c r="B3925" t="s">
        <v>14</v>
      </c>
      <c r="C3925" s="1">
        <v>46131.999988425923</v>
      </c>
      <c r="D3925">
        <v>25.153956309963199</v>
      </c>
      <c r="E3925">
        <v>95565.424001340099</v>
      </c>
      <c r="F3925" s="1">
        <v>46131.606296296297</v>
      </c>
      <c r="G3925">
        <v>52.876177550206201</v>
      </c>
      <c r="H3925" t="s">
        <v>34</v>
      </c>
      <c r="I3925" s="2"/>
      <c r="J3925" t="s">
        <v>16</v>
      </c>
      <c r="K3925">
        <v>564519.09623497899</v>
      </c>
      <c r="L3925" t="s">
        <v>17</v>
      </c>
      <c r="M3925">
        <v>0</v>
      </c>
      <c r="N3925">
        <v>0.16928643271539801</v>
      </c>
    </row>
    <row r="3926" spans="2:14" x14ac:dyDescent="0.25">
      <c r="B3926" t="s">
        <v>14</v>
      </c>
      <c r="C3926" s="1">
        <v>46130.999988425923</v>
      </c>
      <c r="D3926">
        <v>25.153956309963199</v>
      </c>
      <c r="E3926">
        <v>134607.34498757499</v>
      </c>
      <c r="F3926" s="1">
        <v>46128.099108796298</v>
      </c>
      <c r="G3926">
        <v>52.876177550206201</v>
      </c>
      <c r="H3926" t="s">
        <v>34</v>
      </c>
      <c r="I3926" s="2"/>
      <c r="J3926" t="s">
        <v>16</v>
      </c>
      <c r="K3926">
        <v>564519.09623497899</v>
      </c>
      <c r="L3926" t="s">
        <v>17</v>
      </c>
      <c r="M3926">
        <v>39041.920986235396</v>
      </c>
      <c r="N3926">
        <v>0.23844604351797799</v>
      </c>
    </row>
    <row r="3927" spans="2:14" x14ac:dyDescent="0.25">
      <c r="B3927" t="s">
        <v>14</v>
      </c>
      <c r="C3927" s="1">
        <v>46129.999988425923</v>
      </c>
      <c r="D3927">
        <v>25.153956309963199</v>
      </c>
      <c r="E3927">
        <v>134607.34498757499</v>
      </c>
      <c r="F3927" s="1">
        <v>46128.099108796298</v>
      </c>
      <c r="G3927">
        <v>52.876177550206201</v>
      </c>
      <c r="H3927" t="s">
        <v>34</v>
      </c>
      <c r="I3927" s="2"/>
      <c r="J3927" t="s">
        <v>16</v>
      </c>
      <c r="K3927">
        <v>564519.09623497899</v>
      </c>
      <c r="L3927" t="s">
        <v>17</v>
      </c>
      <c r="M3927">
        <v>0</v>
      </c>
      <c r="N3927">
        <v>0.23844604351797799</v>
      </c>
    </row>
    <row r="3928" spans="2:14" x14ac:dyDescent="0.25">
      <c r="B3928" t="s">
        <v>14</v>
      </c>
      <c r="C3928" s="1">
        <v>46128.999988425923</v>
      </c>
      <c r="D3928">
        <v>25.153956309963199</v>
      </c>
      <c r="E3928">
        <v>134607.34498757499</v>
      </c>
      <c r="F3928" s="1">
        <v>46128.099108796298</v>
      </c>
      <c r="G3928">
        <v>52.876177550206201</v>
      </c>
      <c r="H3928" t="s">
        <v>34</v>
      </c>
      <c r="I3928" s="2"/>
      <c r="J3928" t="s">
        <v>16</v>
      </c>
      <c r="K3928">
        <v>564519.09623497899</v>
      </c>
      <c r="L3928" t="s">
        <v>17</v>
      </c>
      <c r="M3928">
        <v>0</v>
      </c>
      <c r="N3928">
        <v>0.23844604351797799</v>
      </c>
    </row>
    <row r="3929" spans="2:14" x14ac:dyDescent="0.25">
      <c r="B3929" t="s">
        <v>14</v>
      </c>
      <c r="C3929" s="1">
        <v>46127.999988425923</v>
      </c>
      <c r="D3929">
        <v>25.153956309963199</v>
      </c>
      <c r="E3929">
        <v>564519.09623497899</v>
      </c>
      <c r="F3929" s="1">
        <v>46125.605486111112</v>
      </c>
      <c r="G3929">
        <v>52.876177550206201</v>
      </c>
      <c r="H3929" t="s">
        <v>34</v>
      </c>
      <c r="I3929" s="2"/>
      <c r="J3929" t="s">
        <v>16</v>
      </c>
      <c r="K3929">
        <v>564519.09623497899</v>
      </c>
      <c r="L3929" t="s">
        <v>17</v>
      </c>
      <c r="M3929">
        <v>429911.75124740298</v>
      </c>
      <c r="N3929">
        <v>1</v>
      </c>
    </row>
    <row r="3930" spans="2:14" x14ac:dyDescent="0.25">
      <c r="B3930" t="s">
        <v>14</v>
      </c>
      <c r="C3930" s="1">
        <v>46126.999988425923</v>
      </c>
      <c r="D3930">
        <v>25.153956309963199</v>
      </c>
      <c r="E3930">
        <v>564519.09623497899</v>
      </c>
      <c r="F3930" s="1">
        <v>46125.605486111112</v>
      </c>
      <c r="G3930">
        <v>52.876177550206201</v>
      </c>
      <c r="H3930" t="s">
        <v>34</v>
      </c>
      <c r="I3930" s="2"/>
      <c r="J3930" t="s">
        <v>16</v>
      </c>
      <c r="K3930">
        <v>564519.09623497899</v>
      </c>
      <c r="L3930" t="s">
        <v>17</v>
      </c>
      <c r="M3930">
        <v>0</v>
      </c>
      <c r="N3930">
        <v>1</v>
      </c>
    </row>
    <row r="3931" spans="2:14" x14ac:dyDescent="0.25">
      <c r="B3931" t="s">
        <v>14</v>
      </c>
      <c r="C3931" s="1">
        <v>46125.999988425923</v>
      </c>
      <c r="D3931">
        <v>25.153956309963199</v>
      </c>
      <c r="E3931">
        <v>564519.09623497899</v>
      </c>
      <c r="F3931" s="1">
        <v>46125.605486111112</v>
      </c>
      <c r="G3931">
        <v>52.876177550206201</v>
      </c>
      <c r="H3931" t="s">
        <v>34</v>
      </c>
      <c r="I3931" s="2"/>
      <c r="J3931" t="s">
        <v>16</v>
      </c>
      <c r="K3931">
        <v>564519.09623497899</v>
      </c>
      <c r="L3931" t="s">
        <v>17</v>
      </c>
      <c r="M3931">
        <v>0</v>
      </c>
      <c r="N3931">
        <v>1</v>
      </c>
    </row>
    <row r="3932" spans="2:14" x14ac:dyDescent="0.25">
      <c r="B3932" t="s">
        <v>14</v>
      </c>
      <c r="C3932" s="1">
        <v>46124.999988425923</v>
      </c>
      <c r="D3932">
        <v>25.153956309963199</v>
      </c>
      <c r="E3932">
        <v>295052.60334252898</v>
      </c>
      <c r="F3932" s="1">
        <v>46122.099803240744</v>
      </c>
      <c r="G3932">
        <v>52.876177550206201</v>
      </c>
      <c r="H3932" t="s">
        <v>34</v>
      </c>
      <c r="I3932" s="2"/>
      <c r="J3932" t="s">
        <v>16</v>
      </c>
      <c r="K3932">
        <v>564519.09623497899</v>
      </c>
      <c r="L3932" t="s">
        <v>17</v>
      </c>
      <c r="M3932">
        <v>-269466.49289244902</v>
      </c>
      <c r="N3932">
        <v>0.52266186442648599</v>
      </c>
    </row>
    <row r="3933" spans="2:14" x14ac:dyDescent="0.25">
      <c r="B3933" t="s">
        <v>14</v>
      </c>
      <c r="C3933" s="1">
        <v>46123.999988425923</v>
      </c>
      <c r="D3933">
        <v>25.153956309963199</v>
      </c>
      <c r="E3933">
        <v>295052.60334252898</v>
      </c>
      <c r="F3933" s="1">
        <v>46122.099803240744</v>
      </c>
      <c r="G3933">
        <v>52.876177550206201</v>
      </c>
      <c r="H3933" t="s">
        <v>34</v>
      </c>
      <c r="I3933" s="2"/>
      <c r="J3933" t="s">
        <v>16</v>
      </c>
      <c r="K3933">
        <v>564519.09623497899</v>
      </c>
      <c r="L3933" t="s">
        <v>17</v>
      </c>
      <c r="M3933">
        <v>0</v>
      </c>
      <c r="N3933">
        <v>0.52266186442648599</v>
      </c>
    </row>
    <row r="3934" spans="2:14" x14ac:dyDescent="0.25">
      <c r="B3934" t="s">
        <v>14</v>
      </c>
      <c r="C3934" s="1">
        <v>46122.999988425923</v>
      </c>
      <c r="D3934">
        <v>25.153956309963199</v>
      </c>
      <c r="E3934">
        <v>295052.60334252898</v>
      </c>
      <c r="F3934" s="1">
        <v>46122.099803240744</v>
      </c>
      <c r="G3934">
        <v>52.876177550206201</v>
      </c>
      <c r="H3934" t="s">
        <v>34</v>
      </c>
      <c r="I3934" s="2"/>
      <c r="J3934" t="s">
        <v>16</v>
      </c>
      <c r="K3934">
        <v>564519.09623497899</v>
      </c>
      <c r="L3934" t="s">
        <v>17</v>
      </c>
      <c r="M3934">
        <v>0</v>
      </c>
      <c r="N3934">
        <v>0.52266186442648599</v>
      </c>
    </row>
    <row r="3935" spans="2:14" x14ac:dyDescent="0.25">
      <c r="B3935" t="s">
        <v>14</v>
      </c>
      <c r="C3935" s="1">
        <v>46121.999988425923</v>
      </c>
      <c r="D3935">
        <v>25.153956309963199</v>
      </c>
      <c r="E3935">
        <v>226049.16198039299</v>
      </c>
      <c r="F3935" s="1">
        <v>46119.606296296297</v>
      </c>
      <c r="G3935">
        <v>52.876177550206201</v>
      </c>
      <c r="H3935" t="s">
        <v>34</v>
      </c>
      <c r="I3935" s="2"/>
      <c r="J3935" t="s">
        <v>16</v>
      </c>
      <c r="K3935">
        <v>564519.09623497899</v>
      </c>
      <c r="L3935" t="s">
        <v>17</v>
      </c>
      <c r="M3935">
        <v>-69003.441362135694</v>
      </c>
      <c r="N3935">
        <v>0.40042783935567899</v>
      </c>
    </row>
    <row r="3936" spans="2:14" x14ac:dyDescent="0.25">
      <c r="B3936" t="s">
        <v>14</v>
      </c>
      <c r="C3936" s="1">
        <v>46120.999988425923</v>
      </c>
      <c r="D3936">
        <v>25.153956309963199</v>
      </c>
      <c r="E3936">
        <v>226049.16198039299</v>
      </c>
      <c r="F3936" s="1">
        <v>46119.606296296297</v>
      </c>
      <c r="G3936">
        <v>52.876177550206201</v>
      </c>
      <c r="H3936" t="s">
        <v>34</v>
      </c>
      <c r="I3936" s="2"/>
      <c r="J3936" t="s">
        <v>16</v>
      </c>
      <c r="K3936">
        <v>564519.09623497899</v>
      </c>
      <c r="L3936" t="s">
        <v>17</v>
      </c>
      <c r="M3936">
        <v>0</v>
      </c>
      <c r="N3936">
        <v>0.40042783935567899</v>
      </c>
    </row>
    <row r="3937" spans="2:14" x14ac:dyDescent="0.25">
      <c r="B3937" t="s">
        <v>14</v>
      </c>
      <c r="C3937" s="1">
        <v>46119.999988425923</v>
      </c>
      <c r="D3937">
        <v>25.153956309963199</v>
      </c>
      <c r="E3937">
        <v>226049.16198039299</v>
      </c>
      <c r="F3937" s="1">
        <v>46119.606296296297</v>
      </c>
      <c r="G3937">
        <v>52.876177550206201</v>
      </c>
      <c r="H3937" t="s">
        <v>34</v>
      </c>
      <c r="I3937" s="2"/>
      <c r="J3937" t="s">
        <v>16</v>
      </c>
      <c r="K3937">
        <v>564519.09623497899</v>
      </c>
      <c r="L3937" t="s">
        <v>17</v>
      </c>
      <c r="M3937">
        <v>0</v>
      </c>
      <c r="N3937">
        <v>0.40042783935567899</v>
      </c>
    </row>
    <row r="3938" spans="2:14" x14ac:dyDescent="0.25">
      <c r="B3938" t="s">
        <v>14</v>
      </c>
      <c r="C3938" s="1">
        <v>46118.999988425923</v>
      </c>
      <c r="D3938">
        <v>25.153956309963199</v>
      </c>
      <c r="E3938">
        <v>305214.37687684997</v>
      </c>
      <c r="F3938" s="1">
        <v>46116.099108796298</v>
      </c>
      <c r="G3938">
        <v>52.876177550206201</v>
      </c>
      <c r="H3938" t="s">
        <v>34</v>
      </c>
      <c r="I3938" s="2"/>
      <c r="J3938" t="s">
        <v>16</v>
      </c>
      <c r="K3938">
        <v>564519.09623497899</v>
      </c>
      <c r="L3938" t="s">
        <v>17</v>
      </c>
      <c r="M3938">
        <v>79165.214896456397</v>
      </c>
      <c r="N3938">
        <v>0.54066262578618896</v>
      </c>
    </row>
    <row r="3939" spans="2:14" x14ac:dyDescent="0.25">
      <c r="B3939" t="s">
        <v>14</v>
      </c>
      <c r="C3939" s="1">
        <v>46117.999988425923</v>
      </c>
      <c r="D3939">
        <v>25.153956309963199</v>
      </c>
      <c r="E3939">
        <v>305214.37687684997</v>
      </c>
      <c r="F3939" s="1">
        <v>46116.099108796298</v>
      </c>
      <c r="G3939">
        <v>52.876177550206201</v>
      </c>
      <c r="H3939" t="s">
        <v>34</v>
      </c>
      <c r="I3939" s="2"/>
      <c r="J3939" t="s">
        <v>16</v>
      </c>
      <c r="K3939">
        <v>564519.09623497899</v>
      </c>
      <c r="L3939" t="s">
        <v>17</v>
      </c>
      <c r="M3939">
        <v>0</v>
      </c>
      <c r="N3939">
        <v>0.54066262578618896</v>
      </c>
    </row>
    <row r="3940" spans="2:14" x14ac:dyDescent="0.25">
      <c r="B3940" t="s">
        <v>14</v>
      </c>
      <c r="C3940" s="1">
        <v>46116.999988425923</v>
      </c>
      <c r="D3940">
        <v>25.153956309963199</v>
      </c>
      <c r="E3940">
        <v>305214.37687684997</v>
      </c>
      <c r="F3940" s="1">
        <v>46116.099108796298</v>
      </c>
      <c r="G3940">
        <v>52.876177550206201</v>
      </c>
      <c r="H3940" t="s">
        <v>34</v>
      </c>
      <c r="I3940" s="2"/>
      <c r="J3940" t="s">
        <v>16</v>
      </c>
      <c r="K3940">
        <v>564519.09623497899</v>
      </c>
      <c r="L3940" t="s">
        <v>17</v>
      </c>
      <c r="M3940">
        <v>0</v>
      </c>
      <c r="N3940">
        <v>0.54066262578618896</v>
      </c>
    </row>
    <row r="3941" spans="2:14" x14ac:dyDescent="0.25">
      <c r="B3941" t="s">
        <v>14</v>
      </c>
      <c r="C3941" s="1">
        <v>46115.999988425923</v>
      </c>
      <c r="D3941">
        <v>25.153956309963199</v>
      </c>
      <c r="E3941">
        <v>564519.09623497899</v>
      </c>
      <c r="F3941" s="1">
        <v>46113.605474537035</v>
      </c>
      <c r="G3941">
        <v>52.876177550206201</v>
      </c>
      <c r="H3941" t="s">
        <v>34</v>
      </c>
      <c r="I3941" s="2"/>
      <c r="J3941" t="s">
        <v>16</v>
      </c>
      <c r="K3941">
        <v>564519.09623497899</v>
      </c>
      <c r="L3941" t="s">
        <v>17</v>
      </c>
      <c r="M3941">
        <v>259304.719358128</v>
      </c>
      <c r="N3941">
        <v>1</v>
      </c>
    </row>
    <row r="3942" spans="2:14" x14ac:dyDescent="0.25">
      <c r="B3942" t="s">
        <v>14</v>
      </c>
      <c r="C3942" s="1">
        <v>46114.999988425923</v>
      </c>
      <c r="D3942">
        <v>25.153956309963199</v>
      </c>
      <c r="E3942">
        <v>564519.09623497899</v>
      </c>
      <c r="F3942" s="1">
        <v>46113.605474537035</v>
      </c>
      <c r="G3942">
        <v>52.876177550206201</v>
      </c>
      <c r="H3942" t="s">
        <v>34</v>
      </c>
      <c r="I3942" s="2"/>
      <c r="J3942" t="s">
        <v>16</v>
      </c>
      <c r="K3942">
        <v>564519.09623497899</v>
      </c>
      <c r="L3942" t="s">
        <v>17</v>
      </c>
      <c r="M3942">
        <v>0</v>
      </c>
      <c r="N3942">
        <v>1</v>
      </c>
    </row>
    <row r="3943" spans="2:14" x14ac:dyDescent="0.25">
      <c r="B3943" t="s">
        <v>14</v>
      </c>
      <c r="C3943" s="1">
        <v>46113.999988425923</v>
      </c>
      <c r="D3943">
        <v>25.153956309963199</v>
      </c>
      <c r="E3943">
        <v>564519.09623497899</v>
      </c>
      <c r="F3943" s="1">
        <v>46113.605474537035</v>
      </c>
      <c r="G3943">
        <v>52.876177550206201</v>
      </c>
      <c r="H3943" t="s">
        <v>34</v>
      </c>
      <c r="I3943" s="2"/>
      <c r="J3943" t="s">
        <v>16</v>
      </c>
      <c r="K3943">
        <v>564519.09623497899</v>
      </c>
      <c r="L3943" t="s">
        <v>17</v>
      </c>
      <c r="M3943">
        <v>0</v>
      </c>
      <c r="N3943">
        <v>1</v>
      </c>
    </row>
    <row r="3944" spans="2:14" x14ac:dyDescent="0.25">
      <c r="B3944" t="s">
        <v>14</v>
      </c>
      <c r="C3944" s="1">
        <v>46112.999988425923</v>
      </c>
      <c r="D3944">
        <v>25.153956309963199</v>
      </c>
      <c r="E3944">
        <v>408301.468085006</v>
      </c>
      <c r="F3944" s="1">
        <v>46110.099803240744</v>
      </c>
      <c r="G3944">
        <v>52.876177550206201</v>
      </c>
      <c r="H3944" t="s">
        <v>34</v>
      </c>
      <c r="I3944" s="2"/>
      <c r="J3944" t="s">
        <v>16</v>
      </c>
      <c r="K3944">
        <v>564519.09623497899</v>
      </c>
      <c r="L3944" t="s">
        <v>17</v>
      </c>
      <c r="M3944">
        <v>-156217.62814997201</v>
      </c>
      <c r="N3944">
        <v>0.72327308466293705</v>
      </c>
    </row>
    <row r="3945" spans="2:14" x14ac:dyDescent="0.25">
      <c r="B3945" t="s">
        <v>14</v>
      </c>
      <c r="C3945" s="1">
        <v>46111.999988425923</v>
      </c>
      <c r="D3945">
        <v>25.153956309963199</v>
      </c>
      <c r="E3945">
        <v>408301.468085006</v>
      </c>
      <c r="F3945" s="1">
        <v>46110.099803240744</v>
      </c>
      <c r="G3945">
        <v>52.876177550206201</v>
      </c>
      <c r="H3945" t="s">
        <v>34</v>
      </c>
      <c r="I3945" s="2"/>
      <c r="J3945" t="s">
        <v>16</v>
      </c>
      <c r="K3945">
        <v>564519.09623497899</v>
      </c>
      <c r="L3945" t="s">
        <v>17</v>
      </c>
      <c r="M3945">
        <v>0</v>
      </c>
      <c r="N3945">
        <v>0.72327308466293705</v>
      </c>
    </row>
    <row r="3946" spans="2:14" x14ac:dyDescent="0.25">
      <c r="B3946" t="s">
        <v>14</v>
      </c>
      <c r="C3946" s="1">
        <v>46110.999988425923</v>
      </c>
      <c r="D3946">
        <v>25.153956309963199</v>
      </c>
      <c r="E3946">
        <v>408301.468085006</v>
      </c>
      <c r="F3946" s="1">
        <v>46110.099803240744</v>
      </c>
      <c r="G3946">
        <v>52.876177550206201</v>
      </c>
      <c r="H3946" t="s">
        <v>34</v>
      </c>
      <c r="I3946" s="2"/>
      <c r="J3946" t="s">
        <v>16</v>
      </c>
      <c r="K3946">
        <v>564519.09623497899</v>
      </c>
      <c r="L3946" t="s">
        <v>17</v>
      </c>
      <c r="M3946">
        <v>0</v>
      </c>
      <c r="N3946">
        <v>0.72327308466293705</v>
      </c>
    </row>
    <row r="3947" spans="2:14" x14ac:dyDescent="0.25">
      <c r="B3947" t="s">
        <v>14</v>
      </c>
      <c r="C3947" s="1">
        <v>46109.999988425923</v>
      </c>
      <c r="D3947">
        <v>25.153956309963199</v>
      </c>
      <c r="E3947">
        <v>147882.106262549</v>
      </c>
      <c r="F3947" s="1">
        <v>46107.606296296297</v>
      </c>
      <c r="G3947">
        <v>52.876177550206201</v>
      </c>
      <c r="H3947" t="s">
        <v>34</v>
      </c>
      <c r="I3947" s="2"/>
      <c r="J3947" t="s">
        <v>16</v>
      </c>
      <c r="K3947">
        <v>564519.09623497899</v>
      </c>
      <c r="L3947" t="s">
        <v>17</v>
      </c>
      <c r="M3947">
        <v>-260419.36182245699</v>
      </c>
      <c r="N3947">
        <v>0.26196121131922401</v>
      </c>
    </row>
    <row r="3948" spans="2:14" x14ac:dyDescent="0.25">
      <c r="B3948" t="s">
        <v>14</v>
      </c>
      <c r="C3948" s="1">
        <v>46108.999988425923</v>
      </c>
      <c r="D3948">
        <v>25.153956309963199</v>
      </c>
      <c r="E3948">
        <v>147882.106262549</v>
      </c>
      <c r="F3948" s="1">
        <v>46107.606296296297</v>
      </c>
      <c r="G3948">
        <v>52.876177550206201</v>
      </c>
      <c r="H3948" t="s">
        <v>34</v>
      </c>
      <c r="I3948" s="2"/>
      <c r="J3948" t="s">
        <v>16</v>
      </c>
      <c r="K3948">
        <v>564519.09623497899</v>
      </c>
      <c r="L3948" t="s">
        <v>17</v>
      </c>
      <c r="M3948">
        <v>0</v>
      </c>
      <c r="N3948">
        <v>0.26196121131922401</v>
      </c>
    </row>
    <row r="3949" spans="2:14" x14ac:dyDescent="0.25">
      <c r="B3949" t="s">
        <v>14</v>
      </c>
      <c r="C3949" s="1">
        <v>46107.999988425923</v>
      </c>
      <c r="D3949">
        <v>25.153956309963199</v>
      </c>
      <c r="E3949">
        <v>147882.106262549</v>
      </c>
      <c r="F3949" s="1">
        <v>46107.606296296297</v>
      </c>
      <c r="G3949">
        <v>52.876177550206201</v>
      </c>
      <c r="H3949" t="s">
        <v>34</v>
      </c>
      <c r="I3949" s="2"/>
      <c r="J3949" t="s">
        <v>16</v>
      </c>
      <c r="K3949">
        <v>564519.09623497899</v>
      </c>
      <c r="L3949" t="s">
        <v>17</v>
      </c>
      <c r="M3949">
        <v>0</v>
      </c>
      <c r="N3949">
        <v>0.26196121131922401</v>
      </c>
    </row>
    <row r="3950" spans="2:14" x14ac:dyDescent="0.25">
      <c r="B3950" t="s">
        <v>14</v>
      </c>
      <c r="C3950" s="1">
        <v>46106.999988425923</v>
      </c>
      <c r="D3950">
        <v>25.153956309963199</v>
      </c>
      <c r="E3950">
        <v>130967.782555988</v>
      </c>
      <c r="F3950" s="1">
        <v>46104.099108796298</v>
      </c>
      <c r="G3950">
        <v>52.876177550206201</v>
      </c>
      <c r="H3950" t="s">
        <v>34</v>
      </c>
      <c r="I3950" s="2"/>
      <c r="J3950" t="s">
        <v>16</v>
      </c>
      <c r="K3950">
        <v>564519.09623497899</v>
      </c>
      <c r="L3950" t="s">
        <v>17</v>
      </c>
      <c r="M3950">
        <v>-16914.323706560099</v>
      </c>
      <c r="N3950">
        <v>0.23199885252681299</v>
      </c>
    </row>
    <row r="3951" spans="2:14" x14ac:dyDescent="0.25">
      <c r="B3951" t="s">
        <v>14</v>
      </c>
      <c r="C3951" s="1">
        <v>46105.999988425923</v>
      </c>
      <c r="D3951">
        <v>25.153956309963199</v>
      </c>
      <c r="E3951">
        <v>130967.782555988</v>
      </c>
      <c r="F3951" s="1">
        <v>46104.099108796298</v>
      </c>
      <c r="G3951">
        <v>52.876177550206201</v>
      </c>
      <c r="H3951" t="s">
        <v>34</v>
      </c>
      <c r="I3951" s="2"/>
      <c r="J3951" t="s">
        <v>16</v>
      </c>
      <c r="K3951">
        <v>564519.09623497899</v>
      </c>
      <c r="L3951" t="s">
        <v>17</v>
      </c>
      <c r="M3951">
        <v>0</v>
      </c>
      <c r="N3951">
        <v>0.23199885252681299</v>
      </c>
    </row>
    <row r="3952" spans="2:14" x14ac:dyDescent="0.25">
      <c r="B3952" t="s">
        <v>14</v>
      </c>
      <c r="C3952" s="1">
        <v>46104.999988425923</v>
      </c>
      <c r="D3952">
        <v>25.153956309963199</v>
      </c>
      <c r="E3952">
        <v>130967.782555988</v>
      </c>
      <c r="F3952" s="1">
        <v>46104.099108796298</v>
      </c>
      <c r="G3952">
        <v>52.876177550206201</v>
      </c>
      <c r="H3952" t="s">
        <v>34</v>
      </c>
      <c r="I3952" s="2"/>
      <c r="J3952" t="s">
        <v>16</v>
      </c>
      <c r="K3952">
        <v>564519.09623497899</v>
      </c>
      <c r="L3952" t="s">
        <v>17</v>
      </c>
      <c r="M3952">
        <v>0</v>
      </c>
      <c r="N3952">
        <v>0.23199885252681299</v>
      </c>
    </row>
    <row r="3953" spans="2:14" x14ac:dyDescent="0.25">
      <c r="B3953" t="s">
        <v>14</v>
      </c>
      <c r="C3953" s="1">
        <v>46103.999988425923</v>
      </c>
      <c r="D3953">
        <v>25.153956309963199</v>
      </c>
      <c r="E3953">
        <v>116681.83202992</v>
      </c>
      <c r="F3953" s="1">
        <v>46101.605474537035</v>
      </c>
      <c r="G3953">
        <v>52.876177550206201</v>
      </c>
      <c r="H3953" t="s">
        <v>34</v>
      </c>
      <c r="I3953" s="2"/>
      <c r="J3953" t="s">
        <v>16</v>
      </c>
      <c r="K3953">
        <v>564519.09623497899</v>
      </c>
      <c r="L3953" t="s">
        <v>17</v>
      </c>
      <c r="M3953">
        <v>-14285.9505260683</v>
      </c>
      <c r="N3953">
        <v>0.20669244461014999</v>
      </c>
    </row>
    <row r="3954" spans="2:14" x14ac:dyDescent="0.25">
      <c r="B3954" t="s">
        <v>14</v>
      </c>
      <c r="C3954" s="1">
        <v>46102.999988425923</v>
      </c>
      <c r="D3954">
        <v>25.153956309963199</v>
      </c>
      <c r="E3954">
        <v>116681.83202992</v>
      </c>
      <c r="F3954" s="1">
        <v>46101.605474537035</v>
      </c>
      <c r="G3954">
        <v>52.876177550206201</v>
      </c>
      <c r="H3954" t="s">
        <v>34</v>
      </c>
      <c r="I3954" s="2"/>
      <c r="J3954" t="s">
        <v>16</v>
      </c>
      <c r="K3954">
        <v>564519.09623497899</v>
      </c>
      <c r="L3954" t="s">
        <v>17</v>
      </c>
      <c r="M3954">
        <v>0</v>
      </c>
      <c r="N3954">
        <v>0.20669244461014999</v>
      </c>
    </row>
    <row r="3955" spans="2:14" x14ac:dyDescent="0.25">
      <c r="B3955" t="s">
        <v>14</v>
      </c>
      <c r="C3955" s="1">
        <v>46101.999988425923</v>
      </c>
      <c r="D3955">
        <v>25.153956309963199</v>
      </c>
      <c r="E3955">
        <v>116681.83202992</v>
      </c>
      <c r="F3955" s="1">
        <v>46101.605474537035</v>
      </c>
      <c r="G3955">
        <v>52.876177550206201</v>
      </c>
      <c r="H3955" t="s">
        <v>34</v>
      </c>
      <c r="I3955" s="2"/>
      <c r="J3955" t="s">
        <v>16</v>
      </c>
      <c r="K3955">
        <v>564519.09623497899</v>
      </c>
      <c r="L3955" t="s">
        <v>17</v>
      </c>
      <c r="M3955">
        <v>0</v>
      </c>
      <c r="N3955">
        <v>0.20669244461014999</v>
      </c>
    </row>
    <row r="3956" spans="2:14" x14ac:dyDescent="0.25">
      <c r="B3956" t="s">
        <v>14</v>
      </c>
      <c r="C3956" s="1">
        <v>46100.999988425923</v>
      </c>
      <c r="D3956">
        <v>25.153956309963199</v>
      </c>
      <c r="E3956">
        <v>137410.01266867699</v>
      </c>
      <c r="F3956" s="1">
        <v>46098.099803240744</v>
      </c>
      <c r="G3956">
        <v>52.876177550206201</v>
      </c>
      <c r="H3956" t="s">
        <v>34</v>
      </c>
      <c r="I3956" s="2"/>
      <c r="J3956" t="s">
        <v>16</v>
      </c>
      <c r="K3956">
        <v>564519.09623497899</v>
      </c>
      <c r="L3956" t="s">
        <v>17</v>
      </c>
      <c r="M3956">
        <v>20728.180638757</v>
      </c>
      <c r="N3956">
        <v>0.24341074302910901</v>
      </c>
    </row>
    <row r="3957" spans="2:14" x14ac:dyDescent="0.25">
      <c r="B3957" t="s">
        <v>14</v>
      </c>
      <c r="C3957" s="1">
        <v>46099.999988425923</v>
      </c>
      <c r="D3957">
        <v>25.153956309963199</v>
      </c>
      <c r="E3957">
        <v>137410.01266867699</v>
      </c>
      <c r="F3957" s="1">
        <v>46098.099803240744</v>
      </c>
      <c r="G3957">
        <v>52.876177550206201</v>
      </c>
      <c r="H3957" t="s">
        <v>34</v>
      </c>
      <c r="I3957" s="2"/>
      <c r="J3957" t="s">
        <v>16</v>
      </c>
      <c r="K3957">
        <v>564519.09623497899</v>
      </c>
      <c r="L3957" t="s">
        <v>17</v>
      </c>
      <c r="M3957">
        <v>0</v>
      </c>
      <c r="N3957">
        <v>0.24341074302910901</v>
      </c>
    </row>
    <row r="3958" spans="2:14" x14ac:dyDescent="0.25">
      <c r="B3958" t="s">
        <v>14</v>
      </c>
      <c r="C3958" s="1">
        <v>46098.999988425923</v>
      </c>
      <c r="D3958">
        <v>25.153956309963199</v>
      </c>
      <c r="E3958">
        <v>137410.01266867699</v>
      </c>
      <c r="F3958" s="1">
        <v>46098.099803240744</v>
      </c>
      <c r="G3958">
        <v>52.876177550206201</v>
      </c>
      <c r="H3958" t="s">
        <v>34</v>
      </c>
      <c r="I3958" s="2"/>
      <c r="J3958" t="s">
        <v>16</v>
      </c>
      <c r="K3958">
        <v>564519.09623497899</v>
      </c>
      <c r="L3958" t="s">
        <v>17</v>
      </c>
      <c r="M3958">
        <v>0</v>
      </c>
      <c r="N3958">
        <v>0.24341074302910901</v>
      </c>
    </row>
    <row r="3959" spans="2:14" x14ac:dyDescent="0.25">
      <c r="B3959" t="s">
        <v>14</v>
      </c>
      <c r="C3959" s="1">
        <v>46097.999988425923</v>
      </c>
      <c r="D3959">
        <v>25.153956309963199</v>
      </c>
      <c r="E3959">
        <v>114257.879035269</v>
      </c>
      <c r="F3959" s="1">
        <v>46095.606296296297</v>
      </c>
      <c r="G3959">
        <v>52.876177550206201</v>
      </c>
      <c r="H3959" t="s">
        <v>34</v>
      </c>
      <c r="I3959" s="2"/>
      <c r="J3959" t="s">
        <v>16</v>
      </c>
      <c r="K3959">
        <v>564519.09623497899</v>
      </c>
      <c r="L3959" t="s">
        <v>17</v>
      </c>
      <c r="M3959">
        <v>-23152.133633408201</v>
      </c>
      <c r="N3959">
        <v>0.20239860758883799</v>
      </c>
    </row>
    <row r="3960" spans="2:14" x14ac:dyDescent="0.25">
      <c r="B3960" t="s">
        <v>14</v>
      </c>
      <c r="C3960" s="1">
        <v>46096.999988425923</v>
      </c>
      <c r="D3960">
        <v>25.153956309963199</v>
      </c>
      <c r="E3960">
        <v>114257.879035269</v>
      </c>
      <c r="F3960" s="1">
        <v>46095.606296296297</v>
      </c>
      <c r="G3960">
        <v>52.876177550206201</v>
      </c>
      <c r="H3960" t="s">
        <v>34</v>
      </c>
      <c r="I3960" s="2"/>
      <c r="J3960" t="s">
        <v>16</v>
      </c>
      <c r="K3960">
        <v>564519.09623497899</v>
      </c>
      <c r="L3960" t="s">
        <v>17</v>
      </c>
      <c r="M3960">
        <v>0</v>
      </c>
      <c r="N3960">
        <v>0.20239860758883799</v>
      </c>
    </row>
    <row r="3961" spans="2:14" x14ac:dyDescent="0.25">
      <c r="B3961" t="s">
        <v>14</v>
      </c>
      <c r="C3961" s="1">
        <v>46095.999988425923</v>
      </c>
      <c r="D3961">
        <v>25.153956309963199</v>
      </c>
      <c r="E3961">
        <v>114257.879035269</v>
      </c>
      <c r="F3961" s="1">
        <v>46095.606296296297</v>
      </c>
      <c r="G3961">
        <v>52.876177550206201</v>
      </c>
      <c r="H3961" t="s">
        <v>34</v>
      </c>
      <c r="I3961" s="2"/>
      <c r="J3961" t="s">
        <v>16</v>
      </c>
      <c r="K3961">
        <v>564519.09623497899</v>
      </c>
      <c r="L3961" t="s">
        <v>17</v>
      </c>
      <c r="M3961">
        <v>0</v>
      </c>
      <c r="N3961">
        <v>0.20239860758883799</v>
      </c>
    </row>
    <row r="3962" spans="2:14" x14ac:dyDescent="0.25">
      <c r="B3962" t="s">
        <v>14</v>
      </c>
      <c r="C3962" s="1">
        <v>46094.999988425923</v>
      </c>
      <c r="D3962">
        <v>25.153956309963199</v>
      </c>
      <c r="E3962">
        <v>131651.02505538301</v>
      </c>
      <c r="F3962" s="1">
        <v>46092.099097222221</v>
      </c>
      <c r="G3962">
        <v>52.876177550206201</v>
      </c>
      <c r="H3962" t="s">
        <v>34</v>
      </c>
      <c r="I3962" s="2"/>
      <c r="J3962" t="s">
        <v>16</v>
      </c>
      <c r="K3962">
        <v>564519.09623497899</v>
      </c>
      <c r="L3962" t="s">
        <v>17</v>
      </c>
      <c r="M3962">
        <v>17393.146020114302</v>
      </c>
      <c r="N3962">
        <v>0.23320916144984399</v>
      </c>
    </row>
    <row r="3963" spans="2:14" x14ac:dyDescent="0.25">
      <c r="B3963" t="s">
        <v>14</v>
      </c>
      <c r="C3963" s="1">
        <v>46093.999988425923</v>
      </c>
      <c r="D3963">
        <v>25.153956309963199</v>
      </c>
      <c r="E3963">
        <v>131651.02505538301</v>
      </c>
      <c r="F3963" s="1">
        <v>46092.099097222221</v>
      </c>
      <c r="G3963">
        <v>52.876177550206201</v>
      </c>
      <c r="H3963" t="s">
        <v>34</v>
      </c>
      <c r="I3963" s="2"/>
      <c r="J3963" t="s">
        <v>16</v>
      </c>
      <c r="K3963">
        <v>564519.09623497899</v>
      </c>
      <c r="L3963" t="s">
        <v>17</v>
      </c>
      <c r="M3963">
        <v>0</v>
      </c>
      <c r="N3963">
        <v>0.23320916144984399</v>
      </c>
    </row>
    <row r="3964" spans="2:14" x14ac:dyDescent="0.25">
      <c r="B3964" t="s">
        <v>14</v>
      </c>
      <c r="C3964" s="1">
        <v>46092.999988425923</v>
      </c>
      <c r="D3964">
        <v>25.153956309963199</v>
      </c>
      <c r="E3964">
        <v>131651.02505538301</v>
      </c>
      <c r="F3964" s="1">
        <v>46092.099097222221</v>
      </c>
      <c r="G3964">
        <v>52.876177550206201</v>
      </c>
      <c r="H3964" t="s">
        <v>34</v>
      </c>
      <c r="I3964" s="2"/>
      <c r="J3964" t="s">
        <v>16</v>
      </c>
      <c r="K3964">
        <v>564519.09623497899</v>
      </c>
      <c r="L3964" t="s">
        <v>17</v>
      </c>
      <c r="M3964">
        <v>0</v>
      </c>
      <c r="N3964">
        <v>0.23320916144984399</v>
      </c>
    </row>
    <row r="3965" spans="2:14" x14ac:dyDescent="0.25">
      <c r="B3965" t="s">
        <v>14</v>
      </c>
      <c r="C3965" s="1">
        <v>46091.999988425923</v>
      </c>
      <c r="D3965">
        <v>25.153956309963199</v>
      </c>
      <c r="E3965">
        <v>115073.052847472</v>
      </c>
      <c r="F3965" s="1">
        <v>46089.605474537035</v>
      </c>
      <c r="G3965">
        <v>52.876177550206201</v>
      </c>
      <c r="H3965" t="s">
        <v>34</v>
      </c>
      <c r="I3965" s="2"/>
      <c r="J3965" t="s">
        <v>16</v>
      </c>
      <c r="K3965">
        <v>564519.09623497899</v>
      </c>
      <c r="L3965" t="s">
        <v>17</v>
      </c>
      <c r="M3965">
        <v>-16577.972207911102</v>
      </c>
      <c r="N3965">
        <v>0.20384262218044299</v>
      </c>
    </row>
    <row r="3966" spans="2:14" x14ac:dyDescent="0.25">
      <c r="B3966" t="s">
        <v>14</v>
      </c>
      <c r="C3966" s="1">
        <v>46090.999988425923</v>
      </c>
      <c r="D3966">
        <v>25.153956309963199</v>
      </c>
      <c r="E3966">
        <v>115073.052847472</v>
      </c>
      <c r="F3966" s="1">
        <v>46089.605474537035</v>
      </c>
      <c r="G3966">
        <v>52.876177550206201</v>
      </c>
      <c r="H3966" t="s">
        <v>34</v>
      </c>
      <c r="I3966" s="2"/>
      <c r="J3966" t="s">
        <v>16</v>
      </c>
      <c r="K3966">
        <v>564519.09623497899</v>
      </c>
      <c r="L3966" t="s">
        <v>17</v>
      </c>
      <c r="M3966">
        <v>0</v>
      </c>
      <c r="N3966">
        <v>0.20384262218044299</v>
      </c>
    </row>
    <row r="3967" spans="2:14" x14ac:dyDescent="0.25">
      <c r="B3967" t="s">
        <v>14</v>
      </c>
      <c r="C3967" s="1">
        <v>46089.999988425923</v>
      </c>
      <c r="D3967">
        <v>25.153956309963199</v>
      </c>
      <c r="E3967">
        <v>115073.052847472</v>
      </c>
      <c r="F3967" s="1">
        <v>46089.605474537035</v>
      </c>
      <c r="G3967">
        <v>52.876177550206201</v>
      </c>
      <c r="H3967" t="s">
        <v>34</v>
      </c>
      <c r="I3967" s="2"/>
      <c r="J3967" t="s">
        <v>16</v>
      </c>
      <c r="K3967">
        <v>564519.09623497899</v>
      </c>
      <c r="L3967" t="s">
        <v>17</v>
      </c>
      <c r="M3967">
        <v>0</v>
      </c>
      <c r="N3967">
        <v>0.20384262218044299</v>
      </c>
    </row>
    <row r="3968" spans="2:14" x14ac:dyDescent="0.25">
      <c r="B3968" t="s">
        <v>14</v>
      </c>
      <c r="C3968" s="1">
        <v>46088.999988425923</v>
      </c>
      <c r="D3968">
        <v>25.153956309963199</v>
      </c>
      <c r="E3968">
        <v>141609.19619834199</v>
      </c>
      <c r="F3968" s="1">
        <v>46086.099803240744</v>
      </c>
      <c r="G3968">
        <v>52.876177550206201</v>
      </c>
      <c r="H3968" t="s">
        <v>34</v>
      </c>
      <c r="I3968" s="2"/>
      <c r="J3968" t="s">
        <v>16</v>
      </c>
      <c r="K3968">
        <v>564519.09623497899</v>
      </c>
      <c r="L3968" t="s">
        <v>17</v>
      </c>
      <c r="M3968">
        <v>26536.143350869701</v>
      </c>
      <c r="N3968">
        <v>0.250849257612</v>
      </c>
    </row>
    <row r="3969" spans="2:14" x14ac:dyDescent="0.25">
      <c r="B3969" t="s">
        <v>14</v>
      </c>
      <c r="C3969" s="1">
        <v>46087.999988425923</v>
      </c>
      <c r="D3969">
        <v>25.153956309963199</v>
      </c>
      <c r="E3969">
        <v>141609.19619834199</v>
      </c>
      <c r="F3969" s="1">
        <v>46086.099803240744</v>
      </c>
      <c r="G3969">
        <v>52.876177550206201</v>
      </c>
      <c r="H3969" t="s">
        <v>34</v>
      </c>
      <c r="I3969" s="2"/>
      <c r="J3969" t="s">
        <v>16</v>
      </c>
      <c r="K3969">
        <v>564519.09623497899</v>
      </c>
      <c r="L3969" t="s">
        <v>17</v>
      </c>
      <c r="M3969">
        <v>0</v>
      </c>
      <c r="N3969">
        <v>0.250849257612</v>
      </c>
    </row>
    <row r="3970" spans="2:14" x14ac:dyDescent="0.25">
      <c r="B3970" t="s">
        <v>14</v>
      </c>
      <c r="C3970" s="1">
        <v>46086.999988425923</v>
      </c>
      <c r="D3970">
        <v>25.153956309963199</v>
      </c>
      <c r="E3970">
        <v>141609.19619834199</v>
      </c>
      <c r="F3970" s="1">
        <v>46086.099803240744</v>
      </c>
      <c r="G3970">
        <v>52.876177550206201</v>
      </c>
      <c r="H3970" t="s">
        <v>34</v>
      </c>
      <c r="I3970" s="2"/>
      <c r="J3970" t="s">
        <v>16</v>
      </c>
      <c r="K3970">
        <v>564519.09623497899</v>
      </c>
      <c r="L3970" t="s">
        <v>17</v>
      </c>
      <c r="M3970">
        <v>0</v>
      </c>
      <c r="N3970">
        <v>0.250849257612</v>
      </c>
    </row>
    <row r="3971" spans="2:14" x14ac:dyDescent="0.25">
      <c r="B3971" t="s">
        <v>14</v>
      </c>
      <c r="C3971" s="1">
        <v>46085.999988425923</v>
      </c>
      <c r="D3971">
        <v>25.153956309963199</v>
      </c>
      <c r="E3971">
        <v>252461.458991894</v>
      </c>
      <c r="F3971" s="1">
        <v>46083.60628472222</v>
      </c>
      <c r="G3971">
        <v>52.876177550206201</v>
      </c>
      <c r="H3971" t="s">
        <v>34</v>
      </c>
      <c r="I3971" s="2"/>
      <c r="J3971" t="s">
        <v>16</v>
      </c>
      <c r="K3971">
        <v>564519.09623497899</v>
      </c>
      <c r="L3971" t="s">
        <v>17</v>
      </c>
      <c r="M3971">
        <v>110852.262793552</v>
      </c>
      <c r="N3971">
        <v>0.447215090996334</v>
      </c>
    </row>
    <row r="3972" spans="2:14" x14ac:dyDescent="0.25">
      <c r="B3972" t="s">
        <v>14</v>
      </c>
      <c r="C3972" s="1">
        <v>46084.999988425923</v>
      </c>
      <c r="D3972">
        <v>25.153956309963199</v>
      </c>
      <c r="E3972">
        <v>252461.458991894</v>
      </c>
      <c r="F3972" s="1">
        <v>46083.60628472222</v>
      </c>
      <c r="G3972">
        <v>52.876177550206201</v>
      </c>
      <c r="H3972" t="s">
        <v>34</v>
      </c>
      <c r="I3972" s="2"/>
      <c r="J3972" t="s">
        <v>16</v>
      </c>
      <c r="K3972">
        <v>564519.09623497899</v>
      </c>
      <c r="L3972" t="s">
        <v>17</v>
      </c>
      <c r="M3972">
        <v>0</v>
      </c>
      <c r="N3972">
        <v>0.447215090996334</v>
      </c>
    </row>
    <row r="3973" spans="2:14" x14ac:dyDescent="0.25">
      <c r="B3973" t="s">
        <v>14</v>
      </c>
      <c r="C3973" s="1">
        <v>46083.999988425923</v>
      </c>
      <c r="D3973">
        <v>25.153956309963199</v>
      </c>
      <c r="E3973">
        <v>252461.458991894</v>
      </c>
      <c r="F3973" s="1">
        <v>46083.60628472222</v>
      </c>
      <c r="G3973">
        <v>52.876177550206201</v>
      </c>
      <c r="H3973" t="s">
        <v>34</v>
      </c>
      <c r="I3973" s="2"/>
      <c r="J3973" t="s">
        <v>16</v>
      </c>
      <c r="K3973">
        <v>564519.09623497899</v>
      </c>
      <c r="L3973" t="s">
        <v>17</v>
      </c>
      <c r="M3973">
        <v>0</v>
      </c>
      <c r="N3973">
        <v>0.447215090996334</v>
      </c>
    </row>
    <row r="3974" spans="2:14" x14ac:dyDescent="0.25">
      <c r="B3974" t="s">
        <v>14</v>
      </c>
      <c r="C3974" s="1">
        <v>46082.999988425923</v>
      </c>
      <c r="D3974">
        <v>25.153956309963199</v>
      </c>
      <c r="E3974">
        <v>131831.72458117199</v>
      </c>
      <c r="F3974" s="1">
        <v>46080.099097222221</v>
      </c>
      <c r="G3974">
        <v>52.876177550206201</v>
      </c>
      <c r="H3974" t="s">
        <v>34</v>
      </c>
      <c r="I3974" s="2"/>
      <c r="J3974" t="s">
        <v>16</v>
      </c>
      <c r="K3974">
        <v>564519.09623497899</v>
      </c>
      <c r="L3974" t="s">
        <v>17</v>
      </c>
      <c r="M3974">
        <v>-120629.734410722</v>
      </c>
      <c r="N3974">
        <v>0.23352925607019201</v>
      </c>
    </row>
    <row r="3975" spans="2:14" x14ac:dyDescent="0.25">
      <c r="B3975" t="s">
        <v>14</v>
      </c>
      <c r="C3975" s="1">
        <v>46081.999988425923</v>
      </c>
      <c r="D3975">
        <v>25.153956309963199</v>
      </c>
      <c r="E3975">
        <v>131831.72458117199</v>
      </c>
      <c r="F3975" s="1">
        <v>46080.099097222221</v>
      </c>
      <c r="G3975">
        <v>52.876177550206201</v>
      </c>
      <c r="H3975" t="s">
        <v>34</v>
      </c>
      <c r="I3975" s="2"/>
      <c r="J3975" t="s">
        <v>16</v>
      </c>
      <c r="K3975">
        <v>564519.09623497899</v>
      </c>
      <c r="L3975" t="s">
        <v>17</v>
      </c>
      <c r="M3975">
        <v>0</v>
      </c>
      <c r="N3975">
        <v>0.23352925607019201</v>
      </c>
    </row>
    <row r="3976" spans="2:14" x14ac:dyDescent="0.25">
      <c r="B3976" t="s">
        <v>14</v>
      </c>
      <c r="C3976" s="1">
        <v>46080.999988425923</v>
      </c>
      <c r="D3976">
        <v>25.153956309963199</v>
      </c>
      <c r="E3976">
        <v>131831.72458117199</v>
      </c>
      <c r="F3976" s="1">
        <v>46080.099097222221</v>
      </c>
      <c r="G3976">
        <v>52.876177550206201</v>
      </c>
      <c r="H3976" t="s">
        <v>34</v>
      </c>
      <c r="I3976" s="2"/>
      <c r="J3976" t="s">
        <v>16</v>
      </c>
      <c r="K3976">
        <v>564519.09623497899</v>
      </c>
      <c r="L3976" t="s">
        <v>17</v>
      </c>
      <c r="M3976">
        <v>0</v>
      </c>
      <c r="N3976">
        <v>0.23352925607019201</v>
      </c>
    </row>
    <row r="3977" spans="2:14" x14ac:dyDescent="0.25">
      <c r="B3977" t="s">
        <v>14</v>
      </c>
      <c r="C3977" s="1">
        <v>46079.999988425923</v>
      </c>
      <c r="D3977">
        <v>25.153956309963199</v>
      </c>
      <c r="E3977">
        <v>434609.14180883602</v>
      </c>
      <c r="F3977" s="1">
        <v>46077.605474537035</v>
      </c>
      <c r="G3977">
        <v>52.876177550206201</v>
      </c>
      <c r="H3977" t="s">
        <v>34</v>
      </c>
      <c r="I3977" s="2"/>
      <c r="J3977" t="s">
        <v>16</v>
      </c>
      <c r="K3977">
        <v>564519.09623497899</v>
      </c>
      <c r="L3977" t="s">
        <v>17</v>
      </c>
      <c r="M3977">
        <v>302777.41722766397</v>
      </c>
      <c r="N3977">
        <v>0.76987500459671199</v>
      </c>
    </row>
    <row r="3978" spans="2:14" x14ac:dyDescent="0.25">
      <c r="B3978" t="s">
        <v>14</v>
      </c>
      <c r="C3978" s="1">
        <v>46078.999988425923</v>
      </c>
      <c r="D3978">
        <v>25.153956309963199</v>
      </c>
      <c r="E3978">
        <v>434609.14180883602</v>
      </c>
      <c r="F3978" s="1">
        <v>46077.605474537035</v>
      </c>
      <c r="G3978">
        <v>52.876177550206201</v>
      </c>
      <c r="H3978" t="s">
        <v>34</v>
      </c>
      <c r="I3978" s="2"/>
      <c r="J3978" t="s">
        <v>16</v>
      </c>
      <c r="K3978">
        <v>564519.09623497899</v>
      </c>
      <c r="L3978" t="s">
        <v>17</v>
      </c>
      <c r="M3978">
        <v>0</v>
      </c>
      <c r="N3978">
        <v>0.76987500459671199</v>
      </c>
    </row>
    <row r="3979" spans="2:14" x14ac:dyDescent="0.25">
      <c r="B3979" t="s">
        <v>14</v>
      </c>
      <c r="C3979" s="1">
        <v>46077.999988425923</v>
      </c>
      <c r="D3979">
        <v>25.153956309963199</v>
      </c>
      <c r="E3979">
        <v>434609.14180883602</v>
      </c>
      <c r="F3979" s="1">
        <v>46077.605474537035</v>
      </c>
      <c r="G3979">
        <v>52.876177550206201</v>
      </c>
      <c r="H3979" t="s">
        <v>34</v>
      </c>
      <c r="I3979" s="2"/>
      <c r="J3979" t="s">
        <v>16</v>
      </c>
      <c r="K3979">
        <v>564519.09623497899</v>
      </c>
      <c r="L3979" t="s">
        <v>17</v>
      </c>
      <c r="M3979">
        <v>0</v>
      </c>
      <c r="N3979">
        <v>0.76987500459671199</v>
      </c>
    </row>
    <row r="3980" spans="2:14" x14ac:dyDescent="0.25">
      <c r="B3980" t="s">
        <v>14</v>
      </c>
      <c r="C3980" s="1">
        <v>46076.999988425923</v>
      </c>
      <c r="D3980">
        <v>25.153956309963199</v>
      </c>
      <c r="E3980">
        <v>137323.615303509</v>
      </c>
      <c r="F3980" s="1">
        <v>46074.099803240744</v>
      </c>
      <c r="G3980">
        <v>52.876177550206201</v>
      </c>
      <c r="H3980" t="s">
        <v>34</v>
      </c>
      <c r="I3980" s="2"/>
      <c r="J3980" t="s">
        <v>16</v>
      </c>
      <c r="K3980">
        <v>564519.09623497899</v>
      </c>
      <c r="L3980" t="s">
        <v>17</v>
      </c>
      <c r="M3980">
        <v>-297285.52650532703</v>
      </c>
      <c r="N3980">
        <v>0.243257697072393</v>
      </c>
    </row>
    <row r="3981" spans="2:14" x14ac:dyDescent="0.25">
      <c r="B3981" t="s">
        <v>14</v>
      </c>
      <c r="C3981" s="1">
        <v>46075.999988425923</v>
      </c>
      <c r="D3981">
        <v>25.153956309963199</v>
      </c>
      <c r="E3981">
        <v>137323.615303509</v>
      </c>
      <c r="F3981" s="1">
        <v>46074.099803240744</v>
      </c>
      <c r="G3981">
        <v>52.876177550206201</v>
      </c>
      <c r="H3981" t="s">
        <v>34</v>
      </c>
      <c r="I3981" s="2"/>
      <c r="J3981" t="s">
        <v>16</v>
      </c>
      <c r="K3981">
        <v>564519.09623497899</v>
      </c>
      <c r="L3981" t="s">
        <v>17</v>
      </c>
      <c r="M3981">
        <v>0</v>
      </c>
      <c r="N3981">
        <v>0.243257697072393</v>
      </c>
    </row>
    <row r="3982" spans="2:14" x14ac:dyDescent="0.25">
      <c r="B3982" t="s">
        <v>14</v>
      </c>
      <c r="C3982" s="1">
        <v>46074.999988425923</v>
      </c>
      <c r="D3982">
        <v>25.153956309963199</v>
      </c>
      <c r="E3982">
        <v>137323.615303509</v>
      </c>
      <c r="F3982" s="1">
        <v>46074.099803240744</v>
      </c>
      <c r="G3982">
        <v>52.876177550206201</v>
      </c>
      <c r="H3982" t="s">
        <v>34</v>
      </c>
      <c r="I3982" s="2"/>
      <c r="J3982" t="s">
        <v>16</v>
      </c>
      <c r="K3982">
        <v>564519.09623497899</v>
      </c>
      <c r="L3982" t="s">
        <v>17</v>
      </c>
      <c r="M3982">
        <v>0</v>
      </c>
      <c r="N3982">
        <v>0.243257697072393</v>
      </c>
    </row>
    <row r="3983" spans="2:14" x14ac:dyDescent="0.25">
      <c r="B3983" t="s">
        <v>14</v>
      </c>
      <c r="C3983" s="1">
        <v>46073.999988425923</v>
      </c>
      <c r="D3983">
        <v>25.153956309963199</v>
      </c>
      <c r="E3983">
        <v>458918.49117556203</v>
      </c>
      <c r="F3983" s="1">
        <v>46071.606296296297</v>
      </c>
      <c r="G3983">
        <v>52.876177550206201</v>
      </c>
      <c r="H3983" t="s">
        <v>34</v>
      </c>
      <c r="I3983" s="2"/>
      <c r="J3983" t="s">
        <v>16</v>
      </c>
      <c r="K3983">
        <v>564519.09623497899</v>
      </c>
      <c r="L3983" t="s">
        <v>17</v>
      </c>
      <c r="M3983">
        <v>321594.87587205198</v>
      </c>
      <c r="N3983">
        <v>0.81293705427555496</v>
      </c>
    </row>
    <row r="3984" spans="2:14" x14ac:dyDescent="0.25">
      <c r="B3984" t="s">
        <v>14</v>
      </c>
      <c r="C3984" s="1">
        <v>46072.999988425923</v>
      </c>
      <c r="D3984">
        <v>25.153956309963199</v>
      </c>
      <c r="E3984">
        <v>458918.49117556203</v>
      </c>
      <c r="F3984" s="1">
        <v>46071.606296296297</v>
      </c>
      <c r="G3984">
        <v>52.876177550206201</v>
      </c>
      <c r="H3984" t="s">
        <v>34</v>
      </c>
      <c r="I3984" s="2"/>
      <c r="J3984" t="s">
        <v>16</v>
      </c>
      <c r="K3984">
        <v>564519.09623497899</v>
      </c>
      <c r="L3984" t="s">
        <v>17</v>
      </c>
      <c r="M3984">
        <v>0</v>
      </c>
      <c r="N3984">
        <v>0.81293705427555496</v>
      </c>
    </row>
    <row r="3985" spans="2:14" x14ac:dyDescent="0.25">
      <c r="B3985" t="s">
        <v>14</v>
      </c>
      <c r="C3985" s="1">
        <v>46071.999988425923</v>
      </c>
      <c r="D3985">
        <v>25.153956309963199</v>
      </c>
      <c r="E3985">
        <v>458918.49117556203</v>
      </c>
      <c r="F3985" s="1">
        <v>46071.606296296297</v>
      </c>
      <c r="G3985">
        <v>52.876177550206201</v>
      </c>
      <c r="H3985" t="s">
        <v>34</v>
      </c>
      <c r="I3985" s="2"/>
      <c r="J3985" t="s">
        <v>16</v>
      </c>
      <c r="K3985">
        <v>564519.09623497899</v>
      </c>
      <c r="L3985" t="s">
        <v>17</v>
      </c>
      <c r="M3985">
        <v>0</v>
      </c>
      <c r="N3985">
        <v>0.81293705427555496</v>
      </c>
    </row>
    <row r="3986" spans="2:14" x14ac:dyDescent="0.25">
      <c r="B3986" t="s">
        <v>14</v>
      </c>
      <c r="C3986" s="1">
        <v>46070.999988425923</v>
      </c>
      <c r="D3986">
        <v>25.153956309963199</v>
      </c>
      <c r="E3986">
        <v>564519.09623497899</v>
      </c>
      <c r="F3986" s="1">
        <v>46068.099097222221</v>
      </c>
      <c r="G3986">
        <v>52.876177550206201</v>
      </c>
      <c r="H3986" t="s">
        <v>34</v>
      </c>
      <c r="I3986" s="2"/>
      <c r="J3986" t="s">
        <v>16</v>
      </c>
      <c r="K3986">
        <v>564519.09623497899</v>
      </c>
      <c r="L3986" t="s">
        <v>17</v>
      </c>
      <c r="M3986">
        <v>105600.605059416</v>
      </c>
      <c r="N3986">
        <v>1</v>
      </c>
    </row>
    <row r="3987" spans="2:14" x14ac:dyDescent="0.25">
      <c r="B3987" t="s">
        <v>14</v>
      </c>
      <c r="C3987" s="1">
        <v>46069.999988425923</v>
      </c>
      <c r="D3987">
        <v>25.153956309963199</v>
      </c>
      <c r="E3987">
        <v>564519.09623497899</v>
      </c>
      <c r="F3987" s="1">
        <v>46068.099097222221</v>
      </c>
      <c r="G3987">
        <v>52.876177550206201</v>
      </c>
      <c r="H3987" t="s">
        <v>34</v>
      </c>
      <c r="I3987" s="2"/>
      <c r="J3987" t="s">
        <v>16</v>
      </c>
      <c r="K3987">
        <v>564519.09623497899</v>
      </c>
      <c r="L3987" t="s">
        <v>17</v>
      </c>
      <c r="M3987">
        <v>0</v>
      </c>
      <c r="N3987">
        <v>1</v>
      </c>
    </row>
    <row r="3988" spans="2:14" x14ac:dyDescent="0.25">
      <c r="B3988" t="s">
        <v>14</v>
      </c>
      <c r="C3988" s="1">
        <v>46068.999988425923</v>
      </c>
      <c r="D3988">
        <v>25.153956309963199</v>
      </c>
      <c r="E3988">
        <v>564519.09623497899</v>
      </c>
      <c r="F3988" s="1">
        <v>46068.099097222221</v>
      </c>
      <c r="G3988">
        <v>52.876177550206201</v>
      </c>
      <c r="H3988" t="s">
        <v>34</v>
      </c>
      <c r="I3988" s="2"/>
      <c r="J3988" t="s">
        <v>16</v>
      </c>
      <c r="K3988">
        <v>564519.09623497899</v>
      </c>
      <c r="L3988" t="s">
        <v>17</v>
      </c>
      <c r="M3988">
        <v>0</v>
      </c>
      <c r="N3988">
        <v>1</v>
      </c>
    </row>
    <row r="3989" spans="2:14" x14ac:dyDescent="0.25">
      <c r="B3989" t="s">
        <v>14</v>
      </c>
      <c r="C3989" s="1">
        <v>46067.999988425923</v>
      </c>
      <c r="D3989">
        <v>25.153956309963199</v>
      </c>
      <c r="E3989">
        <v>401445.31631656998</v>
      </c>
      <c r="F3989" s="1">
        <v>46065.605474537035</v>
      </c>
      <c r="G3989">
        <v>52.876177550206201</v>
      </c>
      <c r="H3989" t="s">
        <v>34</v>
      </c>
      <c r="I3989" s="2"/>
      <c r="J3989" t="s">
        <v>16</v>
      </c>
      <c r="K3989">
        <v>564519.09623497899</v>
      </c>
      <c r="L3989" t="s">
        <v>17</v>
      </c>
      <c r="M3989">
        <v>-163073.77991840799</v>
      </c>
      <c r="N3989">
        <v>0.71112796536730505</v>
      </c>
    </row>
    <row r="3990" spans="2:14" x14ac:dyDescent="0.25">
      <c r="B3990" t="s">
        <v>14</v>
      </c>
      <c r="C3990" s="1">
        <v>46066.999988425923</v>
      </c>
      <c r="D3990">
        <v>25.153956309963199</v>
      </c>
      <c r="E3990">
        <v>401445.31631656998</v>
      </c>
      <c r="F3990" s="1">
        <v>46065.605474537035</v>
      </c>
      <c r="G3990">
        <v>52.876177550206201</v>
      </c>
      <c r="H3990" t="s">
        <v>34</v>
      </c>
      <c r="I3990" s="2"/>
      <c r="J3990" t="s">
        <v>16</v>
      </c>
      <c r="K3990">
        <v>564519.09623497899</v>
      </c>
      <c r="L3990" t="s">
        <v>17</v>
      </c>
      <c r="M3990">
        <v>0</v>
      </c>
      <c r="N3990">
        <v>0.71112796536730505</v>
      </c>
    </row>
    <row r="3991" spans="2:14" x14ac:dyDescent="0.25">
      <c r="B3991" t="s">
        <v>14</v>
      </c>
      <c r="C3991" s="1">
        <v>46065.999988425923</v>
      </c>
      <c r="D3991">
        <v>25.153956309963199</v>
      </c>
      <c r="E3991">
        <v>401445.31631656998</v>
      </c>
      <c r="F3991" s="1">
        <v>46065.605474537035</v>
      </c>
      <c r="G3991">
        <v>52.876177550206201</v>
      </c>
      <c r="H3991" t="s">
        <v>34</v>
      </c>
      <c r="I3991" s="2"/>
      <c r="J3991" t="s">
        <v>16</v>
      </c>
      <c r="K3991">
        <v>564519.09623497899</v>
      </c>
      <c r="L3991" t="s">
        <v>17</v>
      </c>
      <c r="M3991">
        <v>0</v>
      </c>
      <c r="N3991">
        <v>0.71112796536730505</v>
      </c>
    </row>
    <row r="3992" spans="2:14" x14ac:dyDescent="0.25">
      <c r="B3992" t="s">
        <v>14</v>
      </c>
      <c r="C3992" s="1">
        <v>46064.999988425923</v>
      </c>
      <c r="D3992">
        <v>25.153956309963199</v>
      </c>
      <c r="E3992">
        <v>129414.071584169</v>
      </c>
      <c r="F3992" s="1">
        <v>46062.099814814814</v>
      </c>
      <c r="G3992">
        <v>52.876177550206201</v>
      </c>
      <c r="H3992" t="s">
        <v>34</v>
      </c>
      <c r="I3992" s="2"/>
      <c r="J3992" t="s">
        <v>16</v>
      </c>
      <c r="K3992">
        <v>564519.09623497899</v>
      </c>
      <c r="L3992" t="s">
        <v>17</v>
      </c>
      <c r="M3992">
        <v>-272031.24473240098</v>
      </c>
      <c r="N3992">
        <v>0.22924657898605599</v>
      </c>
    </row>
    <row r="3993" spans="2:14" x14ac:dyDescent="0.25">
      <c r="B3993" t="s">
        <v>14</v>
      </c>
      <c r="C3993" s="1">
        <v>46063.999988425923</v>
      </c>
      <c r="D3993">
        <v>25.153956309963199</v>
      </c>
      <c r="E3993">
        <v>129414.071584169</v>
      </c>
      <c r="F3993" s="1">
        <v>46062.099814814814</v>
      </c>
      <c r="G3993">
        <v>52.876177550206201</v>
      </c>
      <c r="H3993" t="s">
        <v>34</v>
      </c>
      <c r="I3993" s="2"/>
      <c r="J3993" t="s">
        <v>16</v>
      </c>
      <c r="K3993">
        <v>564519.09623497899</v>
      </c>
      <c r="L3993" t="s">
        <v>17</v>
      </c>
      <c r="M3993">
        <v>0</v>
      </c>
      <c r="N3993">
        <v>0.22924657898605599</v>
      </c>
    </row>
    <row r="3994" spans="2:14" x14ac:dyDescent="0.25">
      <c r="B3994" t="s">
        <v>14</v>
      </c>
      <c r="C3994" s="1">
        <v>46062.999988425923</v>
      </c>
      <c r="D3994">
        <v>25.153956309963199</v>
      </c>
      <c r="E3994">
        <v>129414.071584169</v>
      </c>
      <c r="F3994" s="1">
        <v>46062.099814814814</v>
      </c>
      <c r="G3994">
        <v>52.876177550206201</v>
      </c>
      <c r="H3994" t="s">
        <v>34</v>
      </c>
      <c r="I3994" s="2"/>
      <c r="J3994" t="s">
        <v>16</v>
      </c>
      <c r="K3994">
        <v>564519.09623497899</v>
      </c>
      <c r="L3994" t="s">
        <v>17</v>
      </c>
      <c r="M3994">
        <v>0</v>
      </c>
      <c r="N3994">
        <v>0.22924657898605599</v>
      </c>
    </row>
    <row r="3995" spans="2:14" x14ac:dyDescent="0.25">
      <c r="B3995" t="s">
        <v>14</v>
      </c>
      <c r="C3995" s="1">
        <v>46061.999988425923</v>
      </c>
      <c r="D3995">
        <v>25.153956309963199</v>
      </c>
      <c r="E3995">
        <v>97803.941115336696</v>
      </c>
      <c r="F3995" s="1">
        <v>46059.606296296297</v>
      </c>
      <c r="G3995">
        <v>52.876177550206201</v>
      </c>
      <c r="H3995" t="s">
        <v>34</v>
      </c>
      <c r="I3995" s="2"/>
      <c r="J3995" t="s">
        <v>16</v>
      </c>
      <c r="K3995">
        <v>564519.09623497899</v>
      </c>
      <c r="L3995" t="s">
        <v>17</v>
      </c>
      <c r="M3995">
        <v>-31610.1304688327</v>
      </c>
      <c r="N3995">
        <v>0.17325178504612701</v>
      </c>
    </row>
    <row r="3996" spans="2:14" x14ac:dyDescent="0.25">
      <c r="B3996" t="s">
        <v>14</v>
      </c>
      <c r="C3996" s="1">
        <v>46060.999988425923</v>
      </c>
      <c r="D3996">
        <v>25.153956309963199</v>
      </c>
      <c r="E3996">
        <v>97803.941115336696</v>
      </c>
      <c r="F3996" s="1">
        <v>46059.606296296297</v>
      </c>
      <c r="G3996">
        <v>52.876177550206201</v>
      </c>
      <c r="H3996" t="s">
        <v>34</v>
      </c>
      <c r="I3996" s="2"/>
      <c r="J3996" t="s">
        <v>16</v>
      </c>
      <c r="K3996">
        <v>564519.09623497899</v>
      </c>
      <c r="L3996" t="s">
        <v>17</v>
      </c>
      <c r="M3996">
        <v>0</v>
      </c>
      <c r="N3996">
        <v>0.17325178504612701</v>
      </c>
    </row>
    <row r="3997" spans="2:14" x14ac:dyDescent="0.25">
      <c r="B3997" t="s">
        <v>14</v>
      </c>
      <c r="C3997" s="1">
        <v>46059.999988425923</v>
      </c>
      <c r="D3997">
        <v>25.153956309963199</v>
      </c>
      <c r="E3997">
        <v>97803.941115336696</v>
      </c>
      <c r="F3997" s="1">
        <v>46059.606296296297</v>
      </c>
      <c r="G3997">
        <v>52.876177550206201</v>
      </c>
      <c r="H3997" t="s">
        <v>34</v>
      </c>
      <c r="I3997" s="2"/>
      <c r="J3997" t="s">
        <v>16</v>
      </c>
      <c r="K3997">
        <v>564519.09623497899</v>
      </c>
      <c r="L3997" t="s">
        <v>17</v>
      </c>
      <c r="M3997">
        <v>0</v>
      </c>
      <c r="N3997">
        <v>0.17325178504612701</v>
      </c>
    </row>
    <row r="3998" spans="2:14" x14ac:dyDescent="0.25">
      <c r="B3998" t="s">
        <v>14</v>
      </c>
      <c r="C3998" s="1">
        <v>46058.999988425923</v>
      </c>
      <c r="D3998">
        <v>25.153956309963199</v>
      </c>
      <c r="E3998">
        <v>131351.35160768699</v>
      </c>
      <c r="F3998" s="1">
        <v>46056.099097222221</v>
      </c>
      <c r="G3998">
        <v>52.876177550206201</v>
      </c>
      <c r="H3998" t="s">
        <v>34</v>
      </c>
      <c r="I3998" s="2"/>
      <c r="J3998" t="s">
        <v>16</v>
      </c>
      <c r="K3998">
        <v>564519.09623497899</v>
      </c>
      <c r="L3998" t="s">
        <v>17</v>
      </c>
      <c r="M3998">
        <v>33547.410492350602</v>
      </c>
      <c r="N3998">
        <v>0.23267831413272999</v>
      </c>
    </row>
    <row r="3999" spans="2:14" x14ac:dyDescent="0.25">
      <c r="B3999" t="s">
        <v>14</v>
      </c>
      <c r="C3999" s="1">
        <v>46057.999988425923</v>
      </c>
      <c r="D3999">
        <v>25.153956309963199</v>
      </c>
      <c r="E3999">
        <v>131351.35160768699</v>
      </c>
      <c r="F3999" s="1">
        <v>46056.099097222221</v>
      </c>
      <c r="G3999">
        <v>52.876177550206201</v>
      </c>
      <c r="H3999" t="s">
        <v>34</v>
      </c>
      <c r="I3999" s="2"/>
      <c r="J3999" t="s">
        <v>16</v>
      </c>
      <c r="K3999">
        <v>564519.09623497899</v>
      </c>
      <c r="L3999" t="s">
        <v>17</v>
      </c>
      <c r="M3999">
        <v>0</v>
      </c>
      <c r="N3999">
        <v>0.23267831413272999</v>
      </c>
    </row>
    <row r="4000" spans="2:14" x14ac:dyDescent="0.25">
      <c r="B4000" t="s">
        <v>14</v>
      </c>
      <c r="C4000" s="1">
        <v>46056.999988425923</v>
      </c>
      <c r="D4000">
        <v>25.153956309963199</v>
      </c>
      <c r="E4000">
        <v>131351.35160768699</v>
      </c>
      <c r="F4000" s="1">
        <v>46056.099097222221</v>
      </c>
      <c r="G4000">
        <v>52.876177550206201</v>
      </c>
      <c r="H4000" t="s">
        <v>34</v>
      </c>
      <c r="I4000" s="2"/>
      <c r="J4000" t="s">
        <v>16</v>
      </c>
      <c r="K4000">
        <v>564519.09623497899</v>
      </c>
      <c r="L4000" t="s">
        <v>17</v>
      </c>
      <c r="M4000">
        <v>0</v>
      </c>
      <c r="N4000">
        <v>0.23267831413272999</v>
      </c>
    </row>
    <row r="4001" spans="2:14" x14ac:dyDescent="0.25">
      <c r="B4001" t="s">
        <v>14</v>
      </c>
      <c r="C4001" s="1">
        <v>46055.999988425923</v>
      </c>
      <c r="D4001">
        <v>25.153956309963199</v>
      </c>
      <c r="E4001">
        <v>457121.31942104897</v>
      </c>
      <c r="F4001" s="1">
        <v>46053.605474537035</v>
      </c>
      <c r="G4001">
        <v>52.876177550206201</v>
      </c>
      <c r="H4001" t="s">
        <v>34</v>
      </c>
      <c r="I4001" s="2"/>
      <c r="J4001" t="s">
        <v>16</v>
      </c>
      <c r="K4001">
        <v>564519.09623497899</v>
      </c>
      <c r="L4001" t="s">
        <v>17</v>
      </c>
      <c r="M4001">
        <v>325769.96781336202</v>
      </c>
      <c r="N4001">
        <v>0.80975350961515402</v>
      </c>
    </row>
    <row r="4002" spans="2:14" x14ac:dyDescent="0.25">
      <c r="B4002" t="s">
        <v>14</v>
      </c>
      <c r="C4002" s="1">
        <v>46054.999988425923</v>
      </c>
      <c r="D4002">
        <v>25.153956309963199</v>
      </c>
      <c r="E4002">
        <v>457121.31942104897</v>
      </c>
      <c r="F4002" s="1">
        <v>46053.605474537035</v>
      </c>
      <c r="G4002">
        <v>52.876177550206201</v>
      </c>
      <c r="H4002" t="s">
        <v>34</v>
      </c>
      <c r="I4002" s="2"/>
      <c r="J4002" t="s">
        <v>16</v>
      </c>
      <c r="K4002">
        <v>564519.09623497899</v>
      </c>
      <c r="L4002" t="s">
        <v>17</v>
      </c>
      <c r="M4002">
        <v>0</v>
      </c>
      <c r="N4002">
        <v>0.80975350961515402</v>
      </c>
    </row>
    <row r="4003" spans="2:14" x14ac:dyDescent="0.25">
      <c r="B4003" t="s">
        <v>14</v>
      </c>
      <c r="C4003" s="1">
        <v>46053.999988425923</v>
      </c>
      <c r="D4003">
        <v>25.153956309963199</v>
      </c>
      <c r="E4003">
        <v>457121.31942104897</v>
      </c>
      <c r="F4003" s="1">
        <v>46053.605474537035</v>
      </c>
      <c r="G4003">
        <v>52.876177550206201</v>
      </c>
      <c r="H4003" t="s">
        <v>34</v>
      </c>
      <c r="I4003" s="2"/>
      <c r="J4003" t="s">
        <v>16</v>
      </c>
      <c r="K4003">
        <v>564519.09623497899</v>
      </c>
      <c r="L4003" t="s">
        <v>17</v>
      </c>
      <c r="M4003">
        <v>0</v>
      </c>
      <c r="N4003">
        <v>0.80975350961515402</v>
      </c>
    </row>
    <row r="4004" spans="2:14" x14ac:dyDescent="0.25">
      <c r="B4004" t="s">
        <v>14</v>
      </c>
      <c r="C4004" s="1">
        <v>46052.999988425923</v>
      </c>
      <c r="D4004">
        <v>25.153956309963199</v>
      </c>
      <c r="E4004">
        <v>482270.105516929</v>
      </c>
      <c r="F4004" s="1">
        <v>46050.099814814814</v>
      </c>
      <c r="G4004">
        <v>52.876177550206201</v>
      </c>
      <c r="H4004" t="s">
        <v>34</v>
      </c>
      <c r="I4004" s="2"/>
      <c r="J4004" t="s">
        <v>16</v>
      </c>
      <c r="K4004">
        <v>564519.09623497899</v>
      </c>
      <c r="L4004" t="s">
        <v>17</v>
      </c>
      <c r="M4004">
        <v>25148.786095880001</v>
      </c>
      <c r="N4004">
        <v>0.85430255368400498</v>
      </c>
    </row>
    <row r="4005" spans="2:14" x14ac:dyDescent="0.25">
      <c r="B4005" t="s">
        <v>14</v>
      </c>
      <c r="C4005" s="1">
        <v>46051.999988425923</v>
      </c>
      <c r="D4005">
        <v>25.153956309963199</v>
      </c>
      <c r="E4005">
        <v>482270.105516929</v>
      </c>
      <c r="F4005" s="1">
        <v>46050.099814814814</v>
      </c>
      <c r="G4005">
        <v>52.876177550206201</v>
      </c>
      <c r="H4005" t="s">
        <v>34</v>
      </c>
      <c r="I4005" s="2"/>
      <c r="J4005" t="s">
        <v>16</v>
      </c>
      <c r="K4005">
        <v>564519.09623497899</v>
      </c>
      <c r="L4005" t="s">
        <v>17</v>
      </c>
      <c r="M4005">
        <v>0</v>
      </c>
      <c r="N4005">
        <v>0.85430255368400498</v>
      </c>
    </row>
    <row r="4006" spans="2:14" x14ac:dyDescent="0.25">
      <c r="B4006" t="s">
        <v>14</v>
      </c>
      <c r="C4006" s="1">
        <v>46050.999988425923</v>
      </c>
      <c r="D4006">
        <v>25.153956309963199</v>
      </c>
      <c r="E4006">
        <v>482270.105516929</v>
      </c>
      <c r="F4006" s="1">
        <v>46050.099814814814</v>
      </c>
      <c r="G4006">
        <v>52.876177550206201</v>
      </c>
      <c r="H4006" t="s">
        <v>34</v>
      </c>
      <c r="I4006" s="2"/>
      <c r="J4006" t="s">
        <v>16</v>
      </c>
      <c r="K4006">
        <v>564519.09623497899</v>
      </c>
      <c r="L4006" t="s">
        <v>17</v>
      </c>
      <c r="M4006">
        <v>0</v>
      </c>
      <c r="N4006">
        <v>0.85430255368400498</v>
      </c>
    </row>
    <row r="4007" spans="2:14" x14ac:dyDescent="0.25">
      <c r="B4007" t="s">
        <v>14</v>
      </c>
      <c r="C4007" s="1">
        <v>46049.999988425923</v>
      </c>
      <c r="D4007">
        <v>25.153956309963199</v>
      </c>
      <c r="E4007">
        <v>103718.886908165</v>
      </c>
      <c r="F4007" s="1">
        <v>46047.606307870374</v>
      </c>
      <c r="G4007">
        <v>52.876177550206201</v>
      </c>
      <c r="H4007" t="s">
        <v>34</v>
      </c>
      <c r="I4007" s="2"/>
      <c r="J4007" t="s">
        <v>16</v>
      </c>
      <c r="K4007">
        <v>564519.09623497899</v>
      </c>
      <c r="L4007" t="s">
        <v>17</v>
      </c>
      <c r="M4007">
        <v>-378551.21860876301</v>
      </c>
      <c r="N4007">
        <v>0.18372963394845501</v>
      </c>
    </row>
    <row r="4008" spans="2:14" x14ac:dyDescent="0.25">
      <c r="B4008" t="s">
        <v>14</v>
      </c>
      <c r="C4008" s="1">
        <v>46048.999988425923</v>
      </c>
      <c r="D4008">
        <v>25.153956309963199</v>
      </c>
      <c r="E4008">
        <v>103718.886908165</v>
      </c>
      <c r="F4008" s="1">
        <v>46047.606307870374</v>
      </c>
      <c r="G4008">
        <v>52.876177550206201</v>
      </c>
      <c r="H4008" t="s">
        <v>34</v>
      </c>
      <c r="I4008" s="2"/>
      <c r="J4008" t="s">
        <v>16</v>
      </c>
      <c r="K4008">
        <v>564519.09623497899</v>
      </c>
      <c r="L4008" t="s">
        <v>17</v>
      </c>
      <c r="M4008">
        <v>0</v>
      </c>
      <c r="N4008">
        <v>0.18372963394845501</v>
      </c>
    </row>
    <row r="4009" spans="2:14" x14ac:dyDescent="0.25">
      <c r="B4009" t="s">
        <v>14</v>
      </c>
      <c r="C4009" s="1">
        <v>46047.999988425923</v>
      </c>
      <c r="D4009">
        <v>25.153956309963199</v>
      </c>
      <c r="E4009">
        <v>103718.886908165</v>
      </c>
      <c r="F4009" s="1">
        <v>46047.606307870374</v>
      </c>
      <c r="G4009">
        <v>52.876177550206201</v>
      </c>
      <c r="H4009" t="s">
        <v>34</v>
      </c>
      <c r="I4009" s="2"/>
      <c r="J4009" t="s">
        <v>16</v>
      </c>
      <c r="K4009">
        <v>564519.09623497899</v>
      </c>
      <c r="L4009" t="s">
        <v>17</v>
      </c>
      <c r="M4009">
        <v>0</v>
      </c>
      <c r="N4009">
        <v>0.18372963394845501</v>
      </c>
    </row>
    <row r="4010" spans="2:14" x14ac:dyDescent="0.25">
      <c r="B4010" t="s">
        <v>14</v>
      </c>
      <c r="C4010" s="1">
        <v>46046.999988425923</v>
      </c>
      <c r="D4010">
        <v>25.153956309963199</v>
      </c>
      <c r="E4010">
        <v>101674.490219988</v>
      </c>
      <c r="F4010" s="1">
        <v>46041.605486111112</v>
      </c>
      <c r="G4010">
        <v>52.876177550206201</v>
      </c>
      <c r="H4010" t="s">
        <v>34</v>
      </c>
      <c r="I4010" s="2"/>
      <c r="J4010" t="s">
        <v>16</v>
      </c>
      <c r="K4010">
        <v>564519.09623497899</v>
      </c>
      <c r="L4010" t="s">
        <v>17</v>
      </c>
      <c r="M4010">
        <v>-2044.39668817695</v>
      </c>
      <c r="N4010">
        <v>0.18010815027888299</v>
      </c>
    </row>
    <row r="4011" spans="2:14" x14ac:dyDescent="0.25">
      <c r="B4011" t="s">
        <v>14</v>
      </c>
      <c r="C4011" s="1">
        <v>46045.999988425923</v>
      </c>
      <c r="D4011">
        <v>25.153956309963199</v>
      </c>
      <c r="E4011">
        <v>101674.490219988</v>
      </c>
      <c r="F4011" s="1">
        <v>46041.605486111112</v>
      </c>
      <c r="G4011">
        <v>52.876177550206201</v>
      </c>
      <c r="H4011" t="s">
        <v>34</v>
      </c>
      <c r="I4011" s="2"/>
      <c r="J4011" t="s">
        <v>16</v>
      </c>
      <c r="K4011">
        <v>564519.09623497899</v>
      </c>
      <c r="L4011" t="s">
        <v>17</v>
      </c>
      <c r="M4011">
        <v>0</v>
      </c>
      <c r="N4011">
        <v>0.18010815027888299</v>
      </c>
    </row>
    <row r="4012" spans="2:14" x14ac:dyDescent="0.25">
      <c r="B4012" t="s">
        <v>14</v>
      </c>
      <c r="C4012" s="1">
        <v>46044.999988425923</v>
      </c>
      <c r="D4012">
        <v>25.153956309963199</v>
      </c>
      <c r="E4012">
        <v>101674.490219988</v>
      </c>
      <c r="F4012" s="1">
        <v>46041.605486111112</v>
      </c>
      <c r="G4012">
        <v>52.876177550206201</v>
      </c>
      <c r="H4012" t="s">
        <v>34</v>
      </c>
      <c r="I4012" s="2"/>
      <c r="J4012" t="s">
        <v>16</v>
      </c>
      <c r="K4012">
        <v>564519.09623497899</v>
      </c>
      <c r="L4012" t="s">
        <v>17</v>
      </c>
      <c r="M4012">
        <v>0</v>
      </c>
      <c r="N4012">
        <v>0.18010815027888299</v>
      </c>
    </row>
    <row r="4013" spans="2:14" x14ac:dyDescent="0.25">
      <c r="B4013" t="s">
        <v>14</v>
      </c>
      <c r="C4013" s="1">
        <v>46043.999988425923</v>
      </c>
      <c r="D4013">
        <v>25.153956309963199</v>
      </c>
      <c r="E4013">
        <v>101674.490219988</v>
      </c>
      <c r="F4013" s="1">
        <v>46041.605486111112</v>
      </c>
      <c r="G4013">
        <v>52.876177550206201</v>
      </c>
      <c r="H4013" t="s">
        <v>34</v>
      </c>
      <c r="I4013" s="2"/>
      <c r="J4013" t="s">
        <v>16</v>
      </c>
      <c r="K4013">
        <v>564519.09623497899</v>
      </c>
      <c r="L4013" t="s">
        <v>17</v>
      </c>
      <c r="M4013">
        <v>0</v>
      </c>
      <c r="N4013">
        <v>0.18010815027888299</v>
      </c>
    </row>
    <row r="4014" spans="2:14" x14ac:dyDescent="0.25">
      <c r="B4014" t="s">
        <v>14</v>
      </c>
      <c r="C4014" s="1">
        <v>46042.999988425923</v>
      </c>
      <c r="D4014">
        <v>25.153956309963199</v>
      </c>
      <c r="E4014">
        <v>101674.490219988</v>
      </c>
      <c r="F4014" s="1">
        <v>46041.605486111112</v>
      </c>
      <c r="G4014">
        <v>52.876177550206201</v>
      </c>
      <c r="H4014" t="s">
        <v>34</v>
      </c>
      <c r="I4014" s="2"/>
      <c r="J4014" t="s">
        <v>16</v>
      </c>
      <c r="K4014">
        <v>564519.09623497899</v>
      </c>
      <c r="L4014" t="s">
        <v>17</v>
      </c>
      <c r="M4014">
        <v>0</v>
      </c>
      <c r="N4014">
        <v>0.18010815027888299</v>
      </c>
    </row>
    <row r="4015" spans="2:14" x14ac:dyDescent="0.25">
      <c r="B4015" t="s">
        <v>14</v>
      </c>
      <c r="C4015" s="1">
        <v>46041.999988425923</v>
      </c>
      <c r="D4015">
        <v>25.153956309963199</v>
      </c>
      <c r="E4015">
        <v>101674.490219988</v>
      </c>
      <c r="F4015" s="1">
        <v>46041.605486111112</v>
      </c>
      <c r="G4015">
        <v>52.876177550206201</v>
      </c>
      <c r="H4015" t="s">
        <v>34</v>
      </c>
      <c r="I4015" s="2"/>
      <c r="J4015" t="s">
        <v>16</v>
      </c>
      <c r="K4015">
        <v>564519.09623497899</v>
      </c>
      <c r="L4015" t="s">
        <v>17</v>
      </c>
      <c r="M4015">
        <v>0</v>
      </c>
      <c r="N4015">
        <v>0.18010815027888299</v>
      </c>
    </row>
    <row r="4016" spans="2:14" x14ac:dyDescent="0.25">
      <c r="B4016" t="s">
        <v>14</v>
      </c>
      <c r="C4016" s="1">
        <v>46040.999988425923</v>
      </c>
      <c r="D4016">
        <v>25.153956309963199</v>
      </c>
      <c r="E4016">
        <v>130050.327157245</v>
      </c>
      <c r="F4016" s="1">
        <v>46038.099826388891</v>
      </c>
      <c r="G4016">
        <v>52.876177550206201</v>
      </c>
      <c r="H4016" t="s">
        <v>34</v>
      </c>
      <c r="I4016" s="2"/>
      <c r="J4016" t="s">
        <v>16</v>
      </c>
      <c r="K4016">
        <v>564519.09623497899</v>
      </c>
      <c r="L4016" t="s">
        <v>17</v>
      </c>
      <c r="M4016">
        <v>28375.836937256201</v>
      </c>
      <c r="N4016">
        <v>0.23037365436281301</v>
      </c>
    </row>
    <row r="4017" spans="2:14" x14ac:dyDescent="0.25">
      <c r="B4017" t="s">
        <v>14</v>
      </c>
      <c r="C4017" s="1">
        <v>46039.999988425923</v>
      </c>
      <c r="D4017">
        <v>25.153956309963199</v>
      </c>
      <c r="E4017">
        <v>130050.327157245</v>
      </c>
      <c r="F4017" s="1">
        <v>46038.099826388891</v>
      </c>
      <c r="G4017">
        <v>52.876177550206201</v>
      </c>
      <c r="H4017" t="s">
        <v>34</v>
      </c>
      <c r="J4017" t="s">
        <v>16</v>
      </c>
      <c r="K4017">
        <v>564519.09623497899</v>
      </c>
      <c r="L4017" t="s">
        <v>17</v>
      </c>
      <c r="M4017">
        <v>0</v>
      </c>
      <c r="N4017">
        <v>0.23037365436281301</v>
      </c>
    </row>
    <row r="4018" spans="2:14" x14ac:dyDescent="0.25">
      <c r="B4018" t="s">
        <v>14</v>
      </c>
      <c r="C4018" s="1">
        <v>46038.999988425923</v>
      </c>
      <c r="D4018">
        <v>25.153956309963199</v>
      </c>
      <c r="E4018">
        <v>130050.327157245</v>
      </c>
      <c r="F4018" s="1">
        <v>46038.099826388891</v>
      </c>
      <c r="G4018">
        <v>52.876177550206201</v>
      </c>
      <c r="H4018" t="s">
        <v>34</v>
      </c>
      <c r="J4018" t="s">
        <v>16</v>
      </c>
      <c r="K4018">
        <v>564519.09623497899</v>
      </c>
      <c r="L4018" t="s">
        <v>17</v>
      </c>
      <c r="M4018">
        <v>0</v>
      </c>
      <c r="N4018">
        <v>0.23037365436281301</v>
      </c>
    </row>
    <row r="4019" spans="2:14" x14ac:dyDescent="0.25">
      <c r="B4019" t="s">
        <v>14</v>
      </c>
      <c r="C4019" s="1">
        <v>46037.999988425923</v>
      </c>
      <c r="D4019">
        <v>25.153956309963199</v>
      </c>
      <c r="E4019">
        <v>102908.014402787</v>
      </c>
      <c r="F4019" s="1">
        <v>46035.606319444443</v>
      </c>
      <c r="G4019">
        <v>52.876177550206201</v>
      </c>
      <c r="H4019" t="s">
        <v>34</v>
      </c>
      <c r="J4019" t="s">
        <v>16</v>
      </c>
      <c r="K4019">
        <v>564519.09623497899</v>
      </c>
      <c r="L4019" t="s">
        <v>17</v>
      </c>
      <c r="M4019">
        <v>-27142.3127544581</v>
      </c>
      <c r="N4019">
        <v>0.18229323877460399</v>
      </c>
    </row>
    <row r="4020" spans="2:14" x14ac:dyDescent="0.25">
      <c r="B4020" t="s">
        <v>14</v>
      </c>
      <c r="C4020" s="1">
        <v>46036.999988425923</v>
      </c>
      <c r="D4020">
        <v>25.153956309963199</v>
      </c>
      <c r="E4020">
        <v>102908.014402787</v>
      </c>
      <c r="F4020" s="1">
        <v>46035.606319444443</v>
      </c>
      <c r="G4020">
        <v>52.876177550206201</v>
      </c>
      <c r="H4020" t="s">
        <v>34</v>
      </c>
      <c r="J4020" t="s">
        <v>16</v>
      </c>
      <c r="K4020">
        <v>564519.09623497899</v>
      </c>
      <c r="L4020" t="s">
        <v>17</v>
      </c>
      <c r="M4020">
        <v>0</v>
      </c>
      <c r="N4020">
        <v>0.18229323877460399</v>
      </c>
    </row>
    <row r="4021" spans="2:14" x14ac:dyDescent="0.25">
      <c r="B4021" t="s">
        <v>14</v>
      </c>
      <c r="C4021" s="1">
        <v>46035.999988425923</v>
      </c>
      <c r="D4021">
        <v>25.153956309963199</v>
      </c>
      <c r="E4021">
        <v>102908.014402787</v>
      </c>
      <c r="F4021" s="1">
        <v>46035.606319444443</v>
      </c>
      <c r="G4021">
        <v>52.876177550206201</v>
      </c>
      <c r="H4021" t="s">
        <v>34</v>
      </c>
      <c r="J4021" t="s">
        <v>16</v>
      </c>
      <c r="K4021">
        <v>564519.09623497899</v>
      </c>
      <c r="L4021" t="s">
        <v>17</v>
      </c>
      <c r="M4021">
        <v>0</v>
      </c>
      <c r="N4021">
        <v>0.18229323877460399</v>
      </c>
    </row>
    <row r="4022" spans="2:14" x14ac:dyDescent="0.25">
      <c r="B4022" t="s">
        <v>14</v>
      </c>
      <c r="C4022" s="1">
        <v>46034.999988425923</v>
      </c>
      <c r="D4022">
        <v>25.153956309963199</v>
      </c>
      <c r="E4022">
        <v>484922.12544223299</v>
      </c>
      <c r="F4022" s="1">
        <v>46032.099108796298</v>
      </c>
      <c r="G4022">
        <v>52.876177550206201</v>
      </c>
      <c r="H4022" t="s">
        <v>34</v>
      </c>
      <c r="J4022" t="s">
        <v>16</v>
      </c>
      <c r="K4022">
        <v>564519.09623497899</v>
      </c>
      <c r="L4022" t="s">
        <v>17</v>
      </c>
      <c r="M4022">
        <v>382014.11103944603</v>
      </c>
      <c r="N4022">
        <v>0.85900039285896201</v>
      </c>
    </row>
    <row r="4023" spans="2:14" x14ac:dyDescent="0.25">
      <c r="B4023" t="s">
        <v>14</v>
      </c>
      <c r="C4023" s="1">
        <v>46033.999988425923</v>
      </c>
      <c r="D4023">
        <v>25.153956309963199</v>
      </c>
      <c r="E4023">
        <v>484922.12544223299</v>
      </c>
      <c r="F4023" s="1">
        <v>46032.099108796298</v>
      </c>
      <c r="G4023">
        <v>52.876177550206201</v>
      </c>
      <c r="H4023" t="s">
        <v>34</v>
      </c>
      <c r="J4023" t="s">
        <v>16</v>
      </c>
      <c r="K4023">
        <v>564519.09623497899</v>
      </c>
      <c r="L4023" t="s">
        <v>17</v>
      </c>
      <c r="M4023">
        <v>0</v>
      </c>
      <c r="N4023">
        <v>0.85900039285896201</v>
      </c>
    </row>
    <row r="4024" spans="2:14" x14ac:dyDescent="0.25">
      <c r="B4024" t="s">
        <v>14</v>
      </c>
      <c r="C4024" s="1">
        <v>46032.999988425923</v>
      </c>
      <c r="D4024">
        <v>25.153956309963199</v>
      </c>
      <c r="E4024">
        <v>484922.12544223299</v>
      </c>
      <c r="F4024" s="1">
        <v>46032.099108796298</v>
      </c>
      <c r="G4024">
        <v>52.876177550206201</v>
      </c>
      <c r="H4024" t="s">
        <v>34</v>
      </c>
      <c r="J4024" t="s">
        <v>16</v>
      </c>
      <c r="K4024">
        <v>564519.09623497899</v>
      </c>
      <c r="L4024" t="s">
        <v>17</v>
      </c>
      <c r="M4024">
        <v>0</v>
      </c>
      <c r="N4024">
        <v>0.85900039285896201</v>
      </c>
    </row>
    <row r="4025" spans="2:14" x14ac:dyDescent="0.25">
      <c r="B4025" t="s">
        <v>14</v>
      </c>
      <c r="C4025" s="1">
        <v>46031.999988425923</v>
      </c>
      <c r="D4025">
        <v>25.153956309963199</v>
      </c>
      <c r="E4025">
        <v>214528.83712412801</v>
      </c>
      <c r="F4025" s="1">
        <v>46029.605486111112</v>
      </c>
      <c r="G4025">
        <v>52.876177550206201</v>
      </c>
      <c r="H4025" t="s">
        <v>34</v>
      </c>
      <c r="J4025" t="s">
        <v>16</v>
      </c>
      <c r="K4025">
        <v>564519.09623497899</v>
      </c>
      <c r="L4025" t="s">
        <v>17</v>
      </c>
      <c r="M4025">
        <v>-270393.28831810498</v>
      </c>
      <c r="N4025">
        <v>0.380020514017883</v>
      </c>
    </row>
    <row r="4026" spans="2:14" x14ac:dyDescent="0.25">
      <c r="B4026" t="s">
        <v>14</v>
      </c>
      <c r="C4026" s="1">
        <v>46030.999988425923</v>
      </c>
      <c r="D4026">
        <v>25.153956309963199</v>
      </c>
      <c r="E4026">
        <v>214528.83712412801</v>
      </c>
      <c r="F4026" s="1">
        <v>46029.605486111112</v>
      </c>
      <c r="G4026">
        <v>52.876177550206201</v>
      </c>
      <c r="H4026" t="s">
        <v>34</v>
      </c>
      <c r="J4026" t="s">
        <v>16</v>
      </c>
      <c r="K4026">
        <v>564519.09623497899</v>
      </c>
      <c r="L4026" t="s">
        <v>17</v>
      </c>
      <c r="M4026">
        <v>0</v>
      </c>
      <c r="N4026">
        <v>0.380020514017883</v>
      </c>
    </row>
    <row r="4027" spans="2:14" x14ac:dyDescent="0.25">
      <c r="B4027" t="s">
        <v>14</v>
      </c>
      <c r="C4027" s="1">
        <v>46029.999988425923</v>
      </c>
      <c r="D4027">
        <v>25.153956309963199</v>
      </c>
      <c r="E4027">
        <v>214528.83712412801</v>
      </c>
      <c r="F4027" s="1">
        <v>46029.605486111112</v>
      </c>
      <c r="G4027">
        <v>52.876177550206201</v>
      </c>
      <c r="H4027" t="s">
        <v>34</v>
      </c>
      <c r="J4027" t="s">
        <v>16</v>
      </c>
      <c r="K4027">
        <v>564519.09623497899</v>
      </c>
      <c r="L4027" t="s">
        <v>17</v>
      </c>
      <c r="M4027">
        <v>0</v>
      </c>
      <c r="N4027">
        <v>0.380020514017883</v>
      </c>
    </row>
    <row r="4028" spans="2:14" x14ac:dyDescent="0.25">
      <c r="B4028" t="s">
        <v>14</v>
      </c>
      <c r="C4028" s="1">
        <v>46028.999988425923</v>
      </c>
      <c r="D4028">
        <v>25.153956309963199</v>
      </c>
      <c r="E4028">
        <v>448824.93623333197</v>
      </c>
      <c r="F4028" s="1">
        <v>46026.09983796296</v>
      </c>
      <c r="G4028">
        <v>52.876177550206201</v>
      </c>
      <c r="H4028" t="s">
        <v>34</v>
      </c>
      <c r="J4028" t="s">
        <v>16</v>
      </c>
      <c r="K4028">
        <v>564519.09623497899</v>
      </c>
      <c r="L4028" t="s">
        <v>17</v>
      </c>
      <c r="M4028">
        <v>234296.09910920399</v>
      </c>
      <c r="N4028">
        <v>0.79505713664380695</v>
      </c>
    </row>
    <row r="4029" spans="2:14" x14ac:dyDescent="0.25">
      <c r="B4029" t="s">
        <v>14</v>
      </c>
      <c r="C4029" s="1">
        <v>46027.999988425923</v>
      </c>
      <c r="D4029">
        <v>25.153956309963199</v>
      </c>
      <c r="E4029">
        <v>448824.93623333197</v>
      </c>
      <c r="F4029" s="1">
        <v>46026.09983796296</v>
      </c>
      <c r="G4029">
        <v>52.876177550206201</v>
      </c>
      <c r="H4029" t="s">
        <v>34</v>
      </c>
      <c r="J4029" t="s">
        <v>16</v>
      </c>
      <c r="K4029">
        <v>564519.09623497899</v>
      </c>
      <c r="L4029" t="s">
        <v>17</v>
      </c>
      <c r="M4029">
        <v>0</v>
      </c>
      <c r="N4029">
        <v>0.79505713664380695</v>
      </c>
    </row>
    <row r="4030" spans="2:14" x14ac:dyDescent="0.25">
      <c r="B4030" t="s">
        <v>14</v>
      </c>
      <c r="C4030" s="1">
        <v>46026.999988425923</v>
      </c>
      <c r="D4030">
        <v>25.153956309963199</v>
      </c>
      <c r="E4030">
        <v>448824.93623333197</v>
      </c>
      <c r="F4030" s="1">
        <v>46026.09983796296</v>
      </c>
      <c r="G4030">
        <v>52.876177550206201</v>
      </c>
      <c r="H4030" t="s">
        <v>34</v>
      </c>
      <c r="J4030" t="s">
        <v>16</v>
      </c>
      <c r="K4030">
        <v>564519.09623497899</v>
      </c>
      <c r="L4030" t="s">
        <v>17</v>
      </c>
      <c r="M4030">
        <v>0</v>
      </c>
      <c r="N4030">
        <v>0.79505713664380695</v>
      </c>
    </row>
    <row r="4031" spans="2:14" x14ac:dyDescent="0.25">
      <c r="B4031" t="s">
        <v>14</v>
      </c>
      <c r="C4031" s="1">
        <v>46025.999988425923</v>
      </c>
      <c r="D4031">
        <v>25.153956309963199</v>
      </c>
      <c r="E4031">
        <v>99565.287213201605</v>
      </c>
      <c r="F4031" s="1">
        <v>46023.60633101852</v>
      </c>
      <c r="G4031">
        <v>52.876177550206201</v>
      </c>
      <c r="H4031" t="s">
        <v>34</v>
      </c>
      <c r="J4031" t="s">
        <v>16</v>
      </c>
      <c r="K4031">
        <v>564519.09623497899</v>
      </c>
      <c r="L4031" t="s">
        <v>17</v>
      </c>
      <c r="M4031">
        <v>-349259.64902012999</v>
      </c>
      <c r="N4031">
        <v>0.17637186744832001</v>
      </c>
    </row>
    <row r="4032" spans="2:14" x14ac:dyDescent="0.25">
      <c r="B4032" t="s">
        <v>14</v>
      </c>
      <c r="C4032" s="1">
        <v>46024.999988425923</v>
      </c>
      <c r="D4032">
        <v>25.153956309963199</v>
      </c>
      <c r="E4032">
        <v>99565.287213201605</v>
      </c>
      <c r="F4032" s="1">
        <v>46023.60633101852</v>
      </c>
      <c r="G4032">
        <v>52.876177550206201</v>
      </c>
      <c r="H4032" t="s">
        <v>34</v>
      </c>
      <c r="J4032" t="s">
        <v>16</v>
      </c>
      <c r="K4032">
        <v>564519.09623497899</v>
      </c>
      <c r="L4032" t="s">
        <v>17</v>
      </c>
      <c r="M4032">
        <v>0</v>
      </c>
      <c r="N4032">
        <v>0.17637186744832001</v>
      </c>
    </row>
    <row r="4033" spans="2:14" x14ac:dyDescent="0.25">
      <c r="B4033" t="s">
        <v>14</v>
      </c>
      <c r="C4033" s="1">
        <v>46023.999988425923</v>
      </c>
      <c r="D4033">
        <v>25.153956309963199</v>
      </c>
      <c r="E4033">
        <v>99565.287213201605</v>
      </c>
      <c r="F4033" s="1">
        <v>46023.60633101852</v>
      </c>
      <c r="G4033">
        <v>52.876177550206201</v>
      </c>
      <c r="H4033" t="s">
        <v>34</v>
      </c>
      <c r="J4033" t="s">
        <v>16</v>
      </c>
      <c r="K4033">
        <v>564519.09623497899</v>
      </c>
      <c r="L4033" t="s">
        <v>17</v>
      </c>
      <c r="M4033">
        <v>0</v>
      </c>
      <c r="N4033">
        <v>0.17637186744832001</v>
      </c>
    </row>
    <row r="4034" spans="2:14" x14ac:dyDescent="0.25">
      <c r="B4034" t="s">
        <v>14</v>
      </c>
      <c r="C4034" s="1">
        <v>46246.999988425923</v>
      </c>
      <c r="D4034">
        <v>25.158623315688398</v>
      </c>
      <c r="E4034">
        <v>19141.0473424468</v>
      </c>
      <c r="F4034" s="1">
        <v>46246.605821759258</v>
      </c>
      <c r="G4034">
        <v>52.875131642410302</v>
      </c>
      <c r="H4034" t="s">
        <v>35</v>
      </c>
      <c r="J4034" t="s">
        <v>16</v>
      </c>
      <c r="K4034">
        <v>210068.52100135299</v>
      </c>
      <c r="L4034" t="s">
        <v>17</v>
      </c>
      <c r="M4034">
        <v>0</v>
      </c>
      <c r="N4034">
        <v>9.1118113514606705E-2</v>
      </c>
    </row>
    <row r="4035" spans="2:14" x14ac:dyDescent="0.25">
      <c r="B4035" t="s">
        <v>14</v>
      </c>
      <c r="C4035" s="1">
        <v>46245.999988425923</v>
      </c>
      <c r="D4035">
        <v>25.158623315688398</v>
      </c>
      <c r="E4035">
        <v>21927.836563225101</v>
      </c>
      <c r="F4035" s="1">
        <v>46243.09915509259</v>
      </c>
      <c r="G4035">
        <v>52.875131642410302</v>
      </c>
      <c r="H4035" t="s">
        <v>35</v>
      </c>
      <c r="J4035" t="s">
        <v>16</v>
      </c>
      <c r="K4035">
        <v>210068.52100135299</v>
      </c>
      <c r="L4035" t="s">
        <v>17</v>
      </c>
      <c r="M4035">
        <v>2786.7892207782402</v>
      </c>
      <c r="N4035">
        <v>0.10438420977450399</v>
      </c>
    </row>
    <row r="4036" spans="2:14" x14ac:dyDescent="0.25">
      <c r="B4036" t="s">
        <v>14</v>
      </c>
      <c r="C4036" s="1">
        <v>46244.999988425923</v>
      </c>
      <c r="D4036">
        <v>25.158623315688398</v>
      </c>
      <c r="E4036">
        <v>21927.836563225101</v>
      </c>
      <c r="F4036" s="1">
        <v>46243.09915509259</v>
      </c>
      <c r="G4036">
        <v>52.875131642410302</v>
      </c>
      <c r="H4036" t="s">
        <v>35</v>
      </c>
      <c r="J4036" t="s">
        <v>16</v>
      </c>
      <c r="K4036">
        <v>210068.52100135299</v>
      </c>
      <c r="L4036" t="s">
        <v>17</v>
      </c>
      <c r="M4036">
        <v>0</v>
      </c>
      <c r="N4036">
        <v>0.10438420977450399</v>
      </c>
    </row>
    <row r="4037" spans="2:14" x14ac:dyDescent="0.25">
      <c r="B4037" t="s">
        <v>14</v>
      </c>
      <c r="C4037" s="1">
        <v>46243.999988425923</v>
      </c>
      <c r="D4037">
        <v>25.158623315688398</v>
      </c>
      <c r="E4037">
        <v>21927.836563225101</v>
      </c>
      <c r="F4037" s="1">
        <v>46243.09915509259</v>
      </c>
      <c r="G4037">
        <v>52.875131642410302</v>
      </c>
      <c r="H4037" t="s">
        <v>35</v>
      </c>
      <c r="J4037" t="s">
        <v>16</v>
      </c>
      <c r="K4037">
        <v>210068.52100135299</v>
      </c>
      <c r="L4037" t="s">
        <v>17</v>
      </c>
      <c r="M4037">
        <v>0</v>
      </c>
      <c r="N4037">
        <v>0.10438420977450399</v>
      </c>
    </row>
    <row r="4038" spans="2:14" x14ac:dyDescent="0.25">
      <c r="B4038" t="s">
        <v>14</v>
      </c>
      <c r="C4038" s="1">
        <v>46242.999988425923</v>
      </c>
      <c r="D4038">
        <v>25.158623315688398</v>
      </c>
      <c r="E4038">
        <v>18605.761935636499</v>
      </c>
      <c r="F4038" s="1">
        <v>46240.605520833335</v>
      </c>
      <c r="G4038">
        <v>52.875131642410302</v>
      </c>
      <c r="H4038" t="s">
        <v>35</v>
      </c>
      <c r="J4038" t="s">
        <v>16</v>
      </c>
      <c r="K4038">
        <v>210068.52100135299</v>
      </c>
      <c r="L4038" t="s">
        <v>17</v>
      </c>
      <c r="M4038">
        <v>-3322.0746275885599</v>
      </c>
      <c r="N4038">
        <v>8.8569966822952401E-2</v>
      </c>
    </row>
    <row r="4039" spans="2:14" x14ac:dyDescent="0.25">
      <c r="B4039" t="s">
        <v>14</v>
      </c>
      <c r="C4039" s="1">
        <v>46241.999988425923</v>
      </c>
      <c r="D4039">
        <v>25.158623315688398</v>
      </c>
      <c r="E4039">
        <v>18605.761935636499</v>
      </c>
      <c r="F4039" s="1">
        <v>46240.605520833335</v>
      </c>
      <c r="G4039">
        <v>52.875131642410302</v>
      </c>
      <c r="H4039" t="s">
        <v>35</v>
      </c>
      <c r="J4039" t="s">
        <v>16</v>
      </c>
      <c r="K4039">
        <v>210068.52100135299</v>
      </c>
      <c r="L4039" t="s">
        <v>17</v>
      </c>
      <c r="M4039">
        <v>0</v>
      </c>
      <c r="N4039">
        <v>8.8569966822952401E-2</v>
      </c>
    </row>
    <row r="4040" spans="2:14" x14ac:dyDescent="0.25">
      <c r="B4040" t="s">
        <v>14</v>
      </c>
      <c r="C4040" s="1">
        <v>46240.999988425923</v>
      </c>
      <c r="D4040">
        <v>25.158623315688398</v>
      </c>
      <c r="E4040">
        <v>18605.761935636499</v>
      </c>
      <c r="F4040" s="1">
        <v>46240.605520833335</v>
      </c>
      <c r="G4040">
        <v>52.875131642410302</v>
      </c>
      <c r="H4040" t="s">
        <v>35</v>
      </c>
      <c r="J4040" t="s">
        <v>16</v>
      </c>
      <c r="K4040">
        <v>210068.52100135299</v>
      </c>
      <c r="L4040" t="s">
        <v>17</v>
      </c>
      <c r="M4040">
        <v>0</v>
      </c>
      <c r="N4040">
        <v>8.8569966822952401E-2</v>
      </c>
    </row>
    <row r="4041" spans="2:14" x14ac:dyDescent="0.25">
      <c r="B4041" t="s">
        <v>14</v>
      </c>
      <c r="C4041" s="1">
        <v>46239.999988425923</v>
      </c>
      <c r="D4041">
        <v>25.158623315688398</v>
      </c>
      <c r="E4041">
        <v>24291.081705065499</v>
      </c>
      <c r="F4041" s="1">
        <v>46237.099328703705</v>
      </c>
      <c r="G4041">
        <v>52.875131642410302</v>
      </c>
      <c r="H4041" t="s">
        <v>35</v>
      </c>
      <c r="J4041" t="s">
        <v>16</v>
      </c>
      <c r="K4041">
        <v>210068.52100135299</v>
      </c>
      <c r="L4041" t="s">
        <v>17</v>
      </c>
      <c r="M4041">
        <v>5685.3197694289502</v>
      </c>
      <c r="N4041">
        <v>0.115634087341001</v>
      </c>
    </row>
    <row r="4042" spans="2:14" x14ac:dyDescent="0.25">
      <c r="B4042" t="s">
        <v>14</v>
      </c>
      <c r="C4042" s="1">
        <v>46238.999988425923</v>
      </c>
      <c r="D4042">
        <v>25.158623315688398</v>
      </c>
      <c r="E4042">
        <v>24291.081705065499</v>
      </c>
      <c r="F4042" s="1">
        <v>46237.099328703705</v>
      </c>
      <c r="G4042">
        <v>52.875131642410302</v>
      </c>
      <c r="H4042" t="s">
        <v>35</v>
      </c>
      <c r="J4042" t="s">
        <v>16</v>
      </c>
      <c r="K4042">
        <v>210068.52100135299</v>
      </c>
      <c r="L4042" t="s">
        <v>17</v>
      </c>
      <c r="M4042">
        <v>0</v>
      </c>
      <c r="N4042">
        <v>0.115634087341001</v>
      </c>
    </row>
    <row r="4043" spans="2:14" x14ac:dyDescent="0.25">
      <c r="B4043" t="s">
        <v>14</v>
      </c>
      <c r="C4043" s="1">
        <v>46237.999988425923</v>
      </c>
      <c r="D4043">
        <v>25.158623315688398</v>
      </c>
      <c r="E4043">
        <v>24291.081705065499</v>
      </c>
      <c r="F4043" s="1">
        <v>46237.099328703705</v>
      </c>
      <c r="G4043">
        <v>52.875131642410302</v>
      </c>
      <c r="H4043" t="s">
        <v>35</v>
      </c>
      <c r="J4043" t="s">
        <v>16</v>
      </c>
      <c r="K4043">
        <v>210068.52100135299</v>
      </c>
      <c r="L4043" t="s">
        <v>17</v>
      </c>
      <c r="M4043">
        <v>0</v>
      </c>
      <c r="N4043">
        <v>0.115634087341001</v>
      </c>
    </row>
    <row r="4044" spans="2:14" x14ac:dyDescent="0.25">
      <c r="B4044" t="s">
        <v>14</v>
      </c>
      <c r="C4044" s="1">
        <v>46236.999988425923</v>
      </c>
      <c r="D4044">
        <v>25.158623315688398</v>
      </c>
      <c r="E4044">
        <v>17770.509390051</v>
      </c>
      <c r="F4044" s="1">
        <v>46234.605810185189</v>
      </c>
      <c r="G4044">
        <v>52.875131642410302</v>
      </c>
      <c r="H4044" t="s">
        <v>35</v>
      </c>
      <c r="J4044" t="s">
        <v>16</v>
      </c>
      <c r="K4044">
        <v>210068.52100135299</v>
      </c>
      <c r="L4044" t="s">
        <v>17</v>
      </c>
      <c r="M4044">
        <v>-6520.5723150144904</v>
      </c>
      <c r="N4044">
        <v>8.4593871110924396E-2</v>
      </c>
    </row>
    <row r="4045" spans="2:14" x14ac:dyDescent="0.25">
      <c r="B4045" t="s">
        <v>14</v>
      </c>
      <c r="C4045" s="1">
        <v>46235.999988425923</v>
      </c>
      <c r="D4045">
        <v>25.158623315688398</v>
      </c>
      <c r="E4045">
        <v>17770.509390051</v>
      </c>
      <c r="F4045" s="1">
        <v>46234.605810185189</v>
      </c>
      <c r="G4045">
        <v>52.875131642410302</v>
      </c>
      <c r="H4045" t="s">
        <v>35</v>
      </c>
      <c r="J4045" t="s">
        <v>16</v>
      </c>
      <c r="K4045">
        <v>210068.52100135299</v>
      </c>
      <c r="L4045" t="s">
        <v>17</v>
      </c>
      <c r="M4045">
        <v>0</v>
      </c>
      <c r="N4045">
        <v>8.4593871110924396E-2</v>
      </c>
    </row>
    <row r="4046" spans="2:14" x14ac:dyDescent="0.25">
      <c r="B4046" t="s">
        <v>14</v>
      </c>
      <c r="C4046" s="1">
        <v>46234.999988425923</v>
      </c>
      <c r="D4046">
        <v>25.158623315688398</v>
      </c>
      <c r="E4046">
        <v>17770.509390051</v>
      </c>
      <c r="F4046" s="1">
        <v>46234.605810185189</v>
      </c>
      <c r="G4046">
        <v>52.875131642410302</v>
      </c>
      <c r="H4046" t="s">
        <v>35</v>
      </c>
      <c r="J4046" t="s">
        <v>16</v>
      </c>
      <c r="K4046">
        <v>210068.52100135299</v>
      </c>
      <c r="L4046" t="s">
        <v>17</v>
      </c>
      <c r="M4046">
        <v>0</v>
      </c>
      <c r="N4046">
        <v>8.4593871110924396E-2</v>
      </c>
    </row>
    <row r="4047" spans="2:14" x14ac:dyDescent="0.25">
      <c r="B4047" t="s">
        <v>14</v>
      </c>
      <c r="C4047" s="1">
        <v>46233.999988425923</v>
      </c>
      <c r="D4047">
        <v>25.158623315688398</v>
      </c>
      <c r="E4047">
        <v>21745.834929210101</v>
      </c>
      <c r="F4047" s="1">
        <v>46231.09915509259</v>
      </c>
      <c r="G4047">
        <v>52.875131642410302</v>
      </c>
      <c r="H4047" t="s">
        <v>35</v>
      </c>
      <c r="J4047" t="s">
        <v>16</v>
      </c>
      <c r="K4047">
        <v>210068.52100135299</v>
      </c>
      <c r="L4047" t="s">
        <v>17</v>
      </c>
      <c r="M4047">
        <v>3975.3255391591201</v>
      </c>
      <c r="N4047">
        <v>0.10351781802219601</v>
      </c>
    </row>
    <row r="4048" spans="2:14" x14ac:dyDescent="0.25">
      <c r="B4048" t="s">
        <v>14</v>
      </c>
      <c r="C4048" s="1">
        <v>46232.999988425923</v>
      </c>
      <c r="D4048">
        <v>25.158623315688398</v>
      </c>
      <c r="E4048">
        <v>21745.834929210101</v>
      </c>
      <c r="F4048" s="1">
        <v>46231.09915509259</v>
      </c>
      <c r="G4048">
        <v>52.875131642410302</v>
      </c>
      <c r="H4048" t="s">
        <v>35</v>
      </c>
      <c r="J4048" t="s">
        <v>16</v>
      </c>
      <c r="K4048">
        <v>210068.52100135299</v>
      </c>
      <c r="L4048" t="s">
        <v>17</v>
      </c>
      <c r="M4048">
        <v>0</v>
      </c>
      <c r="N4048">
        <v>0.10351781802219601</v>
      </c>
    </row>
    <row r="4049" spans="2:14" x14ac:dyDescent="0.25">
      <c r="B4049" t="s">
        <v>14</v>
      </c>
      <c r="C4049" s="1">
        <v>46231.999988425923</v>
      </c>
      <c r="D4049">
        <v>25.158623315688398</v>
      </c>
      <c r="E4049">
        <v>21745.834929210101</v>
      </c>
      <c r="F4049" s="1">
        <v>46231.09915509259</v>
      </c>
      <c r="G4049">
        <v>52.875131642410302</v>
      </c>
      <c r="H4049" t="s">
        <v>35</v>
      </c>
      <c r="J4049" t="s">
        <v>16</v>
      </c>
      <c r="K4049">
        <v>210068.52100135299</v>
      </c>
      <c r="L4049" t="s">
        <v>17</v>
      </c>
      <c r="M4049">
        <v>0</v>
      </c>
      <c r="N4049">
        <v>0.10351781802219601</v>
      </c>
    </row>
    <row r="4050" spans="2:14" x14ac:dyDescent="0.25">
      <c r="B4050" t="s">
        <v>14</v>
      </c>
      <c r="C4050" s="1">
        <v>46230.999988425923</v>
      </c>
      <c r="D4050">
        <v>25.158623315688398</v>
      </c>
      <c r="E4050">
        <v>19222.736894224599</v>
      </c>
      <c r="F4050" s="1">
        <v>46228.605520833335</v>
      </c>
      <c r="G4050">
        <v>52.875131642410302</v>
      </c>
      <c r="H4050" t="s">
        <v>35</v>
      </c>
      <c r="J4050" t="s">
        <v>16</v>
      </c>
      <c r="K4050">
        <v>210068.52100135299</v>
      </c>
      <c r="L4050" t="s">
        <v>17</v>
      </c>
      <c r="M4050">
        <v>-2523.0980349854799</v>
      </c>
      <c r="N4050">
        <v>9.1506984495315302E-2</v>
      </c>
    </row>
    <row r="4051" spans="2:14" x14ac:dyDescent="0.25">
      <c r="B4051" t="s">
        <v>14</v>
      </c>
      <c r="C4051" s="1">
        <v>46229.999988425923</v>
      </c>
      <c r="D4051">
        <v>25.158623315688398</v>
      </c>
      <c r="E4051">
        <v>19222.736894224599</v>
      </c>
      <c r="F4051" s="1">
        <v>46228.605520833335</v>
      </c>
      <c r="G4051">
        <v>52.875131642410302</v>
      </c>
      <c r="H4051" t="s">
        <v>35</v>
      </c>
      <c r="J4051" t="s">
        <v>16</v>
      </c>
      <c r="K4051">
        <v>210068.52100135299</v>
      </c>
      <c r="L4051" t="s">
        <v>17</v>
      </c>
      <c r="M4051">
        <v>0</v>
      </c>
      <c r="N4051">
        <v>9.1506984495315302E-2</v>
      </c>
    </row>
    <row r="4052" spans="2:14" x14ac:dyDescent="0.25">
      <c r="B4052" t="s">
        <v>14</v>
      </c>
      <c r="C4052" s="1">
        <v>46228.999988425923</v>
      </c>
      <c r="D4052">
        <v>25.158623315688398</v>
      </c>
      <c r="E4052">
        <v>19222.736894224599</v>
      </c>
      <c r="F4052" s="1">
        <v>46228.605520833335</v>
      </c>
      <c r="G4052">
        <v>52.875131642410302</v>
      </c>
      <c r="H4052" t="s">
        <v>35</v>
      </c>
      <c r="J4052" t="s">
        <v>16</v>
      </c>
      <c r="K4052">
        <v>210068.52100135299</v>
      </c>
      <c r="L4052" t="s">
        <v>17</v>
      </c>
      <c r="M4052">
        <v>0</v>
      </c>
      <c r="N4052">
        <v>9.1506984495315302E-2</v>
      </c>
    </row>
    <row r="4053" spans="2:14" x14ac:dyDescent="0.25">
      <c r="B4053" t="s">
        <v>14</v>
      </c>
      <c r="C4053" s="1">
        <v>46227.999988425923</v>
      </c>
      <c r="D4053">
        <v>25.158623315688398</v>
      </c>
      <c r="E4053">
        <v>22871.0073569948</v>
      </c>
      <c r="F4053" s="1">
        <v>46225.099317129629</v>
      </c>
      <c r="G4053">
        <v>52.875131642410302</v>
      </c>
      <c r="H4053" t="s">
        <v>35</v>
      </c>
      <c r="J4053" t="s">
        <v>16</v>
      </c>
      <c r="K4053">
        <v>210068.52100135299</v>
      </c>
      <c r="L4053" t="s">
        <v>17</v>
      </c>
      <c r="M4053">
        <v>3648.2704627701801</v>
      </c>
      <c r="N4053">
        <v>0.10887403428164</v>
      </c>
    </row>
    <row r="4054" spans="2:14" x14ac:dyDescent="0.25">
      <c r="B4054" t="s">
        <v>14</v>
      </c>
      <c r="C4054" s="1">
        <v>46226.999988425923</v>
      </c>
      <c r="D4054">
        <v>25.158623315688398</v>
      </c>
      <c r="E4054">
        <v>22871.0073569948</v>
      </c>
      <c r="F4054" s="1">
        <v>46225.099317129629</v>
      </c>
      <c r="G4054">
        <v>52.875131642410302</v>
      </c>
      <c r="H4054" t="s">
        <v>35</v>
      </c>
      <c r="J4054" t="s">
        <v>16</v>
      </c>
      <c r="K4054">
        <v>210068.52100135299</v>
      </c>
      <c r="L4054" t="s">
        <v>17</v>
      </c>
      <c r="M4054">
        <v>0</v>
      </c>
      <c r="N4054">
        <v>0.10887403428164</v>
      </c>
    </row>
    <row r="4055" spans="2:14" x14ac:dyDescent="0.25">
      <c r="B4055" t="s">
        <v>14</v>
      </c>
      <c r="C4055" s="1">
        <v>46225.999988425923</v>
      </c>
      <c r="D4055">
        <v>25.158623315688398</v>
      </c>
      <c r="E4055">
        <v>22871.0073569948</v>
      </c>
      <c r="F4055" s="1">
        <v>46225.099317129629</v>
      </c>
      <c r="G4055">
        <v>52.875131642410302</v>
      </c>
      <c r="H4055" t="s">
        <v>35</v>
      </c>
      <c r="J4055" t="s">
        <v>16</v>
      </c>
      <c r="K4055">
        <v>210068.52100135299</v>
      </c>
      <c r="L4055" t="s">
        <v>17</v>
      </c>
      <c r="M4055">
        <v>0</v>
      </c>
      <c r="N4055">
        <v>0.10887403428164</v>
      </c>
    </row>
    <row r="4056" spans="2:14" x14ac:dyDescent="0.25">
      <c r="B4056" t="s">
        <v>14</v>
      </c>
      <c r="C4056" s="1">
        <v>46224.999988425923</v>
      </c>
      <c r="D4056">
        <v>25.158623315688398</v>
      </c>
      <c r="E4056">
        <v>19909.1790375491</v>
      </c>
      <c r="F4056" s="1">
        <v>46222.605810185189</v>
      </c>
      <c r="G4056">
        <v>52.875131642410302</v>
      </c>
      <c r="H4056" t="s">
        <v>35</v>
      </c>
      <c r="J4056" t="s">
        <v>16</v>
      </c>
      <c r="K4056">
        <v>210068.52100135299</v>
      </c>
      <c r="L4056" t="s">
        <v>17</v>
      </c>
      <c r="M4056">
        <v>-2961.8283194456599</v>
      </c>
      <c r="N4056">
        <v>9.4774690385052596E-2</v>
      </c>
    </row>
    <row r="4057" spans="2:14" x14ac:dyDescent="0.25">
      <c r="B4057" t="s">
        <v>14</v>
      </c>
      <c r="C4057" s="1">
        <v>46223.999988425923</v>
      </c>
      <c r="D4057">
        <v>25.158623315688398</v>
      </c>
      <c r="E4057">
        <v>19909.1790375491</v>
      </c>
      <c r="F4057" s="1">
        <v>46222.605810185189</v>
      </c>
      <c r="G4057">
        <v>52.875131642410302</v>
      </c>
      <c r="H4057" t="s">
        <v>35</v>
      </c>
      <c r="J4057" t="s">
        <v>16</v>
      </c>
      <c r="K4057">
        <v>210068.52100135299</v>
      </c>
      <c r="L4057" t="s">
        <v>17</v>
      </c>
      <c r="M4057">
        <v>0</v>
      </c>
      <c r="N4057">
        <v>9.4774690385052596E-2</v>
      </c>
    </row>
    <row r="4058" spans="2:14" x14ac:dyDescent="0.25">
      <c r="B4058" t="s">
        <v>14</v>
      </c>
      <c r="C4058" s="1">
        <v>46222.999988425923</v>
      </c>
      <c r="D4058">
        <v>25.158623315688398</v>
      </c>
      <c r="E4058">
        <v>19909.1790375491</v>
      </c>
      <c r="F4058" s="1">
        <v>46222.605810185189</v>
      </c>
      <c r="G4058">
        <v>52.875131642410302</v>
      </c>
      <c r="H4058" t="s">
        <v>35</v>
      </c>
      <c r="J4058" t="s">
        <v>16</v>
      </c>
      <c r="K4058">
        <v>210068.52100135299</v>
      </c>
      <c r="L4058" t="s">
        <v>17</v>
      </c>
      <c r="M4058">
        <v>0</v>
      </c>
      <c r="N4058">
        <v>9.4774690385052596E-2</v>
      </c>
    </row>
    <row r="4059" spans="2:14" x14ac:dyDescent="0.25">
      <c r="B4059" t="s">
        <v>14</v>
      </c>
      <c r="C4059" s="1">
        <v>46221.999988425923</v>
      </c>
      <c r="D4059">
        <v>25.158623315688398</v>
      </c>
      <c r="E4059">
        <v>22448.046662452201</v>
      </c>
      <c r="F4059" s="1">
        <v>46219.099143518521</v>
      </c>
      <c r="G4059">
        <v>52.875131642410302</v>
      </c>
      <c r="H4059" t="s">
        <v>35</v>
      </c>
      <c r="J4059" t="s">
        <v>16</v>
      </c>
      <c r="K4059">
        <v>210068.52100135299</v>
      </c>
      <c r="L4059" t="s">
        <v>17</v>
      </c>
      <c r="M4059">
        <v>2538.86762490306</v>
      </c>
      <c r="N4059">
        <v>0.10686059270302301</v>
      </c>
    </row>
    <row r="4060" spans="2:14" x14ac:dyDescent="0.25">
      <c r="B4060" t="s">
        <v>14</v>
      </c>
      <c r="C4060" s="1">
        <v>46220.999988425923</v>
      </c>
      <c r="D4060">
        <v>25.158623315688398</v>
      </c>
      <c r="E4060">
        <v>22448.046662452201</v>
      </c>
      <c r="F4060" s="1">
        <v>46219.099143518521</v>
      </c>
      <c r="G4060">
        <v>52.875131642410302</v>
      </c>
      <c r="H4060" t="s">
        <v>35</v>
      </c>
      <c r="J4060" t="s">
        <v>16</v>
      </c>
      <c r="K4060">
        <v>210068.52100135299</v>
      </c>
      <c r="L4060" t="s">
        <v>17</v>
      </c>
      <c r="M4060">
        <v>0</v>
      </c>
      <c r="N4060">
        <v>0.10686059270302301</v>
      </c>
    </row>
    <row r="4061" spans="2:14" x14ac:dyDescent="0.25">
      <c r="B4061" t="s">
        <v>14</v>
      </c>
      <c r="C4061" s="1">
        <v>46219.999988425923</v>
      </c>
      <c r="D4061">
        <v>25.158623315688398</v>
      </c>
      <c r="E4061">
        <v>22448.046662452201</v>
      </c>
      <c r="F4061" s="1">
        <v>46219.099143518521</v>
      </c>
      <c r="G4061">
        <v>52.875131642410302</v>
      </c>
      <c r="H4061" t="s">
        <v>35</v>
      </c>
      <c r="J4061" t="s">
        <v>16</v>
      </c>
      <c r="K4061">
        <v>210068.52100135299</v>
      </c>
      <c r="L4061" t="s">
        <v>17</v>
      </c>
      <c r="M4061">
        <v>0</v>
      </c>
      <c r="N4061">
        <v>0.10686059270302301</v>
      </c>
    </row>
    <row r="4062" spans="2:14" x14ac:dyDescent="0.25">
      <c r="B4062" t="s">
        <v>14</v>
      </c>
      <c r="C4062" s="1">
        <v>46218.999988425923</v>
      </c>
      <c r="D4062">
        <v>25.158623315688398</v>
      </c>
      <c r="E4062">
        <v>18240.8481931877</v>
      </c>
      <c r="F4062" s="1">
        <v>46216.605509259258</v>
      </c>
      <c r="G4062">
        <v>52.875131642410302</v>
      </c>
      <c r="H4062" t="s">
        <v>35</v>
      </c>
      <c r="J4062" t="s">
        <v>16</v>
      </c>
      <c r="K4062">
        <v>210068.52100135299</v>
      </c>
      <c r="L4062" t="s">
        <v>17</v>
      </c>
      <c r="M4062">
        <v>-4207.1984692645201</v>
      </c>
      <c r="N4062">
        <v>8.6832849140068002E-2</v>
      </c>
    </row>
    <row r="4063" spans="2:14" x14ac:dyDescent="0.25">
      <c r="B4063" t="s">
        <v>14</v>
      </c>
      <c r="C4063" s="1">
        <v>46217.999988425923</v>
      </c>
      <c r="D4063">
        <v>25.158623315688398</v>
      </c>
      <c r="E4063">
        <v>18240.8481931877</v>
      </c>
      <c r="F4063" s="1">
        <v>46216.605509259258</v>
      </c>
      <c r="G4063">
        <v>52.875131642410302</v>
      </c>
      <c r="H4063" t="s">
        <v>35</v>
      </c>
      <c r="J4063" t="s">
        <v>16</v>
      </c>
      <c r="K4063">
        <v>210068.52100135299</v>
      </c>
      <c r="L4063" t="s">
        <v>17</v>
      </c>
      <c r="M4063">
        <v>0</v>
      </c>
      <c r="N4063">
        <v>8.6832849140068002E-2</v>
      </c>
    </row>
    <row r="4064" spans="2:14" x14ac:dyDescent="0.25">
      <c r="B4064" t="s">
        <v>14</v>
      </c>
      <c r="C4064" s="1">
        <v>46216.999988425923</v>
      </c>
      <c r="D4064">
        <v>25.158623315688398</v>
      </c>
      <c r="E4064">
        <v>18240.8481931877</v>
      </c>
      <c r="F4064" s="1">
        <v>46216.605509259258</v>
      </c>
      <c r="G4064">
        <v>52.875131642410302</v>
      </c>
      <c r="H4064" t="s">
        <v>35</v>
      </c>
      <c r="J4064" t="s">
        <v>16</v>
      </c>
      <c r="K4064">
        <v>210068.52100135299</v>
      </c>
      <c r="L4064" t="s">
        <v>17</v>
      </c>
      <c r="M4064">
        <v>0</v>
      </c>
      <c r="N4064">
        <v>8.6832849140068002E-2</v>
      </c>
    </row>
    <row r="4065" spans="2:14" x14ac:dyDescent="0.25">
      <c r="B4065" t="s">
        <v>14</v>
      </c>
      <c r="C4065" s="1">
        <v>46215.999988425923</v>
      </c>
      <c r="D4065">
        <v>25.158623315688398</v>
      </c>
      <c r="E4065">
        <v>23220.6944363984</v>
      </c>
      <c r="F4065" s="1">
        <v>46213.099305555559</v>
      </c>
      <c r="G4065">
        <v>52.875131642410302</v>
      </c>
      <c r="H4065" t="s">
        <v>35</v>
      </c>
      <c r="J4065" t="s">
        <v>16</v>
      </c>
      <c r="K4065">
        <v>210068.52100135299</v>
      </c>
      <c r="L4065" t="s">
        <v>17</v>
      </c>
      <c r="M4065">
        <v>4979.8462432106899</v>
      </c>
      <c r="N4065">
        <v>0.110538667696188</v>
      </c>
    </row>
    <row r="4066" spans="2:14" x14ac:dyDescent="0.25">
      <c r="B4066" t="s">
        <v>14</v>
      </c>
      <c r="C4066" s="1">
        <v>46214.999988425923</v>
      </c>
      <c r="D4066">
        <v>25.158623315688398</v>
      </c>
      <c r="E4066">
        <v>23220.6944363984</v>
      </c>
      <c r="F4066" s="1">
        <v>46213.099305555559</v>
      </c>
      <c r="G4066">
        <v>52.875131642410302</v>
      </c>
      <c r="H4066" t="s">
        <v>35</v>
      </c>
      <c r="J4066" t="s">
        <v>16</v>
      </c>
      <c r="K4066">
        <v>210068.52100135299</v>
      </c>
      <c r="L4066" t="s">
        <v>17</v>
      </c>
      <c r="M4066">
        <v>0</v>
      </c>
      <c r="N4066">
        <v>0.110538667696188</v>
      </c>
    </row>
    <row r="4067" spans="2:14" x14ac:dyDescent="0.25">
      <c r="B4067" t="s">
        <v>14</v>
      </c>
      <c r="C4067" s="1">
        <v>46213.999988425923</v>
      </c>
      <c r="D4067">
        <v>25.158623315688398</v>
      </c>
      <c r="E4067">
        <v>23220.6944363984</v>
      </c>
      <c r="F4067" s="1">
        <v>46213.099305555559</v>
      </c>
      <c r="G4067">
        <v>52.875131642410302</v>
      </c>
      <c r="H4067" t="s">
        <v>35</v>
      </c>
      <c r="J4067" t="s">
        <v>16</v>
      </c>
      <c r="K4067">
        <v>210068.52100135299</v>
      </c>
      <c r="L4067" t="s">
        <v>17</v>
      </c>
      <c r="M4067">
        <v>0</v>
      </c>
      <c r="N4067">
        <v>0.110538667696188</v>
      </c>
    </row>
    <row r="4068" spans="2:14" x14ac:dyDescent="0.25">
      <c r="B4068" t="s">
        <v>14</v>
      </c>
      <c r="C4068" s="1">
        <v>46212.999988425923</v>
      </c>
      <c r="D4068">
        <v>25.158623315688398</v>
      </c>
      <c r="E4068">
        <v>19372.500913215299</v>
      </c>
      <c r="F4068" s="1">
        <v>46210.605798611112</v>
      </c>
      <c r="G4068">
        <v>52.875131642410302</v>
      </c>
      <c r="H4068" t="s">
        <v>35</v>
      </c>
      <c r="J4068" t="s">
        <v>16</v>
      </c>
      <c r="K4068">
        <v>210068.52100135299</v>
      </c>
      <c r="L4068" t="s">
        <v>17</v>
      </c>
      <c r="M4068">
        <v>-3848.1935231831098</v>
      </c>
      <c r="N4068">
        <v>9.2219913868439599E-2</v>
      </c>
    </row>
    <row r="4069" spans="2:14" x14ac:dyDescent="0.25">
      <c r="B4069" t="s">
        <v>14</v>
      </c>
      <c r="C4069" s="1">
        <v>46211.999988425923</v>
      </c>
      <c r="D4069">
        <v>25.158623315688398</v>
      </c>
      <c r="E4069">
        <v>19372.500913215299</v>
      </c>
      <c r="F4069" s="1">
        <v>46210.605798611112</v>
      </c>
      <c r="G4069">
        <v>52.875131642410302</v>
      </c>
      <c r="H4069" t="s">
        <v>35</v>
      </c>
      <c r="J4069" t="s">
        <v>16</v>
      </c>
      <c r="K4069">
        <v>210068.52100135299</v>
      </c>
      <c r="L4069" t="s">
        <v>17</v>
      </c>
      <c r="M4069">
        <v>0</v>
      </c>
      <c r="N4069">
        <v>9.2219913868439599E-2</v>
      </c>
    </row>
    <row r="4070" spans="2:14" x14ac:dyDescent="0.25">
      <c r="B4070" t="s">
        <v>14</v>
      </c>
      <c r="C4070" s="1">
        <v>46210.999988425923</v>
      </c>
      <c r="D4070">
        <v>25.158623315688398</v>
      </c>
      <c r="E4070">
        <v>19372.500913215299</v>
      </c>
      <c r="F4070" s="1">
        <v>46210.605798611112</v>
      </c>
      <c r="G4070">
        <v>52.875131642410302</v>
      </c>
      <c r="H4070" t="s">
        <v>35</v>
      </c>
      <c r="J4070" t="s">
        <v>16</v>
      </c>
      <c r="K4070">
        <v>210068.52100135299</v>
      </c>
      <c r="L4070" t="s">
        <v>17</v>
      </c>
      <c r="M4070">
        <v>0</v>
      </c>
      <c r="N4070">
        <v>9.2219913868439599E-2</v>
      </c>
    </row>
    <row r="4071" spans="2:14" x14ac:dyDescent="0.25">
      <c r="B4071" t="s">
        <v>14</v>
      </c>
      <c r="C4071" s="1">
        <v>46209.999988425923</v>
      </c>
      <c r="D4071">
        <v>25.158623315688398</v>
      </c>
      <c r="E4071">
        <v>22190.377827387099</v>
      </c>
      <c r="F4071" s="1">
        <v>46207.099131944444</v>
      </c>
      <c r="G4071">
        <v>52.875131642410302</v>
      </c>
      <c r="H4071" t="s">
        <v>35</v>
      </c>
      <c r="J4071" t="s">
        <v>16</v>
      </c>
      <c r="K4071">
        <v>210068.52100135299</v>
      </c>
      <c r="L4071" t="s">
        <v>17</v>
      </c>
      <c r="M4071">
        <v>2817.8769141718499</v>
      </c>
      <c r="N4071">
        <v>0.105633998476355</v>
      </c>
    </row>
    <row r="4072" spans="2:14" x14ac:dyDescent="0.25">
      <c r="B4072" t="s">
        <v>14</v>
      </c>
      <c r="C4072" s="1">
        <v>46208.999988425923</v>
      </c>
      <c r="D4072">
        <v>25.158623315688398</v>
      </c>
      <c r="E4072">
        <v>22190.377827387099</v>
      </c>
      <c r="F4072" s="1">
        <v>46207.099131944444</v>
      </c>
      <c r="G4072">
        <v>52.875131642410302</v>
      </c>
      <c r="H4072" t="s">
        <v>35</v>
      </c>
      <c r="J4072" t="s">
        <v>16</v>
      </c>
      <c r="K4072">
        <v>210068.52100135299</v>
      </c>
      <c r="L4072" t="s">
        <v>17</v>
      </c>
      <c r="M4072">
        <v>0</v>
      </c>
      <c r="N4072">
        <v>0.105633998476355</v>
      </c>
    </row>
    <row r="4073" spans="2:14" x14ac:dyDescent="0.25">
      <c r="B4073" t="s">
        <v>14</v>
      </c>
      <c r="C4073" s="1">
        <v>46207.999988425923</v>
      </c>
      <c r="D4073">
        <v>25.158623315688398</v>
      </c>
      <c r="E4073">
        <v>22190.377827387099</v>
      </c>
      <c r="F4073" s="1">
        <v>46207.099131944444</v>
      </c>
      <c r="G4073">
        <v>52.875131642410302</v>
      </c>
      <c r="H4073" t="s">
        <v>35</v>
      </c>
      <c r="J4073" t="s">
        <v>16</v>
      </c>
      <c r="K4073">
        <v>210068.52100135299</v>
      </c>
      <c r="L4073" t="s">
        <v>17</v>
      </c>
      <c r="M4073">
        <v>0</v>
      </c>
      <c r="N4073">
        <v>0.105633998476355</v>
      </c>
    </row>
    <row r="4074" spans="2:14" x14ac:dyDescent="0.25">
      <c r="B4074" t="s">
        <v>14</v>
      </c>
      <c r="C4074" s="1">
        <v>46206.999988425923</v>
      </c>
      <c r="D4074">
        <v>25.158623315688398</v>
      </c>
      <c r="E4074">
        <v>19192.987107496301</v>
      </c>
      <c r="F4074" s="1">
        <v>46204.605509259258</v>
      </c>
      <c r="G4074">
        <v>52.875131642410302</v>
      </c>
      <c r="H4074" t="s">
        <v>35</v>
      </c>
      <c r="J4074" t="s">
        <v>16</v>
      </c>
      <c r="K4074">
        <v>210068.52100135299</v>
      </c>
      <c r="L4074" t="s">
        <v>17</v>
      </c>
      <c r="M4074">
        <v>-2997.3907198908501</v>
      </c>
      <c r="N4074">
        <v>9.1365365053304004E-2</v>
      </c>
    </row>
    <row r="4075" spans="2:14" x14ac:dyDescent="0.25">
      <c r="B4075" t="s">
        <v>14</v>
      </c>
      <c r="C4075" s="1">
        <v>46205.999988425923</v>
      </c>
      <c r="D4075">
        <v>25.158623315688398</v>
      </c>
      <c r="E4075">
        <v>19192.987107496301</v>
      </c>
      <c r="F4075" s="1">
        <v>46204.605509259258</v>
      </c>
      <c r="G4075">
        <v>52.875131642410302</v>
      </c>
      <c r="H4075" t="s">
        <v>35</v>
      </c>
      <c r="J4075" t="s">
        <v>16</v>
      </c>
      <c r="K4075">
        <v>210068.52100135299</v>
      </c>
      <c r="L4075" t="s">
        <v>17</v>
      </c>
      <c r="M4075">
        <v>0</v>
      </c>
      <c r="N4075">
        <v>9.1365365053304004E-2</v>
      </c>
    </row>
    <row r="4076" spans="2:14" x14ac:dyDescent="0.25">
      <c r="B4076" t="s">
        <v>14</v>
      </c>
      <c r="C4076" s="1">
        <v>46204.999988425923</v>
      </c>
      <c r="D4076">
        <v>25.158623315688398</v>
      </c>
      <c r="E4076">
        <v>19192.987107496301</v>
      </c>
      <c r="F4076" s="1">
        <v>46204.605509259258</v>
      </c>
      <c r="G4076">
        <v>52.875131642410302</v>
      </c>
      <c r="H4076" t="s">
        <v>35</v>
      </c>
      <c r="J4076" t="s">
        <v>16</v>
      </c>
      <c r="K4076">
        <v>210068.52100135299</v>
      </c>
      <c r="L4076" t="s">
        <v>17</v>
      </c>
      <c r="M4076">
        <v>0</v>
      </c>
      <c r="N4076">
        <v>9.1365365053304004E-2</v>
      </c>
    </row>
    <row r="4077" spans="2:14" x14ac:dyDescent="0.25">
      <c r="B4077" t="s">
        <v>14</v>
      </c>
      <c r="C4077" s="1">
        <v>46203.999988425923</v>
      </c>
      <c r="D4077">
        <v>25.158623315688398</v>
      </c>
      <c r="E4077">
        <v>21438.139872295</v>
      </c>
      <c r="F4077" s="1">
        <v>46201.099305555559</v>
      </c>
      <c r="G4077">
        <v>52.875131642410302</v>
      </c>
      <c r="H4077" t="s">
        <v>35</v>
      </c>
      <c r="J4077" t="s">
        <v>16</v>
      </c>
      <c r="K4077">
        <v>210068.52100135299</v>
      </c>
      <c r="L4077" t="s">
        <v>17</v>
      </c>
      <c r="M4077">
        <v>2245.15276479872</v>
      </c>
      <c r="N4077">
        <v>0.102053081395079</v>
      </c>
    </row>
    <row r="4078" spans="2:14" x14ac:dyDescent="0.25">
      <c r="B4078" t="s">
        <v>14</v>
      </c>
      <c r="C4078" s="1">
        <v>46202.999988425923</v>
      </c>
      <c r="D4078">
        <v>25.158623315688398</v>
      </c>
      <c r="E4078">
        <v>21438.139872295</v>
      </c>
      <c r="F4078" s="1">
        <v>46201.099305555559</v>
      </c>
      <c r="G4078">
        <v>52.875131642410302</v>
      </c>
      <c r="H4078" t="s">
        <v>35</v>
      </c>
      <c r="J4078" t="s">
        <v>16</v>
      </c>
      <c r="K4078">
        <v>210068.52100135299</v>
      </c>
      <c r="L4078" t="s">
        <v>17</v>
      </c>
      <c r="M4078">
        <v>0</v>
      </c>
      <c r="N4078">
        <v>0.102053081395079</v>
      </c>
    </row>
    <row r="4079" spans="2:14" x14ac:dyDescent="0.25">
      <c r="B4079" t="s">
        <v>14</v>
      </c>
      <c r="C4079" s="1">
        <v>46201.999988425923</v>
      </c>
      <c r="D4079">
        <v>25.158623315688398</v>
      </c>
      <c r="E4079">
        <v>21438.139872295</v>
      </c>
      <c r="F4079" s="1">
        <v>46201.099305555559</v>
      </c>
      <c r="G4079">
        <v>52.875131642410302</v>
      </c>
      <c r="H4079" t="s">
        <v>35</v>
      </c>
      <c r="J4079" t="s">
        <v>16</v>
      </c>
      <c r="K4079">
        <v>210068.52100135299</v>
      </c>
      <c r="L4079" t="s">
        <v>17</v>
      </c>
      <c r="M4079">
        <v>0</v>
      </c>
      <c r="N4079">
        <v>0.102053081395079</v>
      </c>
    </row>
    <row r="4080" spans="2:14" x14ac:dyDescent="0.25">
      <c r="B4080" t="s">
        <v>14</v>
      </c>
      <c r="C4080" s="1">
        <v>46200.999988425923</v>
      </c>
      <c r="D4080">
        <v>25.158623315688398</v>
      </c>
      <c r="E4080">
        <v>18646.972597725999</v>
      </c>
      <c r="F4080" s="1">
        <v>46198.605787037035</v>
      </c>
      <c r="G4080">
        <v>52.875131642410302</v>
      </c>
      <c r="H4080" t="s">
        <v>35</v>
      </c>
      <c r="J4080" t="s">
        <v>16</v>
      </c>
      <c r="K4080">
        <v>210068.52100135299</v>
      </c>
      <c r="L4080" t="s">
        <v>17</v>
      </c>
      <c r="M4080">
        <v>-2791.1672745690098</v>
      </c>
      <c r="N4080">
        <v>8.8766144060232005E-2</v>
      </c>
    </row>
    <row r="4081" spans="2:14" x14ac:dyDescent="0.25">
      <c r="B4081" t="s">
        <v>14</v>
      </c>
      <c r="C4081" s="1">
        <v>46199.999988425923</v>
      </c>
      <c r="D4081">
        <v>25.158623315688398</v>
      </c>
      <c r="E4081">
        <v>18646.972597725999</v>
      </c>
      <c r="F4081" s="1">
        <v>46198.605787037035</v>
      </c>
      <c r="G4081">
        <v>52.875131642410302</v>
      </c>
      <c r="H4081" t="s">
        <v>35</v>
      </c>
      <c r="J4081" t="s">
        <v>16</v>
      </c>
      <c r="K4081">
        <v>210068.52100135299</v>
      </c>
      <c r="L4081" t="s">
        <v>17</v>
      </c>
      <c r="M4081">
        <v>0</v>
      </c>
      <c r="N4081">
        <v>8.8766144060232005E-2</v>
      </c>
    </row>
    <row r="4082" spans="2:14" x14ac:dyDescent="0.25">
      <c r="B4082" t="s">
        <v>14</v>
      </c>
      <c r="C4082" s="1">
        <v>46198.999988425923</v>
      </c>
      <c r="D4082">
        <v>25.158623315688398</v>
      </c>
      <c r="E4082">
        <v>18646.972597725999</v>
      </c>
      <c r="F4082" s="1">
        <v>46198.605787037035</v>
      </c>
      <c r="G4082">
        <v>52.875131642410302</v>
      </c>
      <c r="H4082" t="s">
        <v>35</v>
      </c>
      <c r="J4082" t="s">
        <v>16</v>
      </c>
      <c r="K4082">
        <v>210068.52100135299</v>
      </c>
      <c r="L4082" t="s">
        <v>17</v>
      </c>
      <c r="M4082">
        <v>0</v>
      </c>
      <c r="N4082">
        <v>8.8766144060232005E-2</v>
      </c>
    </row>
    <row r="4083" spans="2:14" x14ac:dyDescent="0.25">
      <c r="B4083" t="s">
        <v>14</v>
      </c>
      <c r="C4083" s="1">
        <v>46197.999988425923</v>
      </c>
      <c r="D4083">
        <v>25.158623315688398</v>
      </c>
      <c r="E4083">
        <v>21658.095112363899</v>
      </c>
      <c r="F4083" s="1">
        <v>46194.099780092591</v>
      </c>
      <c r="G4083">
        <v>52.875131642410302</v>
      </c>
      <c r="H4083" t="s">
        <v>35</v>
      </c>
      <c r="J4083" t="s">
        <v>16</v>
      </c>
      <c r="K4083">
        <v>210068.52100135299</v>
      </c>
      <c r="L4083" t="s">
        <v>17</v>
      </c>
      <c r="M4083">
        <v>3011.1225146379102</v>
      </c>
      <c r="N4083">
        <v>0.10310014565306699</v>
      </c>
    </row>
    <row r="4084" spans="2:14" x14ac:dyDescent="0.25">
      <c r="B4084" t="s">
        <v>14</v>
      </c>
      <c r="C4084" s="1">
        <v>46196.999988425923</v>
      </c>
      <c r="D4084">
        <v>25.158623315688398</v>
      </c>
      <c r="E4084">
        <v>21658.095112363899</v>
      </c>
      <c r="F4084" s="1">
        <v>46194.099780092591</v>
      </c>
      <c r="G4084">
        <v>52.875131642410302</v>
      </c>
      <c r="H4084" t="s">
        <v>35</v>
      </c>
      <c r="J4084" t="s">
        <v>16</v>
      </c>
      <c r="K4084">
        <v>210068.52100135299</v>
      </c>
      <c r="L4084" t="s">
        <v>17</v>
      </c>
      <c r="M4084">
        <v>0</v>
      </c>
      <c r="N4084">
        <v>0.10310014565306699</v>
      </c>
    </row>
    <row r="4085" spans="2:14" x14ac:dyDescent="0.25">
      <c r="B4085" t="s">
        <v>14</v>
      </c>
      <c r="C4085" s="1">
        <v>46195.999988425923</v>
      </c>
      <c r="D4085">
        <v>25.158623315688398</v>
      </c>
      <c r="E4085">
        <v>21658.095112363899</v>
      </c>
      <c r="F4085" s="1">
        <v>46194.099780092591</v>
      </c>
      <c r="G4085">
        <v>52.875131642410302</v>
      </c>
      <c r="H4085" t="s">
        <v>35</v>
      </c>
      <c r="J4085" t="s">
        <v>16</v>
      </c>
      <c r="K4085">
        <v>210068.52100135299</v>
      </c>
      <c r="L4085" t="s">
        <v>17</v>
      </c>
      <c r="M4085">
        <v>0</v>
      </c>
      <c r="N4085">
        <v>0.10310014565306699</v>
      </c>
    </row>
    <row r="4086" spans="2:14" x14ac:dyDescent="0.25">
      <c r="B4086" t="s">
        <v>14</v>
      </c>
      <c r="C4086" s="1">
        <v>46194.999988425923</v>
      </c>
      <c r="D4086">
        <v>25.158623315688398</v>
      </c>
      <c r="E4086">
        <v>21658.095112363899</v>
      </c>
      <c r="F4086" s="1">
        <v>46194.099780092591</v>
      </c>
      <c r="G4086">
        <v>52.875131642410302</v>
      </c>
      <c r="H4086" t="s">
        <v>35</v>
      </c>
      <c r="J4086" t="s">
        <v>16</v>
      </c>
      <c r="K4086">
        <v>210068.52100135299</v>
      </c>
      <c r="L4086" t="s">
        <v>17</v>
      </c>
      <c r="M4086">
        <v>0</v>
      </c>
      <c r="N4086">
        <v>0.10310014565306699</v>
      </c>
    </row>
    <row r="4087" spans="2:14" x14ac:dyDescent="0.25">
      <c r="B4087" t="s">
        <v>14</v>
      </c>
      <c r="C4087" s="1">
        <v>46193.999988425923</v>
      </c>
      <c r="D4087">
        <v>25.158623315688398</v>
      </c>
      <c r="E4087">
        <v>19203.269204552402</v>
      </c>
      <c r="F4087" s="1">
        <v>46191.606261574074</v>
      </c>
      <c r="G4087">
        <v>52.875131642410302</v>
      </c>
      <c r="H4087" t="s">
        <v>35</v>
      </c>
      <c r="J4087" t="s">
        <v>16</v>
      </c>
      <c r="K4087">
        <v>210068.52100135299</v>
      </c>
      <c r="L4087" t="s">
        <v>17</v>
      </c>
      <c r="M4087">
        <v>-2454.8259078115202</v>
      </c>
      <c r="N4087">
        <v>9.1414311449494495E-2</v>
      </c>
    </row>
    <row r="4088" spans="2:14" x14ac:dyDescent="0.25">
      <c r="B4088" t="s">
        <v>14</v>
      </c>
      <c r="C4088" s="1">
        <v>46192.999988425923</v>
      </c>
      <c r="D4088">
        <v>25.158623315688398</v>
      </c>
      <c r="E4088">
        <v>19203.269204552402</v>
      </c>
      <c r="F4088" s="1">
        <v>46191.606261574074</v>
      </c>
      <c r="G4088">
        <v>52.875131642410302</v>
      </c>
      <c r="H4088" t="s">
        <v>35</v>
      </c>
      <c r="J4088" t="s">
        <v>16</v>
      </c>
      <c r="K4088">
        <v>210068.52100135299</v>
      </c>
      <c r="L4088" t="s">
        <v>17</v>
      </c>
      <c r="M4088">
        <v>0</v>
      </c>
      <c r="N4088">
        <v>9.1414311449494495E-2</v>
      </c>
    </row>
    <row r="4089" spans="2:14" x14ac:dyDescent="0.25">
      <c r="B4089" t="s">
        <v>14</v>
      </c>
      <c r="C4089" s="1">
        <v>46191.999988425923</v>
      </c>
      <c r="D4089">
        <v>25.158623315688398</v>
      </c>
      <c r="E4089">
        <v>19203.269204552402</v>
      </c>
      <c r="F4089" s="1">
        <v>46191.606261574074</v>
      </c>
      <c r="G4089">
        <v>52.875131642410302</v>
      </c>
      <c r="H4089" t="s">
        <v>35</v>
      </c>
      <c r="J4089" t="s">
        <v>16</v>
      </c>
      <c r="K4089">
        <v>210068.52100135299</v>
      </c>
      <c r="L4089" t="s">
        <v>17</v>
      </c>
      <c r="M4089">
        <v>0</v>
      </c>
      <c r="N4089">
        <v>9.1414311449494495E-2</v>
      </c>
    </row>
    <row r="4090" spans="2:14" x14ac:dyDescent="0.25">
      <c r="B4090" t="s">
        <v>14</v>
      </c>
      <c r="C4090" s="1">
        <v>46190.999988425923</v>
      </c>
      <c r="D4090">
        <v>25.158623315688398</v>
      </c>
      <c r="E4090">
        <v>22191.801520634901</v>
      </c>
      <c r="F4090" s="1">
        <v>46189.099270833336</v>
      </c>
      <c r="G4090">
        <v>52.875131642410302</v>
      </c>
      <c r="H4090" t="s">
        <v>35</v>
      </c>
      <c r="J4090" t="s">
        <v>16</v>
      </c>
      <c r="K4090">
        <v>210068.52100135299</v>
      </c>
      <c r="L4090" t="s">
        <v>17</v>
      </c>
      <c r="M4090">
        <v>2988.5323160825001</v>
      </c>
      <c r="N4090">
        <v>0.105640775756649</v>
      </c>
    </row>
    <row r="4091" spans="2:14" x14ac:dyDescent="0.25">
      <c r="B4091" t="s">
        <v>14</v>
      </c>
      <c r="C4091" s="1">
        <v>46189.999988425923</v>
      </c>
      <c r="D4091">
        <v>25.158623315688398</v>
      </c>
      <c r="E4091">
        <v>22191.801520634901</v>
      </c>
      <c r="F4091" s="1">
        <v>46189.099270833336</v>
      </c>
      <c r="G4091">
        <v>52.875131642410302</v>
      </c>
      <c r="H4091" t="s">
        <v>35</v>
      </c>
      <c r="J4091" t="s">
        <v>16</v>
      </c>
      <c r="K4091">
        <v>210068.52100135299</v>
      </c>
      <c r="L4091" t="s">
        <v>17</v>
      </c>
      <c r="M4091">
        <v>0</v>
      </c>
      <c r="N4091">
        <v>0.105640775756649</v>
      </c>
    </row>
    <row r="4092" spans="2:14" x14ac:dyDescent="0.25">
      <c r="B4092" t="s">
        <v>14</v>
      </c>
      <c r="C4092" s="1">
        <v>46188.999988425923</v>
      </c>
      <c r="D4092">
        <v>25.158623315688398</v>
      </c>
      <c r="E4092">
        <v>19461.936205193098</v>
      </c>
      <c r="F4092" s="1">
        <v>46186.60564814815</v>
      </c>
      <c r="G4092">
        <v>52.875131642410302</v>
      </c>
      <c r="H4092" t="s">
        <v>35</v>
      </c>
      <c r="J4092" t="s">
        <v>16</v>
      </c>
      <c r="K4092">
        <v>210068.52100135299</v>
      </c>
      <c r="L4092" t="s">
        <v>17</v>
      </c>
      <c r="M4092">
        <v>-2729.8653154417102</v>
      </c>
      <c r="N4092">
        <v>9.2645657295163303E-2</v>
      </c>
    </row>
    <row r="4093" spans="2:14" x14ac:dyDescent="0.25">
      <c r="B4093" t="s">
        <v>14</v>
      </c>
      <c r="C4093" s="1">
        <v>46187.999988425923</v>
      </c>
      <c r="D4093">
        <v>25.158623315688398</v>
      </c>
      <c r="E4093">
        <v>19461.936205193098</v>
      </c>
      <c r="F4093" s="1">
        <v>46186.60564814815</v>
      </c>
      <c r="G4093">
        <v>52.875131642410302</v>
      </c>
      <c r="H4093" t="s">
        <v>35</v>
      </c>
      <c r="J4093" t="s">
        <v>16</v>
      </c>
      <c r="K4093">
        <v>210068.52100135299</v>
      </c>
      <c r="L4093" t="s">
        <v>17</v>
      </c>
      <c r="M4093">
        <v>0</v>
      </c>
      <c r="N4093">
        <v>9.2645657295163303E-2</v>
      </c>
    </row>
    <row r="4094" spans="2:14" x14ac:dyDescent="0.25">
      <c r="B4094" t="s">
        <v>14</v>
      </c>
      <c r="C4094" s="1">
        <v>46186.999988425923</v>
      </c>
      <c r="D4094">
        <v>25.158623315688398</v>
      </c>
      <c r="E4094">
        <v>19461.936205193098</v>
      </c>
      <c r="F4094" s="1">
        <v>46186.60564814815</v>
      </c>
      <c r="G4094">
        <v>52.875131642410302</v>
      </c>
      <c r="H4094" t="s">
        <v>35</v>
      </c>
      <c r="J4094" t="s">
        <v>16</v>
      </c>
      <c r="K4094">
        <v>210068.52100135299</v>
      </c>
      <c r="L4094" t="s">
        <v>17</v>
      </c>
      <c r="M4094">
        <v>0</v>
      </c>
      <c r="N4094">
        <v>9.2645657295163303E-2</v>
      </c>
    </row>
    <row r="4095" spans="2:14" x14ac:dyDescent="0.25">
      <c r="B4095" t="s">
        <v>14</v>
      </c>
      <c r="C4095" s="1">
        <v>46185.999988425923</v>
      </c>
      <c r="D4095">
        <v>25.158623315688398</v>
      </c>
      <c r="E4095">
        <v>22493.164019136799</v>
      </c>
      <c r="F4095" s="1">
        <v>46182.099780092591</v>
      </c>
      <c r="G4095">
        <v>52.875131642410302</v>
      </c>
      <c r="H4095" t="s">
        <v>35</v>
      </c>
      <c r="J4095" t="s">
        <v>16</v>
      </c>
      <c r="K4095">
        <v>210068.52100135299</v>
      </c>
      <c r="L4095" t="s">
        <v>17</v>
      </c>
      <c r="M4095">
        <v>3031.2278139436598</v>
      </c>
      <c r="N4095">
        <v>0.107075367179797</v>
      </c>
    </row>
    <row r="4096" spans="2:14" x14ac:dyDescent="0.25">
      <c r="B4096" t="s">
        <v>14</v>
      </c>
      <c r="C4096" s="1">
        <v>46184.999988425923</v>
      </c>
      <c r="D4096">
        <v>25.158623315688398</v>
      </c>
      <c r="E4096">
        <v>22493.164019136799</v>
      </c>
      <c r="F4096" s="1">
        <v>46182.099780092591</v>
      </c>
      <c r="G4096">
        <v>52.875131642410302</v>
      </c>
      <c r="H4096" t="s">
        <v>35</v>
      </c>
      <c r="J4096" t="s">
        <v>16</v>
      </c>
      <c r="K4096">
        <v>210068.52100135299</v>
      </c>
      <c r="L4096" t="s">
        <v>17</v>
      </c>
      <c r="M4096">
        <v>0</v>
      </c>
      <c r="N4096">
        <v>0.107075367179797</v>
      </c>
    </row>
    <row r="4097" spans="2:14" x14ac:dyDescent="0.25">
      <c r="B4097" t="s">
        <v>14</v>
      </c>
      <c r="C4097" s="1">
        <v>46183.999988425923</v>
      </c>
      <c r="D4097">
        <v>25.158623315688398</v>
      </c>
      <c r="E4097">
        <v>22493.164019136799</v>
      </c>
      <c r="F4097" s="1">
        <v>46182.099780092591</v>
      </c>
      <c r="G4097">
        <v>52.875131642410302</v>
      </c>
      <c r="H4097" t="s">
        <v>35</v>
      </c>
      <c r="J4097" t="s">
        <v>16</v>
      </c>
      <c r="K4097">
        <v>210068.52100135299</v>
      </c>
      <c r="L4097" t="s">
        <v>17</v>
      </c>
      <c r="M4097">
        <v>0</v>
      </c>
      <c r="N4097">
        <v>0.107075367179797</v>
      </c>
    </row>
    <row r="4098" spans="2:14" x14ac:dyDescent="0.25">
      <c r="B4098" t="s">
        <v>14</v>
      </c>
      <c r="C4098" s="1">
        <v>46182.999988425923</v>
      </c>
      <c r="D4098">
        <v>25.158623315688398</v>
      </c>
      <c r="E4098">
        <v>22493.164019136799</v>
      </c>
      <c r="F4098" s="1">
        <v>46182.099780092591</v>
      </c>
      <c r="G4098">
        <v>52.875131642410302</v>
      </c>
      <c r="H4098" t="s">
        <v>35</v>
      </c>
      <c r="J4098" t="s">
        <v>16</v>
      </c>
      <c r="K4098">
        <v>210068.52100135299</v>
      </c>
      <c r="L4098" t="s">
        <v>17</v>
      </c>
      <c r="M4098">
        <v>0</v>
      </c>
      <c r="N4098">
        <v>0.107075367179797</v>
      </c>
    </row>
    <row r="4099" spans="2:14" x14ac:dyDescent="0.25">
      <c r="B4099" t="s">
        <v>14</v>
      </c>
      <c r="C4099" s="1">
        <v>46181.999988425923</v>
      </c>
      <c r="D4099">
        <v>25.158623315688398</v>
      </c>
      <c r="E4099">
        <v>19701.452205636899</v>
      </c>
      <c r="F4099" s="1">
        <v>46179.606273148151</v>
      </c>
      <c r="G4099">
        <v>52.875131642410302</v>
      </c>
      <c r="H4099" t="s">
        <v>35</v>
      </c>
      <c r="J4099" t="s">
        <v>16</v>
      </c>
      <c r="K4099">
        <v>210068.52100135299</v>
      </c>
      <c r="L4099" t="s">
        <v>17</v>
      </c>
      <c r="M4099">
        <v>-2791.71181349988</v>
      </c>
      <c r="N4099">
        <v>9.3785837648231202E-2</v>
      </c>
    </row>
    <row r="4100" spans="2:14" x14ac:dyDescent="0.25">
      <c r="B4100" t="s">
        <v>14</v>
      </c>
      <c r="C4100" s="1">
        <v>46180.999988425923</v>
      </c>
      <c r="D4100">
        <v>25.158623315688398</v>
      </c>
      <c r="E4100">
        <v>19701.452205636899</v>
      </c>
      <c r="F4100" s="1">
        <v>46179.606273148151</v>
      </c>
      <c r="G4100">
        <v>52.875131642410302</v>
      </c>
      <c r="H4100" t="s">
        <v>35</v>
      </c>
      <c r="J4100" t="s">
        <v>16</v>
      </c>
      <c r="K4100">
        <v>210068.52100135299</v>
      </c>
      <c r="L4100" t="s">
        <v>17</v>
      </c>
      <c r="M4100">
        <v>0</v>
      </c>
      <c r="N4100">
        <v>9.3785837648231202E-2</v>
      </c>
    </row>
    <row r="4101" spans="2:14" x14ac:dyDescent="0.25">
      <c r="B4101" t="s">
        <v>14</v>
      </c>
      <c r="C4101" s="1">
        <v>46179.999988425923</v>
      </c>
      <c r="D4101">
        <v>25.158623315688398</v>
      </c>
      <c r="E4101">
        <v>19701.452205636899</v>
      </c>
      <c r="F4101" s="1">
        <v>46179.606273148151</v>
      </c>
      <c r="G4101">
        <v>52.875131642410302</v>
      </c>
      <c r="H4101" t="s">
        <v>35</v>
      </c>
      <c r="J4101" t="s">
        <v>16</v>
      </c>
      <c r="K4101">
        <v>210068.52100135299</v>
      </c>
      <c r="L4101" t="s">
        <v>17</v>
      </c>
      <c r="M4101">
        <v>0</v>
      </c>
      <c r="N4101">
        <v>9.3785837648231202E-2</v>
      </c>
    </row>
    <row r="4102" spans="2:14" x14ac:dyDescent="0.25">
      <c r="B4102" t="s">
        <v>14</v>
      </c>
      <c r="C4102" s="1">
        <v>46178.999988425923</v>
      </c>
      <c r="D4102">
        <v>25.158623315688398</v>
      </c>
      <c r="E4102">
        <v>21560.736569231602</v>
      </c>
      <c r="F4102" s="1">
        <v>46177.099259259259</v>
      </c>
      <c r="G4102">
        <v>52.875131642410302</v>
      </c>
      <c r="H4102" t="s">
        <v>35</v>
      </c>
      <c r="J4102" t="s">
        <v>16</v>
      </c>
      <c r="K4102">
        <v>210068.52100135299</v>
      </c>
      <c r="L4102" t="s">
        <v>17</v>
      </c>
      <c r="M4102">
        <v>1859.2843635946599</v>
      </c>
      <c r="N4102">
        <v>0.10263668476579001</v>
      </c>
    </row>
    <row r="4103" spans="2:14" x14ac:dyDescent="0.25">
      <c r="B4103" t="s">
        <v>14</v>
      </c>
      <c r="C4103" s="1">
        <v>46177.999988425923</v>
      </c>
      <c r="D4103">
        <v>25.158623315688398</v>
      </c>
      <c r="E4103">
        <v>21560.736569231602</v>
      </c>
      <c r="F4103" s="1">
        <v>46177.099259259259</v>
      </c>
      <c r="G4103">
        <v>52.875131642410302</v>
      </c>
      <c r="H4103" t="s">
        <v>35</v>
      </c>
      <c r="J4103" t="s">
        <v>16</v>
      </c>
      <c r="K4103">
        <v>210068.52100135299</v>
      </c>
      <c r="L4103" t="s">
        <v>17</v>
      </c>
      <c r="M4103">
        <v>0</v>
      </c>
      <c r="N4103">
        <v>0.10263668476579001</v>
      </c>
    </row>
    <row r="4104" spans="2:14" x14ac:dyDescent="0.25">
      <c r="B4104" t="s">
        <v>14</v>
      </c>
      <c r="C4104" s="1">
        <v>46176.999988425923</v>
      </c>
      <c r="D4104">
        <v>25.158623315688398</v>
      </c>
      <c r="E4104">
        <v>21390.5028496374</v>
      </c>
      <c r="F4104" s="1">
        <v>46176.099143518521</v>
      </c>
      <c r="G4104">
        <v>52.875131642410302</v>
      </c>
      <c r="H4104" t="s">
        <v>35</v>
      </c>
      <c r="J4104" t="s">
        <v>16</v>
      </c>
      <c r="K4104">
        <v>210068.52100135299</v>
      </c>
      <c r="L4104" t="s">
        <v>17</v>
      </c>
      <c r="M4104">
        <v>-170.23371959419401</v>
      </c>
      <c r="N4104">
        <v>0.1018263124226</v>
      </c>
    </row>
    <row r="4105" spans="2:14" x14ac:dyDescent="0.25">
      <c r="B4105" t="s">
        <v>14</v>
      </c>
      <c r="C4105" s="1">
        <v>46175.999988425923</v>
      </c>
      <c r="D4105">
        <v>25.158623315688398</v>
      </c>
      <c r="E4105">
        <v>18268.145558037999</v>
      </c>
      <c r="F4105" s="1">
        <v>46173.605520833335</v>
      </c>
      <c r="G4105">
        <v>52.875131642410302</v>
      </c>
      <c r="H4105" t="s">
        <v>35</v>
      </c>
      <c r="J4105" t="s">
        <v>16</v>
      </c>
      <c r="K4105">
        <v>210068.52100135299</v>
      </c>
      <c r="L4105" t="s">
        <v>17</v>
      </c>
      <c r="M4105">
        <v>-3122.35729159941</v>
      </c>
      <c r="N4105">
        <v>8.6962794191902407E-2</v>
      </c>
    </row>
    <row r="4106" spans="2:14" x14ac:dyDescent="0.25">
      <c r="B4106" t="s">
        <v>14</v>
      </c>
      <c r="C4106" s="1">
        <v>46174.999988425923</v>
      </c>
      <c r="D4106">
        <v>25.158623315688398</v>
      </c>
      <c r="E4106">
        <v>18268.145558037999</v>
      </c>
      <c r="F4106" s="1">
        <v>46173.605520833335</v>
      </c>
      <c r="G4106">
        <v>52.875131642410302</v>
      </c>
      <c r="H4106" t="s">
        <v>35</v>
      </c>
      <c r="J4106" t="s">
        <v>16</v>
      </c>
      <c r="K4106">
        <v>210068.52100135299</v>
      </c>
      <c r="L4106" t="s">
        <v>17</v>
      </c>
      <c r="M4106">
        <v>0</v>
      </c>
      <c r="N4106">
        <v>8.6962794191902407E-2</v>
      </c>
    </row>
    <row r="4107" spans="2:14" x14ac:dyDescent="0.25">
      <c r="B4107" t="s">
        <v>14</v>
      </c>
      <c r="C4107" s="1">
        <v>46173.999988425923</v>
      </c>
      <c r="D4107">
        <v>25.158623315688398</v>
      </c>
      <c r="E4107">
        <v>18268.145558037999</v>
      </c>
      <c r="F4107" s="1">
        <v>46173.605520833335</v>
      </c>
      <c r="G4107">
        <v>52.875131642410302</v>
      </c>
      <c r="H4107" t="s">
        <v>35</v>
      </c>
      <c r="J4107" t="s">
        <v>16</v>
      </c>
      <c r="K4107">
        <v>210068.52100135299</v>
      </c>
      <c r="L4107" t="s">
        <v>17</v>
      </c>
      <c r="M4107">
        <v>0</v>
      </c>
      <c r="N4107">
        <v>8.6962794191902407E-2</v>
      </c>
    </row>
    <row r="4108" spans="2:14" x14ac:dyDescent="0.25">
      <c r="B4108" t="s">
        <v>14</v>
      </c>
      <c r="C4108" s="1">
        <v>46172.999988425923</v>
      </c>
      <c r="D4108">
        <v>25.158623315688398</v>
      </c>
      <c r="E4108">
        <v>21873.083083650399</v>
      </c>
      <c r="F4108" s="1">
        <v>46170.099791666667</v>
      </c>
      <c r="G4108">
        <v>52.875131642410302</v>
      </c>
      <c r="H4108" t="s">
        <v>35</v>
      </c>
      <c r="J4108" t="s">
        <v>16</v>
      </c>
      <c r="K4108">
        <v>210068.52100135299</v>
      </c>
      <c r="L4108" t="s">
        <v>17</v>
      </c>
      <c r="M4108">
        <v>3604.9375256123799</v>
      </c>
      <c r="N4108">
        <v>0.10412356396563301</v>
      </c>
    </row>
    <row r="4109" spans="2:14" x14ac:dyDescent="0.25">
      <c r="B4109" t="s">
        <v>14</v>
      </c>
      <c r="C4109" s="1">
        <v>46171.999988425923</v>
      </c>
      <c r="D4109">
        <v>25.158623315688398</v>
      </c>
      <c r="E4109">
        <v>21873.083083650399</v>
      </c>
      <c r="F4109" s="1">
        <v>46170.099791666667</v>
      </c>
      <c r="G4109">
        <v>52.875131642410302</v>
      </c>
      <c r="H4109" t="s">
        <v>35</v>
      </c>
      <c r="J4109" t="s">
        <v>16</v>
      </c>
      <c r="K4109">
        <v>210068.52100135299</v>
      </c>
      <c r="L4109" t="s">
        <v>17</v>
      </c>
      <c r="M4109">
        <v>0</v>
      </c>
      <c r="N4109">
        <v>0.10412356396563301</v>
      </c>
    </row>
    <row r="4110" spans="2:14" x14ac:dyDescent="0.25">
      <c r="B4110" t="s">
        <v>14</v>
      </c>
      <c r="C4110" s="1">
        <v>46170.999988425923</v>
      </c>
      <c r="D4110">
        <v>25.158623315688398</v>
      </c>
      <c r="E4110">
        <v>21873.083083650399</v>
      </c>
      <c r="F4110" s="1">
        <v>46170.099791666667</v>
      </c>
      <c r="G4110">
        <v>52.875131642410302</v>
      </c>
      <c r="H4110" t="s">
        <v>35</v>
      </c>
      <c r="J4110" t="s">
        <v>16</v>
      </c>
      <c r="K4110">
        <v>210068.52100135299</v>
      </c>
      <c r="L4110" t="s">
        <v>17</v>
      </c>
      <c r="M4110">
        <v>0</v>
      </c>
      <c r="N4110">
        <v>0.10412356396563301</v>
      </c>
    </row>
    <row r="4111" spans="2:14" x14ac:dyDescent="0.25">
      <c r="B4111" t="s">
        <v>14</v>
      </c>
      <c r="C4111" s="1">
        <v>46169.999988425923</v>
      </c>
      <c r="D4111">
        <v>25.158623315688398</v>
      </c>
      <c r="E4111">
        <v>19809.852648664099</v>
      </c>
      <c r="F4111" s="1">
        <v>46167.60628472222</v>
      </c>
      <c r="G4111">
        <v>52.875131642410302</v>
      </c>
      <c r="H4111" t="s">
        <v>35</v>
      </c>
      <c r="J4111" t="s">
        <v>16</v>
      </c>
      <c r="K4111">
        <v>210068.52100135299</v>
      </c>
      <c r="L4111" t="s">
        <v>17</v>
      </c>
      <c r="M4111">
        <v>-2063.2304349862602</v>
      </c>
      <c r="N4111">
        <v>9.4301861860285704E-2</v>
      </c>
    </row>
    <row r="4112" spans="2:14" x14ac:dyDescent="0.25">
      <c r="B4112" t="s">
        <v>14</v>
      </c>
      <c r="C4112" s="1">
        <v>46168.999988425923</v>
      </c>
      <c r="D4112">
        <v>25.158623315688398</v>
      </c>
      <c r="E4112">
        <v>19809.852648664099</v>
      </c>
      <c r="F4112" s="1">
        <v>46167.60628472222</v>
      </c>
      <c r="G4112">
        <v>52.875131642410302</v>
      </c>
      <c r="H4112" t="s">
        <v>35</v>
      </c>
      <c r="J4112" t="s">
        <v>16</v>
      </c>
      <c r="K4112">
        <v>210068.52100135299</v>
      </c>
      <c r="L4112" t="s">
        <v>17</v>
      </c>
      <c r="M4112">
        <v>0</v>
      </c>
      <c r="N4112">
        <v>9.4301861860285704E-2</v>
      </c>
    </row>
    <row r="4113" spans="2:14" x14ac:dyDescent="0.25">
      <c r="B4113" t="s">
        <v>14</v>
      </c>
      <c r="C4113" s="1">
        <v>46167.999988425923</v>
      </c>
      <c r="D4113">
        <v>25.158623315688398</v>
      </c>
      <c r="E4113">
        <v>19809.852648664099</v>
      </c>
      <c r="F4113" s="1">
        <v>46167.60628472222</v>
      </c>
      <c r="G4113">
        <v>52.875131642410302</v>
      </c>
      <c r="H4113" t="s">
        <v>35</v>
      </c>
      <c r="J4113" t="s">
        <v>16</v>
      </c>
      <c r="K4113">
        <v>210068.52100135299</v>
      </c>
      <c r="L4113" t="s">
        <v>17</v>
      </c>
      <c r="M4113">
        <v>0</v>
      </c>
      <c r="N4113">
        <v>9.4301861860285704E-2</v>
      </c>
    </row>
    <row r="4114" spans="2:14" x14ac:dyDescent="0.25">
      <c r="B4114" t="s">
        <v>14</v>
      </c>
      <c r="C4114" s="1">
        <v>46166.999988425923</v>
      </c>
      <c r="D4114">
        <v>25.158623315688398</v>
      </c>
      <c r="E4114">
        <v>21991.0743127981</v>
      </c>
      <c r="F4114" s="1">
        <v>46165.099259259259</v>
      </c>
      <c r="G4114">
        <v>52.875131642410302</v>
      </c>
      <c r="H4114" t="s">
        <v>35</v>
      </c>
      <c r="J4114" t="s">
        <v>16</v>
      </c>
      <c r="K4114">
        <v>210068.52100135299</v>
      </c>
      <c r="L4114" t="s">
        <v>17</v>
      </c>
      <c r="M4114">
        <v>2181.2216641340301</v>
      </c>
      <c r="N4114">
        <v>0.104685243690826</v>
      </c>
    </row>
    <row r="4115" spans="2:14" x14ac:dyDescent="0.25">
      <c r="B4115" t="s">
        <v>14</v>
      </c>
      <c r="C4115" s="1">
        <v>46165.999988425923</v>
      </c>
      <c r="D4115">
        <v>25.158623315688398</v>
      </c>
      <c r="E4115">
        <v>21991.0743127981</v>
      </c>
      <c r="F4115" s="1">
        <v>46165.099259259259</v>
      </c>
      <c r="G4115">
        <v>52.875131642410302</v>
      </c>
      <c r="H4115" t="s">
        <v>35</v>
      </c>
      <c r="J4115" t="s">
        <v>16</v>
      </c>
      <c r="K4115">
        <v>210068.52100135299</v>
      </c>
      <c r="L4115" t="s">
        <v>17</v>
      </c>
      <c r="M4115">
        <v>0</v>
      </c>
      <c r="N4115">
        <v>0.104685243690826</v>
      </c>
    </row>
    <row r="4116" spans="2:14" x14ac:dyDescent="0.25">
      <c r="B4116" t="s">
        <v>14</v>
      </c>
      <c r="C4116" s="1">
        <v>46164.999988425923</v>
      </c>
      <c r="D4116">
        <v>25.158623315688398</v>
      </c>
      <c r="E4116">
        <v>20589.033721843101</v>
      </c>
      <c r="F4116" s="1">
        <v>46164.099143518521</v>
      </c>
      <c r="G4116">
        <v>52.875131642410302</v>
      </c>
      <c r="H4116" t="s">
        <v>35</v>
      </c>
      <c r="J4116" t="s">
        <v>16</v>
      </c>
      <c r="K4116">
        <v>210068.52100135299</v>
      </c>
      <c r="L4116" t="s">
        <v>17</v>
      </c>
      <c r="M4116">
        <v>-1402.04059095503</v>
      </c>
      <c r="N4116">
        <v>9.8011037654282804E-2</v>
      </c>
    </row>
    <row r="4117" spans="2:14" x14ac:dyDescent="0.25">
      <c r="B4117" t="s">
        <v>14</v>
      </c>
      <c r="C4117" s="1">
        <v>46163.999988425923</v>
      </c>
      <c r="D4117">
        <v>25.158623315688398</v>
      </c>
      <c r="E4117">
        <v>18994.9123066301</v>
      </c>
      <c r="F4117" s="1">
        <v>46162.605624999997</v>
      </c>
      <c r="G4117">
        <v>52.875131642410302</v>
      </c>
      <c r="H4117" t="s">
        <v>35</v>
      </c>
      <c r="J4117" t="s">
        <v>16</v>
      </c>
      <c r="K4117">
        <v>210068.52100135299</v>
      </c>
      <c r="L4117" t="s">
        <v>17</v>
      </c>
      <c r="M4117">
        <v>-1594.1214152130101</v>
      </c>
      <c r="N4117">
        <v>9.0422459376994294E-2</v>
      </c>
    </row>
    <row r="4118" spans="2:14" x14ac:dyDescent="0.25">
      <c r="B4118" t="s">
        <v>14</v>
      </c>
      <c r="C4118" s="1">
        <v>46162.999988425923</v>
      </c>
      <c r="D4118">
        <v>25.158623315688398</v>
      </c>
      <c r="E4118">
        <v>18994.9123066301</v>
      </c>
      <c r="F4118" s="1">
        <v>46162.605624999997</v>
      </c>
      <c r="G4118">
        <v>52.875131642410302</v>
      </c>
      <c r="H4118" t="s">
        <v>35</v>
      </c>
      <c r="J4118" t="s">
        <v>16</v>
      </c>
      <c r="K4118">
        <v>210068.52100135299</v>
      </c>
      <c r="L4118" t="s">
        <v>17</v>
      </c>
      <c r="M4118">
        <v>0</v>
      </c>
      <c r="N4118">
        <v>9.0422459376994294E-2</v>
      </c>
    </row>
    <row r="4119" spans="2:14" x14ac:dyDescent="0.25">
      <c r="B4119" t="s">
        <v>14</v>
      </c>
      <c r="C4119" s="1">
        <v>46161.999988425923</v>
      </c>
      <c r="D4119">
        <v>25.158623315688398</v>
      </c>
      <c r="E4119">
        <v>18657.9293809872</v>
      </c>
      <c r="F4119" s="1">
        <v>46161.605509259258</v>
      </c>
      <c r="G4119">
        <v>52.875131642410302</v>
      </c>
      <c r="H4119" t="s">
        <v>35</v>
      </c>
      <c r="J4119" t="s">
        <v>16</v>
      </c>
      <c r="K4119">
        <v>210068.52100135299</v>
      </c>
      <c r="L4119" t="s">
        <v>17</v>
      </c>
      <c r="M4119">
        <v>-336.982925642922</v>
      </c>
      <c r="N4119">
        <v>8.8818302199914198E-2</v>
      </c>
    </row>
    <row r="4120" spans="2:14" x14ac:dyDescent="0.25">
      <c r="B4120" t="s">
        <v>14</v>
      </c>
      <c r="C4120" s="1">
        <v>46160.999988425923</v>
      </c>
      <c r="D4120">
        <v>25.158623315688398</v>
      </c>
      <c r="E4120">
        <v>23106.319988333202</v>
      </c>
      <c r="F4120" s="1">
        <v>46158.099791666667</v>
      </c>
      <c r="G4120">
        <v>52.875131642410302</v>
      </c>
      <c r="H4120" t="s">
        <v>35</v>
      </c>
      <c r="J4120" t="s">
        <v>16</v>
      </c>
      <c r="K4120">
        <v>210068.52100135299</v>
      </c>
      <c r="L4120" t="s">
        <v>17</v>
      </c>
      <c r="M4120">
        <v>4448.3906073460203</v>
      </c>
      <c r="N4120">
        <v>0.10999420512026301</v>
      </c>
    </row>
    <row r="4121" spans="2:14" x14ac:dyDescent="0.25">
      <c r="B4121" t="s">
        <v>14</v>
      </c>
      <c r="C4121" s="1">
        <v>46159.999988425923</v>
      </c>
      <c r="D4121">
        <v>25.158623315688398</v>
      </c>
      <c r="E4121">
        <v>23106.319988333202</v>
      </c>
      <c r="F4121" s="1">
        <v>46158.099791666667</v>
      </c>
      <c r="G4121">
        <v>52.875131642410302</v>
      </c>
      <c r="H4121" t="s">
        <v>35</v>
      </c>
      <c r="J4121" t="s">
        <v>16</v>
      </c>
      <c r="K4121">
        <v>210068.52100135299</v>
      </c>
      <c r="L4121" t="s">
        <v>17</v>
      </c>
      <c r="M4121">
        <v>0</v>
      </c>
      <c r="N4121">
        <v>0.10999420512026301</v>
      </c>
    </row>
    <row r="4122" spans="2:14" x14ac:dyDescent="0.25">
      <c r="B4122" t="s">
        <v>14</v>
      </c>
      <c r="C4122" s="1">
        <v>46158.999988425923</v>
      </c>
      <c r="D4122">
        <v>25.158623315688398</v>
      </c>
      <c r="E4122">
        <v>23106.319988333202</v>
      </c>
      <c r="F4122" s="1">
        <v>46158.099791666667</v>
      </c>
      <c r="G4122">
        <v>52.875131642410302</v>
      </c>
      <c r="H4122" t="s">
        <v>35</v>
      </c>
      <c r="J4122" t="s">
        <v>16</v>
      </c>
      <c r="K4122">
        <v>210068.52100135299</v>
      </c>
      <c r="L4122" t="s">
        <v>17</v>
      </c>
      <c r="M4122">
        <v>0</v>
      </c>
      <c r="N4122">
        <v>0.10999420512026301</v>
      </c>
    </row>
    <row r="4123" spans="2:14" x14ac:dyDescent="0.25">
      <c r="B4123" t="s">
        <v>14</v>
      </c>
      <c r="C4123" s="1">
        <v>46157.999988425923</v>
      </c>
      <c r="D4123">
        <v>25.158623315688398</v>
      </c>
      <c r="E4123">
        <v>19073.892152512701</v>
      </c>
      <c r="F4123" s="1">
        <v>46155.60628472222</v>
      </c>
      <c r="G4123">
        <v>52.875131642410302</v>
      </c>
      <c r="H4123" t="s">
        <v>35</v>
      </c>
      <c r="J4123" t="s">
        <v>16</v>
      </c>
      <c r="K4123">
        <v>210068.52100135299</v>
      </c>
      <c r="L4123" t="s">
        <v>17</v>
      </c>
      <c r="M4123">
        <v>-4032.4278358205302</v>
      </c>
      <c r="N4123">
        <v>9.0798431205167701E-2</v>
      </c>
    </row>
    <row r="4124" spans="2:14" x14ac:dyDescent="0.25">
      <c r="B4124" t="s">
        <v>14</v>
      </c>
      <c r="C4124" s="1">
        <v>46156.999988425923</v>
      </c>
      <c r="D4124">
        <v>25.158623315688398</v>
      </c>
      <c r="E4124">
        <v>19073.892152512701</v>
      </c>
      <c r="F4124" s="1">
        <v>46155.60628472222</v>
      </c>
      <c r="G4124">
        <v>52.875131642410302</v>
      </c>
      <c r="H4124" t="s">
        <v>35</v>
      </c>
      <c r="J4124" t="s">
        <v>16</v>
      </c>
      <c r="K4124">
        <v>210068.52100135299</v>
      </c>
      <c r="L4124" t="s">
        <v>17</v>
      </c>
      <c r="M4124">
        <v>0</v>
      </c>
      <c r="N4124">
        <v>9.0798431205167701E-2</v>
      </c>
    </row>
    <row r="4125" spans="2:14" x14ac:dyDescent="0.25">
      <c r="B4125" t="s">
        <v>14</v>
      </c>
      <c r="C4125" s="1">
        <v>46155.999988425923</v>
      </c>
      <c r="D4125">
        <v>25.158623315688398</v>
      </c>
      <c r="E4125">
        <v>19073.892152512701</v>
      </c>
      <c r="F4125" s="1">
        <v>46155.60628472222</v>
      </c>
      <c r="G4125">
        <v>52.875131642410302</v>
      </c>
      <c r="H4125" t="s">
        <v>35</v>
      </c>
      <c r="J4125" t="s">
        <v>16</v>
      </c>
      <c r="K4125">
        <v>210068.52100135299</v>
      </c>
      <c r="L4125" t="s">
        <v>17</v>
      </c>
      <c r="M4125">
        <v>0</v>
      </c>
      <c r="N4125">
        <v>9.0798431205167701E-2</v>
      </c>
    </row>
    <row r="4126" spans="2:14" x14ac:dyDescent="0.25">
      <c r="B4126" t="s">
        <v>14</v>
      </c>
      <c r="C4126" s="1">
        <v>46154.999988425923</v>
      </c>
      <c r="D4126">
        <v>25.158623315688398</v>
      </c>
      <c r="E4126">
        <v>21736.34057697</v>
      </c>
      <c r="F4126" s="1">
        <v>46153.099247685182</v>
      </c>
      <c r="G4126">
        <v>52.875131642410302</v>
      </c>
      <c r="H4126" t="s">
        <v>35</v>
      </c>
      <c r="J4126" t="s">
        <v>16</v>
      </c>
      <c r="K4126">
        <v>210068.52100135299</v>
      </c>
      <c r="L4126" t="s">
        <v>17</v>
      </c>
      <c r="M4126">
        <v>2662.44842445736</v>
      </c>
      <c r="N4126">
        <v>0.10347262156822599</v>
      </c>
    </row>
    <row r="4127" spans="2:14" x14ac:dyDescent="0.25">
      <c r="B4127" t="s">
        <v>14</v>
      </c>
      <c r="C4127" s="1">
        <v>46153.999988425923</v>
      </c>
      <c r="D4127">
        <v>25.158623315688398</v>
      </c>
      <c r="E4127">
        <v>21736.34057697</v>
      </c>
      <c r="F4127" s="1">
        <v>46153.099247685182</v>
      </c>
      <c r="G4127">
        <v>52.875131642410302</v>
      </c>
      <c r="H4127" t="s">
        <v>35</v>
      </c>
      <c r="J4127" t="s">
        <v>16</v>
      </c>
      <c r="K4127">
        <v>210068.52100135299</v>
      </c>
      <c r="L4127" t="s">
        <v>17</v>
      </c>
      <c r="M4127">
        <v>0</v>
      </c>
      <c r="N4127">
        <v>0.10347262156822599</v>
      </c>
    </row>
    <row r="4128" spans="2:14" x14ac:dyDescent="0.25">
      <c r="B4128" t="s">
        <v>14</v>
      </c>
      <c r="C4128" s="1">
        <v>46152.999988425923</v>
      </c>
      <c r="D4128">
        <v>25.158623315688398</v>
      </c>
      <c r="E4128">
        <v>18721.734546052201</v>
      </c>
      <c r="F4128" s="1">
        <v>46150.605613425927</v>
      </c>
      <c r="G4128">
        <v>52.875131642410302</v>
      </c>
      <c r="H4128" t="s">
        <v>35</v>
      </c>
      <c r="J4128" t="s">
        <v>16</v>
      </c>
      <c r="K4128">
        <v>210068.52100135299</v>
      </c>
      <c r="L4128" t="s">
        <v>17</v>
      </c>
      <c r="M4128">
        <v>-3014.6060309178702</v>
      </c>
      <c r="N4128">
        <v>8.9122037213427097E-2</v>
      </c>
    </row>
    <row r="4129" spans="2:14" x14ac:dyDescent="0.25">
      <c r="B4129" t="s">
        <v>14</v>
      </c>
      <c r="C4129" s="1">
        <v>46151.999988425923</v>
      </c>
      <c r="D4129">
        <v>25.158623315688398</v>
      </c>
      <c r="E4129">
        <v>18721.734546052201</v>
      </c>
      <c r="F4129" s="1">
        <v>46150.605613425927</v>
      </c>
      <c r="G4129">
        <v>52.875131642410302</v>
      </c>
      <c r="H4129" t="s">
        <v>35</v>
      </c>
      <c r="J4129" t="s">
        <v>16</v>
      </c>
      <c r="K4129">
        <v>210068.52100135299</v>
      </c>
      <c r="L4129" t="s">
        <v>17</v>
      </c>
      <c r="M4129">
        <v>0</v>
      </c>
      <c r="N4129">
        <v>8.9122037213427097E-2</v>
      </c>
    </row>
    <row r="4130" spans="2:14" x14ac:dyDescent="0.25">
      <c r="B4130" t="s">
        <v>14</v>
      </c>
      <c r="C4130" s="1">
        <v>46150.999988425923</v>
      </c>
      <c r="D4130">
        <v>25.158623315688398</v>
      </c>
      <c r="E4130">
        <v>18721.734546052201</v>
      </c>
      <c r="F4130" s="1">
        <v>46150.605613425927</v>
      </c>
      <c r="G4130">
        <v>52.875131642410302</v>
      </c>
      <c r="H4130" t="s">
        <v>35</v>
      </c>
      <c r="J4130" t="s">
        <v>16</v>
      </c>
      <c r="K4130">
        <v>210068.52100135299</v>
      </c>
      <c r="L4130" t="s">
        <v>17</v>
      </c>
      <c r="M4130">
        <v>0</v>
      </c>
      <c r="N4130">
        <v>8.9122037213427097E-2</v>
      </c>
    </row>
    <row r="4131" spans="2:14" x14ac:dyDescent="0.25">
      <c r="B4131" t="s">
        <v>14</v>
      </c>
      <c r="C4131" s="1">
        <v>46149.999988425923</v>
      </c>
      <c r="D4131">
        <v>25.158623315688398</v>
      </c>
      <c r="E4131">
        <v>18843.593568693101</v>
      </c>
      <c r="F4131" s="1">
        <v>46149.605497685188</v>
      </c>
      <c r="G4131">
        <v>52.875131642410302</v>
      </c>
      <c r="H4131" t="s">
        <v>35</v>
      </c>
      <c r="J4131" t="s">
        <v>16</v>
      </c>
      <c r="K4131">
        <v>210068.52100135299</v>
      </c>
      <c r="L4131" t="s">
        <v>17</v>
      </c>
      <c r="M4131">
        <v>121.85902264091401</v>
      </c>
      <c r="N4131">
        <v>8.9702128995194502E-2</v>
      </c>
    </row>
    <row r="4132" spans="2:14" x14ac:dyDescent="0.25">
      <c r="B4132" t="s">
        <v>14</v>
      </c>
      <c r="C4132" s="1">
        <v>46148.999988425923</v>
      </c>
      <c r="D4132">
        <v>25.158623315688398</v>
      </c>
      <c r="E4132">
        <v>20876.336032937499</v>
      </c>
      <c r="F4132" s="1">
        <v>46146.099803240744</v>
      </c>
      <c r="G4132">
        <v>52.875131642410302</v>
      </c>
      <c r="H4132" t="s">
        <v>35</v>
      </c>
      <c r="J4132" t="s">
        <v>16</v>
      </c>
      <c r="K4132">
        <v>210068.52100135299</v>
      </c>
      <c r="L4132" t="s">
        <v>17</v>
      </c>
      <c r="M4132">
        <v>2032.74246424442</v>
      </c>
      <c r="N4132">
        <v>9.9378697643151603E-2</v>
      </c>
    </row>
    <row r="4133" spans="2:14" x14ac:dyDescent="0.25">
      <c r="B4133" t="s">
        <v>14</v>
      </c>
      <c r="C4133" s="1">
        <v>46147.999988425923</v>
      </c>
      <c r="D4133">
        <v>25.158623315688398</v>
      </c>
      <c r="E4133">
        <v>20876.336032937499</v>
      </c>
      <c r="F4133" s="1">
        <v>46146.099803240744</v>
      </c>
      <c r="G4133">
        <v>52.875131642410302</v>
      </c>
      <c r="H4133" t="s">
        <v>35</v>
      </c>
      <c r="J4133" t="s">
        <v>16</v>
      </c>
      <c r="K4133">
        <v>210068.52100135299</v>
      </c>
      <c r="L4133" t="s">
        <v>17</v>
      </c>
      <c r="M4133">
        <v>0</v>
      </c>
      <c r="N4133">
        <v>9.9378697643151603E-2</v>
      </c>
    </row>
    <row r="4134" spans="2:14" x14ac:dyDescent="0.25">
      <c r="B4134" t="s">
        <v>14</v>
      </c>
      <c r="C4134" s="1">
        <v>46146.999988425923</v>
      </c>
      <c r="D4134">
        <v>25.158623315688398</v>
      </c>
      <c r="E4134">
        <v>20876.336032937499</v>
      </c>
      <c r="F4134" s="1">
        <v>46146.099803240744</v>
      </c>
      <c r="G4134">
        <v>52.875131642410302</v>
      </c>
      <c r="H4134" t="s">
        <v>35</v>
      </c>
      <c r="J4134" t="s">
        <v>16</v>
      </c>
      <c r="K4134">
        <v>210068.52100135299</v>
      </c>
      <c r="L4134" t="s">
        <v>17</v>
      </c>
      <c r="M4134">
        <v>0</v>
      </c>
      <c r="N4134">
        <v>9.9378697643151603E-2</v>
      </c>
    </row>
    <row r="4135" spans="2:14" x14ac:dyDescent="0.25">
      <c r="B4135" t="s">
        <v>14</v>
      </c>
      <c r="C4135" s="1">
        <v>46145.999988425923</v>
      </c>
      <c r="D4135">
        <v>25.158623315688398</v>
      </c>
      <c r="E4135">
        <v>19022.142615390101</v>
      </c>
      <c r="F4135" s="1">
        <v>46143.606296296297</v>
      </c>
      <c r="G4135">
        <v>52.875131642410302</v>
      </c>
      <c r="H4135" t="s">
        <v>35</v>
      </c>
      <c r="J4135" t="s">
        <v>16</v>
      </c>
      <c r="K4135">
        <v>210068.52100135299</v>
      </c>
      <c r="L4135" t="s">
        <v>17</v>
      </c>
      <c r="M4135">
        <v>-1854.19341754741</v>
      </c>
      <c r="N4135">
        <v>9.0552085218268297E-2</v>
      </c>
    </row>
    <row r="4136" spans="2:14" x14ac:dyDescent="0.25">
      <c r="B4136" t="s">
        <v>14</v>
      </c>
      <c r="C4136" s="1">
        <v>46144.999988425923</v>
      </c>
      <c r="D4136">
        <v>25.158623315688398</v>
      </c>
      <c r="E4136">
        <v>19022.142615390101</v>
      </c>
      <c r="F4136" s="1">
        <v>46143.606296296297</v>
      </c>
      <c r="G4136">
        <v>52.875131642410302</v>
      </c>
      <c r="H4136" t="s">
        <v>35</v>
      </c>
      <c r="J4136" t="s">
        <v>16</v>
      </c>
      <c r="K4136">
        <v>210068.52100135299</v>
      </c>
      <c r="L4136" t="s">
        <v>17</v>
      </c>
      <c r="M4136">
        <v>0</v>
      </c>
      <c r="N4136">
        <v>9.0552085218268297E-2</v>
      </c>
    </row>
    <row r="4137" spans="2:14" x14ac:dyDescent="0.25">
      <c r="B4137" t="s">
        <v>14</v>
      </c>
      <c r="C4137" s="1">
        <v>46143.999988425923</v>
      </c>
      <c r="D4137">
        <v>25.158623315688398</v>
      </c>
      <c r="E4137">
        <v>19022.142615390101</v>
      </c>
      <c r="F4137" s="1">
        <v>46143.606296296297</v>
      </c>
      <c r="G4137">
        <v>52.875131642410302</v>
      </c>
      <c r="H4137" t="s">
        <v>35</v>
      </c>
      <c r="J4137" t="s">
        <v>16</v>
      </c>
      <c r="K4137">
        <v>210068.52100135299</v>
      </c>
      <c r="L4137" t="s">
        <v>17</v>
      </c>
      <c r="M4137">
        <v>0</v>
      </c>
      <c r="N4137">
        <v>9.0552085218268297E-2</v>
      </c>
    </row>
    <row r="4138" spans="2:14" x14ac:dyDescent="0.25">
      <c r="B4138" t="s">
        <v>14</v>
      </c>
      <c r="C4138" s="1">
        <v>46142.999988425923</v>
      </c>
      <c r="D4138">
        <v>25.158623315688398</v>
      </c>
      <c r="E4138">
        <v>21725.479745303401</v>
      </c>
      <c r="F4138" s="1">
        <v>46140.099120370367</v>
      </c>
      <c r="G4138">
        <v>52.875131642410302</v>
      </c>
      <c r="H4138" t="s">
        <v>35</v>
      </c>
      <c r="J4138" t="s">
        <v>16</v>
      </c>
      <c r="K4138">
        <v>210068.52100135299</v>
      </c>
      <c r="L4138" t="s">
        <v>17</v>
      </c>
      <c r="M4138">
        <v>2703.33712991329</v>
      </c>
      <c r="N4138">
        <v>0.103420920191861</v>
      </c>
    </row>
    <row r="4139" spans="2:14" x14ac:dyDescent="0.25">
      <c r="B4139" t="s">
        <v>14</v>
      </c>
      <c r="C4139" s="1">
        <v>46141.999988425923</v>
      </c>
      <c r="D4139">
        <v>25.158623315688398</v>
      </c>
      <c r="E4139">
        <v>21725.479745303401</v>
      </c>
      <c r="F4139" s="1">
        <v>46140.099120370367</v>
      </c>
      <c r="G4139">
        <v>52.875131642410302</v>
      </c>
      <c r="H4139" t="s">
        <v>35</v>
      </c>
      <c r="J4139" t="s">
        <v>16</v>
      </c>
      <c r="K4139">
        <v>210068.52100135299</v>
      </c>
      <c r="L4139" t="s">
        <v>17</v>
      </c>
      <c r="M4139">
        <v>0</v>
      </c>
      <c r="N4139">
        <v>0.103420920191861</v>
      </c>
    </row>
    <row r="4140" spans="2:14" x14ac:dyDescent="0.25">
      <c r="B4140" t="s">
        <v>14</v>
      </c>
      <c r="C4140" s="1">
        <v>46140.999988425923</v>
      </c>
      <c r="D4140">
        <v>25.158623315688398</v>
      </c>
      <c r="E4140">
        <v>21725.479745303401</v>
      </c>
      <c r="F4140" s="1">
        <v>46140.099120370367</v>
      </c>
      <c r="G4140">
        <v>52.875131642410302</v>
      </c>
      <c r="H4140" t="s">
        <v>35</v>
      </c>
      <c r="J4140" t="s">
        <v>16</v>
      </c>
      <c r="K4140">
        <v>210068.52100135299</v>
      </c>
      <c r="L4140" t="s">
        <v>17</v>
      </c>
      <c r="M4140">
        <v>0</v>
      </c>
      <c r="N4140">
        <v>0.103420920191861</v>
      </c>
    </row>
    <row r="4141" spans="2:14" x14ac:dyDescent="0.25">
      <c r="B4141" t="s">
        <v>14</v>
      </c>
      <c r="C4141" s="1">
        <v>46139.999988425923</v>
      </c>
      <c r="D4141">
        <v>25.158623315688398</v>
      </c>
      <c r="E4141">
        <v>18576.7697819881</v>
      </c>
      <c r="F4141" s="1">
        <v>46137.605486111112</v>
      </c>
      <c r="G4141">
        <v>52.875131642410302</v>
      </c>
      <c r="H4141" t="s">
        <v>35</v>
      </c>
      <c r="J4141" t="s">
        <v>16</v>
      </c>
      <c r="K4141">
        <v>210068.52100135299</v>
      </c>
      <c r="L4141" t="s">
        <v>17</v>
      </c>
      <c r="M4141">
        <v>-3148.7099633153098</v>
      </c>
      <c r="N4141">
        <v>8.8431953980712893E-2</v>
      </c>
    </row>
    <row r="4142" spans="2:14" x14ac:dyDescent="0.25">
      <c r="B4142" t="s">
        <v>14</v>
      </c>
      <c r="C4142" s="1">
        <v>46138.999988425923</v>
      </c>
      <c r="D4142">
        <v>25.158623315688398</v>
      </c>
      <c r="E4142">
        <v>18576.7697819881</v>
      </c>
      <c r="F4142" s="1">
        <v>46137.605486111112</v>
      </c>
      <c r="G4142">
        <v>52.875131642410302</v>
      </c>
      <c r="H4142" t="s">
        <v>35</v>
      </c>
      <c r="J4142" t="s">
        <v>16</v>
      </c>
      <c r="K4142">
        <v>210068.52100135299</v>
      </c>
      <c r="L4142" t="s">
        <v>17</v>
      </c>
      <c r="M4142">
        <v>0</v>
      </c>
      <c r="N4142">
        <v>8.8431953980712893E-2</v>
      </c>
    </row>
    <row r="4143" spans="2:14" x14ac:dyDescent="0.25">
      <c r="B4143" t="s">
        <v>14</v>
      </c>
      <c r="C4143" s="1">
        <v>46137.999988425923</v>
      </c>
      <c r="D4143">
        <v>25.158623315688398</v>
      </c>
      <c r="E4143">
        <v>18576.7697819881</v>
      </c>
      <c r="F4143" s="1">
        <v>46137.605486111112</v>
      </c>
      <c r="G4143">
        <v>52.875131642410302</v>
      </c>
      <c r="H4143" t="s">
        <v>35</v>
      </c>
      <c r="J4143" t="s">
        <v>16</v>
      </c>
      <c r="K4143">
        <v>210068.52100135299</v>
      </c>
      <c r="L4143" t="s">
        <v>17</v>
      </c>
      <c r="M4143">
        <v>0</v>
      </c>
      <c r="N4143">
        <v>8.8431953980712893E-2</v>
      </c>
    </row>
    <row r="4144" spans="2:14" x14ac:dyDescent="0.25">
      <c r="B4144" t="s">
        <v>14</v>
      </c>
      <c r="C4144" s="1">
        <v>46136.999988425923</v>
      </c>
      <c r="D4144">
        <v>25.158623315688398</v>
      </c>
      <c r="E4144">
        <v>22088.712403099998</v>
      </c>
      <c r="F4144" s="1">
        <v>46134.099803240744</v>
      </c>
      <c r="G4144">
        <v>52.875131642410302</v>
      </c>
      <c r="H4144" t="s">
        <v>35</v>
      </c>
      <c r="J4144" t="s">
        <v>16</v>
      </c>
      <c r="K4144">
        <v>210068.52100135299</v>
      </c>
      <c r="L4144" t="s">
        <v>17</v>
      </c>
      <c r="M4144">
        <v>3511.9426211119198</v>
      </c>
      <c r="N4144">
        <v>0.105150035320892</v>
      </c>
    </row>
    <row r="4145" spans="2:14" x14ac:dyDescent="0.25">
      <c r="B4145" t="s">
        <v>14</v>
      </c>
      <c r="C4145" s="1">
        <v>46135.999988425923</v>
      </c>
      <c r="D4145">
        <v>25.158623315688398</v>
      </c>
      <c r="E4145">
        <v>22088.712403099998</v>
      </c>
      <c r="F4145" s="1">
        <v>46134.099803240744</v>
      </c>
      <c r="G4145">
        <v>52.875131642410302</v>
      </c>
      <c r="H4145" t="s">
        <v>35</v>
      </c>
      <c r="J4145" t="s">
        <v>16</v>
      </c>
      <c r="K4145">
        <v>210068.52100135299</v>
      </c>
      <c r="L4145" t="s">
        <v>17</v>
      </c>
      <c r="M4145">
        <v>0</v>
      </c>
      <c r="N4145">
        <v>0.105150035320892</v>
      </c>
    </row>
    <row r="4146" spans="2:14" x14ac:dyDescent="0.25">
      <c r="B4146" t="s">
        <v>14</v>
      </c>
      <c r="C4146" s="1">
        <v>46134.999988425923</v>
      </c>
      <c r="D4146">
        <v>25.158623315688398</v>
      </c>
      <c r="E4146">
        <v>22088.712403099998</v>
      </c>
      <c r="F4146" s="1">
        <v>46134.099803240744</v>
      </c>
      <c r="G4146">
        <v>52.875131642410302</v>
      </c>
      <c r="H4146" t="s">
        <v>35</v>
      </c>
      <c r="J4146" t="s">
        <v>16</v>
      </c>
      <c r="K4146">
        <v>210068.52100135299</v>
      </c>
      <c r="L4146" t="s">
        <v>17</v>
      </c>
      <c r="M4146">
        <v>0</v>
      </c>
      <c r="N4146">
        <v>0.105150035320892</v>
      </c>
    </row>
    <row r="4147" spans="2:14" x14ac:dyDescent="0.25">
      <c r="B4147" t="s">
        <v>14</v>
      </c>
      <c r="C4147" s="1">
        <v>46133.999988425923</v>
      </c>
      <c r="D4147">
        <v>25.158623315688398</v>
      </c>
      <c r="E4147">
        <v>18846.406343552499</v>
      </c>
      <c r="F4147" s="1">
        <v>46131.606296296297</v>
      </c>
      <c r="G4147">
        <v>52.875131642410302</v>
      </c>
      <c r="H4147" t="s">
        <v>35</v>
      </c>
      <c r="J4147" t="s">
        <v>16</v>
      </c>
      <c r="K4147">
        <v>210068.52100135299</v>
      </c>
      <c r="L4147" t="s">
        <v>17</v>
      </c>
      <c r="M4147">
        <v>-3242.3060595475199</v>
      </c>
      <c r="N4147">
        <v>8.9715518792228305E-2</v>
      </c>
    </row>
    <row r="4148" spans="2:14" x14ac:dyDescent="0.25">
      <c r="B4148" t="s">
        <v>14</v>
      </c>
      <c r="C4148" s="1">
        <v>46132.999988425923</v>
      </c>
      <c r="D4148">
        <v>25.158623315688398</v>
      </c>
      <c r="E4148">
        <v>18846.406343552499</v>
      </c>
      <c r="F4148" s="1">
        <v>46131.606296296297</v>
      </c>
      <c r="G4148">
        <v>52.875131642410302</v>
      </c>
      <c r="H4148" t="s">
        <v>35</v>
      </c>
      <c r="J4148" t="s">
        <v>16</v>
      </c>
      <c r="K4148">
        <v>210068.52100135299</v>
      </c>
      <c r="L4148" t="s">
        <v>17</v>
      </c>
      <c r="M4148">
        <v>0</v>
      </c>
      <c r="N4148">
        <v>8.9715518792228305E-2</v>
      </c>
    </row>
    <row r="4149" spans="2:14" x14ac:dyDescent="0.25">
      <c r="B4149" t="s">
        <v>14</v>
      </c>
      <c r="C4149" s="1">
        <v>46131.999988425923</v>
      </c>
      <c r="D4149">
        <v>25.158623315688398</v>
      </c>
      <c r="E4149">
        <v>18846.406343552499</v>
      </c>
      <c r="F4149" s="1">
        <v>46131.606296296297</v>
      </c>
      <c r="G4149">
        <v>52.875131642410302</v>
      </c>
      <c r="H4149" t="s">
        <v>35</v>
      </c>
      <c r="J4149" t="s">
        <v>16</v>
      </c>
      <c r="K4149">
        <v>210068.52100135299</v>
      </c>
      <c r="L4149" t="s">
        <v>17</v>
      </c>
      <c r="M4149">
        <v>0</v>
      </c>
      <c r="N4149">
        <v>8.9715518792228305E-2</v>
      </c>
    </row>
    <row r="4150" spans="2:14" x14ac:dyDescent="0.25">
      <c r="B4150" t="s">
        <v>14</v>
      </c>
      <c r="C4150" s="1">
        <v>46130.999988425923</v>
      </c>
      <c r="D4150">
        <v>25.158623315688398</v>
      </c>
      <c r="E4150">
        <v>21749.125133101599</v>
      </c>
      <c r="F4150" s="1">
        <v>46128.099108796298</v>
      </c>
      <c r="G4150">
        <v>52.875131642410302</v>
      </c>
      <c r="H4150" t="s">
        <v>35</v>
      </c>
      <c r="J4150" t="s">
        <v>16</v>
      </c>
      <c r="K4150">
        <v>210068.52100135299</v>
      </c>
      <c r="L4150" t="s">
        <v>17</v>
      </c>
      <c r="M4150">
        <v>2902.7187895491602</v>
      </c>
      <c r="N4150">
        <v>0.103533480549242</v>
      </c>
    </row>
    <row r="4151" spans="2:14" x14ac:dyDescent="0.25">
      <c r="B4151" t="s">
        <v>14</v>
      </c>
      <c r="C4151" s="1">
        <v>46129.999988425923</v>
      </c>
      <c r="D4151">
        <v>25.158623315688398</v>
      </c>
      <c r="E4151">
        <v>21749.125133101599</v>
      </c>
      <c r="F4151" s="1">
        <v>46128.099108796298</v>
      </c>
      <c r="G4151">
        <v>52.875131642410302</v>
      </c>
      <c r="H4151" t="s">
        <v>35</v>
      </c>
      <c r="J4151" t="s">
        <v>16</v>
      </c>
      <c r="K4151">
        <v>210068.52100135299</v>
      </c>
      <c r="L4151" t="s">
        <v>17</v>
      </c>
      <c r="M4151">
        <v>0</v>
      </c>
      <c r="N4151">
        <v>0.103533480549242</v>
      </c>
    </row>
    <row r="4152" spans="2:14" x14ac:dyDescent="0.25">
      <c r="B4152" t="s">
        <v>14</v>
      </c>
      <c r="C4152" s="1">
        <v>46128.999988425923</v>
      </c>
      <c r="D4152">
        <v>25.158623315688398</v>
      </c>
      <c r="E4152">
        <v>21749.125133101599</v>
      </c>
      <c r="F4152" s="1">
        <v>46128.099108796298</v>
      </c>
      <c r="G4152">
        <v>52.875131642410302</v>
      </c>
      <c r="H4152" t="s">
        <v>35</v>
      </c>
      <c r="J4152" t="s">
        <v>16</v>
      </c>
      <c r="K4152">
        <v>210068.52100135299</v>
      </c>
      <c r="L4152" t="s">
        <v>17</v>
      </c>
      <c r="M4152">
        <v>0</v>
      </c>
      <c r="N4152">
        <v>0.103533480549242</v>
      </c>
    </row>
    <row r="4153" spans="2:14" x14ac:dyDescent="0.25">
      <c r="B4153" t="s">
        <v>14</v>
      </c>
      <c r="C4153" s="1">
        <v>46127.999988425923</v>
      </c>
      <c r="D4153">
        <v>25.158623315688398</v>
      </c>
      <c r="E4153">
        <v>18159.777999825601</v>
      </c>
      <c r="F4153" s="1">
        <v>46125.605486111112</v>
      </c>
      <c r="G4153">
        <v>52.875131642410302</v>
      </c>
      <c r="H4153" t="s">
        <v>35</v>
      </c>
      <c r="J4153" t="s">
        <v>16</v>
      </c>
      <c r="K4153">
        <v>210068.52100135299</v>
      </c>
      <c r="L4153" t="s">
        <v>17</v>
      </c>
      <c r="M4153">
        <v>-3589.34713327605</v>
      </c>
      <c r="N4153">
        <v>8.6446926523125397E-2</v>
      </c>
    </row>
    <row r="4154" spans="2:14" x14ac:dyDescent="0.25">
      <c r="B4154" t="s">
        <v>14</v>
      </c>
      <c r="C4154" s="1">
        <v>46126.999988425923</v>
      </c>
      <c r="D4154">
        <v>25.158623315688398</v>
      </c>
      <c r="E4154">
        <v>18159.777999825601</v>
      </c>
      <c r="F4154" s="1">
        <v>46125.605486111112</v>
      </c>
      <c r="G4154">
        <v>52.875131642410302</v>
      </c>
      <c r="H4154" t="s">
        <v>35</v>
      </c>
      <c r="J4154" t="s">
        <v>16</v>
      </c>
      <c r="K4154">
        <v>210068.52100135299</v>
      </c>
      <c r="L4154" t="s">
        <v>17</v>
      </c>
      <c r="M4154">
        <v>0</v>
      </c>
      <c r="N4154">
        <v>8.6446926523125397E-2</v>
      </c>
    </row>
    <row r="4155" spans="2:14" x14ac:dyDescent="0.25">
      <c r="B4155" t="s">
        <v>14</v>
      </c>
      <c r="C4155" s="1">
        <v>46125.999988425923</v>
      </c>
      <c r="D4155">
        <v>25.158623315688398</v>
      </c>
      <c r="E4155">
        <v>18159.777999825601</v>
      </c>
      <c r="F4155" s="1">
        <v>46125.605486111112</v>
      </c>
      <c r="G4155">
        <v>52.875131642410302</v>
      </c>
      <c r="H4155" t="s">
        <v>35</v>
      </c>
      <c r="J4155" t="s">
        <v>16</v>
      </c>
      <c r="K4155">
        <v>210068.52100135299</v>
      </c>
      <c r="L4155" t="s">
        <v>17</v>
      </c>
      <c r="M4155">
        <v>0</v>
      </c>
      <c r="N4155">
        <v>8.6446926523125397E-2</v>
      </c>
    </row>
    <row r="4156" spans="2:14" x14ac:dyDescent="0.25">
      <c r="B4156" t="s">
        <v>14</v>
      </c>
      <c r="C4156" s="1">
        <v>46124.999988425923</v>
      </c>
      <c r="D4156">
        <v>25.158623315688398</v>
      </c>
      <c r="E4156">
        <v>22831.190377289298</v>
      </c>
      <c r="F4156" s="1">
        <v>46122.099803240744</v>
      </c>
      <c r="G4156">
        <v>52.875131642410302</v>
      </c>
      <c r="H4156" t="s">
        <v>35</v>
      </c>
      <c r="J4156" t="s">
        <v>16</v>
      </c>
      <c r="K4156">
        <v>210068.52100135299</v>
      </c>
      <c r="L4156" t="s">
        <v>17</v>
      </c>
      <c r="M4156">
        <v>4671.4123774637101</v>
      </c>
      <c r="N4156">
        <v>0.10868449146239401</v>
      </c>
    </row>
    <row r="4157" spans="2:14" x14ac:dyDescent="0.25">
      <c r="B4157" t="s">
        <v>14</v>
      </c>
      <c r="C4157" s="1">
        <v>46123.999988425923</v>
      </c>
      <c r="D4157">
        <v>25.158623315688398</v>
      </c>
      <c r="E4157">
        <v>22831.190377289298</v>
      </c>
      <c r="F4157" s="1">
        <v>46122.099803240744</v>
      </c>
      <c r="G4157">
        <v>52.875131642410302</v>
      </c>
      <c r="H4157" t="s">
        <v>35</v>
      </c>
      <c r="J4157" t="s">
        <v>16</v>
      </c>
      <c r="K4157">
        <v>210068.52100135299</v>
      </c>
      <c r="L4157" t="s">
        <v>17</v>
      </c>
      <c r="M4157">
        <v>0</v>
      </c>
      <c r="N4157">
        <v>0.10868449146239401</v>
      </c>
    </row>
    <row r="4158" spans="2:14" x14ac:dyDescent="0.25">
      <c r="B4158" t="s">
        <v>14</v>
      </c>
      <c r="C4158" s="1">
        <v>46122.999988425923</v>
      </c>
      <c r="D4158">
        <v>25.158623315688398</v>
      </c>
      <c r="E4158">
        <v>22831.190377289298</v>
      </c>
      <c r="F4158" s="1">
        <v>46122.099803240744</v>
      </c>
      <c r="G4158">
        <v>52.875131642410302</v>
      </c>
      <c r="H4158" t="s">
        <v>35</v>
      </c>
      <c r="J4158" t="s">
        <v>16</v>
      </c>
      <c r="K4158">
        <v>210068.52100135299</v>
      </c>
      <c r="L4158" t="s">
        <v>17</v>
      </c>
      <c r="M4158">
        <v>0</v>
      </c>
      <c r="N4158">
        <v>0.10868449146239401</v>
      </c>
    </row>
    <row r="4159" spans="2:14" x14ac:dyDescent="0.25">
      <c r="B4159" t="s">
        <v>14</v>
      </c>
      <c r="C4159" s="1">
        <v>46121.999988425923</v>
      </c>
      <c r="D4159">
        <v>25.158623315688398</v>
      </c>
      <c r="E4159">
        <v>18869.8324930206</v>
      </c>
      <c r="F4159" s="1">
        <v>46119.606296296297</v>
      </c>
      <c r="G4159">
        <v>52.875131642410302</v>
      </c>
      <c r="H4159" t="s">
        <v>35</v>
      </c>
      <c r="J4159" t="s">
        <v>16</v>
      </c>
      <c r="K4159">
        <v>210068.52100135299</v>
      </c>
      <c r="L4159" t="s">
        <v>17</v>
      </c>
      <c r="M4159">
        <v>-3961.3578842687398</v>
      </c>
      <c r="N4159">
        <v>8.9827035498093594E-2</v>
      </c>
    </row>
    <row r="4160" spans="2:14" x14ac:dyDescent="0.25">
      <c r="B4160" t="s">
        <v>14</v>
      </c>
      <c r="C4160" s="1">
        <v>46120.999988425923</v>
      </c>
      <c r="D4160">
        <v>25.158623315688398</v>
      </c>
      <c r="E4160">
        <v>18869.8324930206</v>
      </c>
      <c r="F4160" s="1">
        <v>46119.606296296297</v>
      </c>
      <c r="G4160">
        <v>52.875131642410302</v>
      </c>
      <c r="H4160" t="s">
        <v>35</v>
      </c>
      <c r="J4160" t="s">
        <v>16</v>
      </c>
      <c r="K4160">
        <v>210068.52100135299</v>
      </c>
      <c r="L4160" t="s">
        <v>17</v>
      </c>
      <c r="M4160">
        <v>0</v>
      </c>
      <c r="N4160">
        <v>8.9827035498093594E-2</v>
      </c>
    </row>
    <row r="4161" spans="2:14" x14ac:dyDescent="0.25">
      <c r="B4161" t="s">
        <v>14</v>
      </c>
      <c r="C4161" s="1">
        <v>46119.999988425923</v>
      </c>
      <c r="D4161">
        <v>25.158623315688398</v>
      </c>
      <c r="E4161">
        <v>18869.8324930206</v>
      </c>
      <c r="F4161" s="1">
        <v>46119.606296296297</v>
      </c>
      <c r="G4161">
        <v>52.875131642410302</v>
      </c>
      <c r="H4161" t="s">
        <v>35</v>
      </c>
      <c r="J4161" t="s">
        <v>16</v>
      </c>
      <c r="K4161">
        <v>210068.52100135299</v>
      </c>
      <c r="L4161" t="s">
        <v>17</v>
      </c>
      <c r="M4161">
        <v>0</v>
      </c>
      <c r="N4161">
        <v>8.9827035498093594E-2</v>
      </c>
    </row>
    <row r="4162" spans="2:14" x14ac:dyDescent="0.25">
      <c r="B4162" t="s">
        <v>14</v>
      </c>
      <c r="C4162" s="1">
        <v>46118.999988425923</v>
      </c>
      <c r="D4162">
        <v>25.158623315688398</v>
      </c>
      <c r="E4162">
        <v>22444.252463905799</v>
      </c>
      <c r="F4162" s="1">
        <v>46116.099108796298</v>
      </c>
      <c r="G4162">
        <v>52.875131642410302</v>
      </c>
      <c r="H4162" t="s">
        <v>35</v>
      </c>
      <c r="J4162" t="s">
        <v>16</v>
      </c>
      <c r="K4162">
        <v>210068.52100135299</v>
      </c>
      <c r="L4162" t="s">
        <v>17</v>
      </c>
      <c r="M4162">
        <v>3574.4199708852102</v>
      </c>
      <c r="N4162">
        <v>0.10684253098426499</v>
      </c>
    </row>
    <row r="4163" spans="2:14" x14ac:dyDescent="0.25">
      <c r="B4163" t="s">
        <v>14</v>
      </c>
      <c r="C4163" s="1">
        <v>46117.999988425923</v>
      </c>
      <c r="D4163">
        <v>25.158623315688398</v>
      </c>
      <c r="E4163">
        <v>22444.252463905799</v>
      </c>
      <c r="F4163" s="1">
        <v>46116.099108796298</v>
      </c>
      <c r="G4163">
        <v>52.875131642410302</v>
      </c>
      <c r="H4163" t="s">
        <v>35</v>
      </c>
      <c r="J4163" t="s">
        <v>16</v>
      </c>
      <c r="K4163">
        <v>210068.52100135299</v>
      </c>
      <c r="L4163" t="s">
        <v>17</v>
      </c>
      <c r="M4163">
        <v>0</v>
      </c>
      <c r="N4163">
        <v>0.10684253098426499</v>
      </c>
    </row>
    <row r="4164" spans="2:14" x14ac:dyDescent="0.25">
      <c r="B4164" t="s">
        <v>14</v>
      </c>
      <c r="C4164" s="1">
        <v>46116.999988425923</v>
      </c>
      <c r="D4164">
        <v>25.158623315688398</v>
      </c>
      <c r="E4164">
        <v>22444.252463905799</v>
      </c>
      <c r="F4164" s="1">
        <v>46116.099108796298</v>
      </c>
      <c r="G4164">
        <v>52.875131642410302</v>
      </c>
      <c r="H4164" t="s">
        <v>35</v>
      </c>
      <c r="J4164" t="s">
        <v>16</v>
      </c>
      <c r="K4164">
        <v>210068.52100135299</v>
      </c>
      <c r="L4164" t="s">
        <v>17</v>
      </c>
      <c r="M4164">
        <v>0</v>
      </c>
      <c r="N4164">
        <v>0.10684253098426499</v>
      </c>
    </row>
    <row r="4165" spans="2:14" x14ac:dyDescent="0.25">
      <c r="B4165" t="s">
        <v>14</v>
      </c>
      <c r="C4165" s="1">
        <v>46115.999988425923</v>
      </c>
      <c r="D4165">
        <v>25.158623315688398</v>
      </c>
      <c r="E4165">
        <v>18177.024761680801</v>
      </c>
      <c r="F4165" s="1">
        <v>46113.605474537035</v>
      </c>
      <c r="G4165">
        <v>52.875131642410302</v>
      </c>
      <c r="H4165" t="s">
        <v>35</v>
      </c>
      <c r="J4165" t="s">
        <v>16</v>
      </c>
      <c r="K4165">
        <v>210068.52100135299</v>
      </c>
      <c r="L4165" t="s">
        <v>17</v>
      </c>
      <c r="M4165">
        <v>-4267.22770222491</v>
      </c>
      <c r="N4165">
        <v>8.6529027171871095E-2</v>
      </c>
    </row>
    <row r="4166" spans="2:14" x14ac:dyDescent="0.25">
      <c r="B4166" t="s">
        <v>14</v>
      </c>
      <c r="C4166" s="1">
        <v>46114.999988425923</v>
      </c>
      <c r="D4166">
        <v>25.158623315688398</v>
      </c>
      <c r="E4166">
        <v>18177.024761680801</v>
      </c>
      <c r="F4166" s="1">
        <v>46113.605474537035</v>
      </c>
      <c r="G4166">
        <v>52.875131642410302</v>
      </c>
      <c r="H4166" t="s">
        <v>35</v>
      </c>
      <c r="J4166" t="s">
        <v>16</v>
      </c>
      <c r="K4166">
        <v>210068.52100135299</v>
      </c>
      <c r="L4166" t="s">
        <v>17</v>
      </c>
      <c r="M4166">
        <v>0</v>
      </c>
      <c r="N4166">
        <v>8.6529027171871095E-2</v>
      </c>
    </row>
    <row r="4167" spans="2:14" x14ac:dyDescent="0.25">
      <c r="B4167" t="s">
        <v>14</v>
      </c>
      <c r="C4167" s="1">
        <v>46113.999988425923</v>
      </c>
      <c r="D4167">
        <v>25.158623315688398</v>
      </c>
      <c r="E4167">
        <v>18177.024761680801</v>
      </c>
      <c r="F4167" s="1">
        <v>46113.605474537035</v>
      </c>
      <c r="G4167">
        <v>52.875131642410302</v>
      </c>
      <c r="H4167" t="s">
        <v>35</v>
      </c>
      <c r="J4167" t="s">
        <v>16</v>
      </c>
      <c r="K4167">
        <v>210068.52100135299</v>
      </c>
      <c r="L4167" t="s">
        <v>17</v>
      </c>
      <c r="M4167">
        <v>0</v>
      </c>
      <c r="N4167">
        <v>8.6529027171871095E-2</v>
      </c>
    </row>
    <row r="4168" spans="2:14" x14ac:dyDescent="0.25">
      <c r="B4168" t="s">
        <v>14</v>
      </c>
      <c r="C4168" s="1">
        <v>46112.999988425923</v>
      </c>
      <c r="D4168">
        <v>25.158623315688398</v>
      </c>
      <c r="E4168">
        <v>18617.665001384401</v>
      </c>
      <c r="F4168" s="1">
        <v>46110.099803240744</v>
      </c>
      <c r="G4168">
        <v>52.875131642410302</v>
      </c>
      <c r="H4168" t="s">
        <v>35</v>
      </c>
      <c r="J4168" t="s">
        <v>16</v>
      </c>
      <c r="K4168">
        <v>210068.52100135299</v>
      </c>
      <c r="L4168" t="s">
        <v>17</v>
      </c>
      <c r="M4168">
        <v>440.64023970355601</v>
      </c>
      <c r="N4168">
        <v>8.86266295998938E-2</v>
      </c>
    </row>
    <row r="4169" spans="2:14" x14ac:dyDescent="0.25">
      <c r="B4169" t="s">
        <v>14</v>
      </c>
      <c r="C4169" s="1">
        <v>46111.999988425923</v>
      </c>
      <c r="D4169">
        <v>25.158623315688398</v>
      </c>
      <c r="E4169">
        <v>18617.665001384401</v>
      </c>
      <c r="F4169" s="1">
        <v>46110.099803240744</v>
      </c>
      <c r="G4169">
        <v>52.875131642410302</v>
      </c>
      <c r="H4169" t="s">
        <v>35</v>
      </c>
      <c r="J4169" t="s">
        <v>16</v>
      </c>
      <c r="K4169">
        <v>210068.52100135299</v>
      </c>
      <c r="L4169" t="s">
        <v>17</v>
      </c>
      <c r="M4169">
        <v>0</v>
      </c>
      <c r="N4169">
        <v>8.86266295998938E-2</v>
      </c>
    </row>
    <row r="4170" spans="2:14" x14ac:dyDescent="0.25">
      <c r="B4170" t="s">
        <v>14</v>
      </c>
      <c r="C4170" s="1">
        <v>46110.999988425923</v>
      </c>
      <c r="D4170">
        <v>25.158623315688398</v>
      </c>
      <c r="E4170">
        <v>18617.665001384401</v>
      </c>
      <c r="F4170" s="1">
        <v>46110.099803240744</v>
      </c>
      <c r="G4170">
        <v>52.875131642410302</v>
      </c>
      <c r="H4170" t="s">
        <v>35</v>
      </c>
      <c r="J4170" t="s">
        <v>16</v>
      </c>
      <c r="K4170">
        <v>210068.52100135299</v>
      </c>
      <c r="L4170" t="s">
        <v>17</v>
      </c>
      <c r="M4170">
        <v>0</v>
      </c>
      <c r="N4170">
        <v>8.86266295998938E-2</v>
      </c>
    </row>
    <row r="4171" spans="2:14" x14ac:dyDescent="0.25">
      <c r="B4171" t="s">
        <v>14</v>
      </c>
      <c r="C4171" s="1">
        <v>46109.999988425923</v>
      </c>
      <c r="D4171">
        <v>25.158623315688398</v>
      </c>
      <c r="E4171">
        <v>18510.192064129998</v>
      </c>
      <c r="F4171" s="1">
        <v>46107.606296296297</v>
      </c>
      <c r="G4171">
        <v>52.875131642410302</v>
      </c>
      <c r="H4171" t="s">
        <v>35</v>
      </c>
      <c r="J4171" t="s">
        <v>16</v>
      </c>
      <c r="K4171">
        <v>210068.52100135299</v>
      </c>
      <c r="L4171" t="s">
        <v>17</v>
      </c>
      <c r="M4171">
        <v>-107.472937254351</v>
      </c>
      <c r="N4171">
        <v>8.81150206413404E-2</v>
      </c>
    </row>
    <row r="4172" spans="2:14" x14ac:dyDescent="0.25">
      <c r="B4172" t="s">
        <v>14</v>
      </c>
      <c r="C4172" s="1">
        <v>46108.999988425923</v>
      </c>
      <c r="D4172">
        <v>25.158623315688398</v>
      </c>
      <c r="E4172">
        <v>18510.192064129998</v>
      </c>
      <c r="F4172" s="1">
        <v>46107.606296296297</v>
      </c>
      <c r="G4172">
        <v>52.875131642410302</v>
      </c>
      <c r="H4172" t="s">
        <v>35</v>
      </c>
      <c r="J4172" t="s">
        <v>16</v>
      </c>
      <c r="K4172">
        <v>210068.52100135299</v>
      </c>
      <c r="L4172" t="s">
        <v>17</v>
      </c>
      <c r="M4172">
        <v>0</v>
      </c>
      <c r="N4172">
        <v>8.81150206413404E-2</v>
      </c>
    </row>
    <row r="4173" spans="2:14" x14ac:dyDescent="0.25">
      <c r="B4173" t="s">
        <v>14</v>
      </c>
      <c r="C4173" s="1">
        <v>46107.999988425923</v>
      </c>
      <c r="D4173">
        <v>25.158623315688398</v>
      </c>
      <c r="E4173">
        <v>18510.192064129998</v>
      </c>
      <c r="F4173" s="1">
        <v>46107.606296296297</v>
      </c>
      <c r="G4173">
        <v>52.875131642410302</v>
      </c>
      <c r="H4173" t="s">
        <v>35</v>
      </c>
      <c r="J4173" t="s">
        <v>16</v>
      </c>
      <c r="K4173">
        <v>210068.52100135299</v>
      </c>
      <c r="L4173" t="s">
        <v>17</v>
      </c>
      <c r="M4173">
        <v>0</v>
      </c>
      <c r="N4173">
        <v>8.81150206413404E-2</v>
      </c>
    </row>
    <row r="4174" spans="2:14" x14ac:dyDescent="0.25">
      <c r="B4174" t="s">
        <v>14</v>
      </c>
      <c r="C4174" s="1">
        <v>46106.999988425923</v>
      </c>
      <c r="D4174">
        <v>25.158623315688398</v>
      </c>
      <c r="E4174">
        <v>20115.045484787101</v>
      </c>
      <c r="F4174" s="1">
        <v>46104.099108796298</v>
      </c>
      <c r="G4174">
        <v>52.875131642410302</v>
      </c>
      <c r="H4174" t="s">
        <v>35</v>
      </c>
      <c r="J4174" t="s">
        <v>16</v>
      </c>
      <c r="K4174">
        <v>210068.52100135299</v>
      </c>
      <c r="L4174" t="s">
        <v>17</v>
      </c>
      <c r="M4174">
        <v>1604.85342065701</v>
      </c>
      <c r="N4174">
        <v>9.5754687036890801E-2</v>
      </c>
    </row>
    <row r="4175" spans="2:14" x14ac:dyDescent="0.25">
      <c r="B4175" t="s">
        <v>14</v>
      </c>
      <c r="C4175" s="1">
        <v>46105.999988425923</v>
      </c>
      <c r="D4175">
        <v>25.158623315688398</v>
      </c>
      <c r="E4175">
        <v>20115.045484787101</v>
      </c>
      <c r="F4175" s="1">
        <v>46104.099108796298</v>
      </c>
      <c r="G4175">
        <v>52.875131642410302</v>
      </c>
      <c r="H4175" t="s">
        <v>35</v>
      </c>
      <c r="J4175" t="s">
        <v>16</v>
      </c>
      <c r="K4175">
        <v>210068.52100135299</v>
      </c>
      <c r="L4175" t="s">
        <v>17</v>
      </c>
      <c r="M4175">
        <v>0</v>
      </c>
      <c r="N4175">
        <v>9.5754687036890801E-2</v>
      </c>
    </row>
    <row r="4176" spans="2:14" x14ac:dyDescent="0.25">
      <c r="B4176" t="s">
        <v>14</v>
      </c>
      <c r="C4176" s="1">
        <v>46104.999988425923</v>
      </c>
      <c r="D4176">
        <v>25.158623315688398</v>
      </c>
      <c r="E4176">
        <v>20115.045484787101</v>
      </c>
      <c r="F4176" s="1">
        <v>46104.099108796298</v>
      </c>
      <c r="G4176">
        <v>52.875131642410302</v>
      </c>
      <c r="H4176" t="s">
        <v>35</v>
      </c>
      <c r="J4176" t="s">
        <v>16</v>
      </c>
      <c r="K4176">
        <v>210068.52100135299</v>
      </c>
      <c r="L4176" t="s">
        <v>17</v>
      </c>
      <c r="M4176">
        <v>0</v>
      </c>
      <c r="N4176">
        <v>9.5754687036890801E-2</v>
      </c>
    </row>
    <row r="4177" spans="2:14" x14ac:dyDescent="0.25">
      <c r="B4177" t="s">
        <v>14</v>
      </c>
      <c r="C4177" s="1">
        <v>46103.999988425923</v>
      </c>
      <c r="D4177">
        <v>25.158623315688398</v>
      </c>
      <c r="E4177">
        <v>18487.2871694975</v>
      </c>
      <c r="F4177" s="1">
        <v>46101.605474537035</v>
      </c>
      <c r="G4177">
        <v>52.875131642410302</v>
      </c>
      <c r="H4177" t="s">
        <v>35</v>
      </c>
      <c r="J4177" t="s">
        <v>16</v>
      </c>
      <c r="K4177">
        <v>210068.52100135299</v>
      </c>
      <c r="L4177" t="s">
        <v>17</v>
      </c>
      <c r="M4177">
        <v>-1627.7583152895299</v>
      </c>
      <c r="N4177">
        <v>8.8005985291715702E-2</v>
      </c>
    </row>
    <row r="4178" spans="2:14" x14ac:dyDescent="0.25">
      <c r="B4178" t="s">
        <v>14</v>
      </c>
      <c r="C4178" s="1">
        <v>46102.999988425923</v>
      </c>
      <c r="D4178">
        <v>25.158623315688398</v>
      </c>
      <c r="E4178">
        <v>18487.2871694975</v>
      </c>
      <c r="F4178" s="1">
        <v>46101.605474537035</v>
      </c>
      <c r="G4178">
        <v>52.875131642410302</v>
      </c>
      <c r="H4178" t="s">
        <v>35</v>
      </c>
      <c r="J4178" t="s">
        <v>16</v>
      </c>
      <c r="K4178">
        <v>210068.52100135299</v>
      </c>
      <c r="L4178" t="s">
        <v>17</v>
      </c>
      <c r="M4178">
        <v>0</v>
      </c>
      <c r="N4178">
        <v>8.8005985291715702E-2</v>
      </c>
    </row>
    <row r="4179" spans="2:14" x14ac:dyDescent="0.25">
      <c r="B4179" t="s">
        <v>14</v>
      </c>
      <c r="C4179" s="1">
        <v>46101.999988425923</v>
      </c>
      <c r="D4179">
        <v>25.158623315688398</v>
      </c>
      <c r="E4179">
        <v>18487.2871694975</v>
      </c>
      <c r="F4179" s="1">
        <v>46101.605474537035</v>
      </c>
      <c r="G4179">
        <v>52.875131642410302</v>
      </c>
      <c r="H4179" t="s">
        <v>35</v>
      </c>
      <c r="J4179" t="s">
        <v>16</v>
      </c>
      <c r="K4179">
        <v>210068.52100135299</v>
      </c>
      <c r="L4179" t="s">
        <v>17</v>
      </c>
      <c r="M4179">
        <v>0</v>
      </c>
      <c r="N4179">
        <v>8.8005985291715702E-2</v>
      </c>
    </row>
    <row r="4180" spans="2:14" x14ac:dyDescent="0.25">
      <c r="B4180" t="s">
        <v>14</v>
      </c>
      <c r="C4180" s="1">
        <v>46100.999988425923</v>
      </c>
      <c r="D4180">
        <v>25.158623315688398</v>
      </c>
      <c r="E4180">
        <v>20543.877185688201</v>
      </c>
      <c r="F4180" s="1">
        <v>46098.099803240744</v>
      </c>
      <c r="G4180">
        <v>52.875131642410302</v>
      </c>
      <c r="H4180" t="s">
        <v>35</v>
      </c>
      <c r="J4180" t="s">
        <v>16</v>
      </c>
      <c r="K4180">
        <v>210068.52100135299</v>
      </c>
      <c r="L4180" t="s">
        <v>17</v>
      </c>
      <c r="M4180">
        <v>2056.5900161907098</v>
      </c>
      <c r="N4180">
        <v>9.77960766694594E-2</v>
      </c>
    </row>
    <row r="4181" spans="2:14" x14ac:dyDescent="0.25">
      <c r="B4181" t="s">
        <v>14</v>
      </c>
      <c r="C4181" s="1">
        <v>46099.999988425923</v>
      </c>
      <c r="D4181">
        <v>25.158623315688398</v>
      </c>
      <c r="E4181">
        <v>20543.877185688201</v>
      </c>
      <c r="F4181" s="1">
        <v>46098.099803240744</v>
      </c>
      <c r="G4181">
        <v>52.875131642410302</v>
      </c>
      <c r="H4181" t="s">
        <v>35</v>
      </c>
      <c r="J4181" t="s">
        <v>16</v>
      </c>
      <c r="K4181">
        <v>210068.52100135299</v>
      </c>
      <c r="L4181" t="s">
        <v>17</v>
      </c>
      <c r="M4181">
        <v>0</v>
      </c>
      <c r="N4181">
        <v>9.77960766694594E-2</v>
      </c>
    </row>
    <row r="4182" spans="2:14" x14ac:dyDescent="0.25">
      <c r="B4182" t="s">
        <v>14</v>
      </c>
      <c r="C4182" s="1">
        <v>46098.999988425923</v>
      </c>
      <c r="D4182">
        <v>25.158623315688398</v>
      </c>
      <c r="E4182">
        <v>20543.877185688201</v>
      </c>
      <c r="F4182" s="1">
        <v>46098.099803240744</v>
      </c>
      <c r="G4182">
        <v>52.875131642410302</v>
      </c>
      <c r="H4182" t="s">
        <v>35</v>
      </c>
      <c r="J4182" t="s">
        <v>16</v>
      </c>
      <c r="K4182">
        <v>210068.52100135299</v>
      </c>
      <c r="L4182" t="s">
        <v>17</v>
      </c>
      <c r="M4182">
        <v>0</v>
      </c>
      <c r="N4182">
        <v>9.77960766694594E-2</v>
      </c>
    </row>
    <row r="4183" spans="2:14" x14ac:dyDescent="0.25">
      <c r="B4183" t="s">
        <v>14</v>
      </c>
      <c r="C4183" s="1">
        <v>46097.999988425923</v>
      </c>
      <c r="D4183">
        <v>25.158623315688398</v>
      </c>
      <c r="E4183">
        <v>17678.838309244999</v>
      </c>
      <c r="F4183" s="1">
        <v>46095.606296296297</v>
      </c>
      <c r="G4183">
        <v>52.875131642410302</v>
      </c>
      <c r="H4183" t="s">
        <v>35</v>
      </c>
      <c r="J4183" t="s">
        <v>16</v>
      </c>
      <c r="K4183">
        <v>210068.52100135299</v>
      </c>
      <c r="L4183" t="s">
        <v>17</v>
      </c>
      <c r="M4183">
        <v>-2865.03887644325</v>
      </c>
      <c r="N4183">
        <v>8.4157484543489203E-2</v>
      </c>
    </row>
    <row r="4184" spans="2:14" x14ac:dyDescent="0.25">
      <c r="B4184" t="s">
        <v>14</v>
      </c>
      <c r="C4184" s="1">
        <v>46096.999988425923</v>
      </c>
      <c r="D4184">
        <v>25.158623315688398</v>
      </c>
      <c r="E4184">
        <v>17678.838309244999</v>
      </c>
      <c r="F4184" s="1">
        <v>46095.606296296297</v>
      </c>
      <c r="G4184">
        <v>52.875131642410302</v>
      </c>
      <c r="H4184" t="s">
        <v>35</v>
      </c>
      <c r="J4184" t="s">
        <v>16</v>
      </c>
      <c r="K4184">
        <v>210068.52100135299</v>
      </c>
      <c r="L4184" t="s">
        <v>17</v>
      </c>
      <c r="M4184">
        <v>0</v>
      </c>
      <c r="N4184">
        <v>8.4157484543489203E-2</v>
      </c>
    </row>
    <row r="4185" spans="2:14" x14ac:dyDescent="0.25">
      <c r="B4185" t="s">
        <v>14</v>
      </c>
      <c r="C4185" s="1">
        <v>46095.999988425923</v>
      </c>
      <c r="D4185">
        <v>25.158623315688398</v>
      </c>
      <c r="E4185">
        <v>17678.838309244999</v>
      </c>
      <c r="F4185" s="1">
        <v>46095.606296296297</v>
      </c>
      <c r="G4185">
        <v>52.875131642410302</v>
      </c>
      <c r="H4185" t="s">
        <v>35</v>
      </c>
      <c r="J4185" t="s">
        <v>16</v>
      </c>
      <c r="K4185">
        <v>210068.52100135299</v>
      </c>
      <c r="L4185" t="s">
        <v>17</v>
      </c>
      <c r="M4185">
        <v>0</v>
      </c>
      <c r="N4185">
        <v>8.4157484543489203E-2</v>
      </c>
    </row>
    <row r="4186" spans="2:14" x14ac:dyDescent="0.25">
      <c r="B4186" t="s">
        <v>14</v>
      </c>
      <c r="C4186" s="1">
        <v>46094.999988425923</v>
      </c>
      <c r="D4186">
        <v>25.158623315688398</v>
      </c>
      <c r="E4186">
        <v>20762.5287536162</v>
      </c>
      <c r="F4186" s="1">
        <v>46092.099097222221</v>
      </c>
      <c r="G4186">
        <v>52.875131642410302</v>
      </c>
      <c r="H4186" t="s">
        <v>35</v>
      </c>
      <c r="J4186" t="s">
        <v>16</v>
      </c>
      <c r="K4186">
        <v>210068.52100135299</v>
      </c>
      <c r="L4186" t="s">
        <v>17</v>
      </c>
      <c r="M4186">
        <v>3083.6904443712201</v>
      </c>
      <c r="N4186">
        <v>9.8836934989809805E-2</v>
      </c>
    </row>
    <row r="4187" spans="2:14" x14ac:dyDescent="0.25">
      <c r="B4187" t="s">
        <v>14</v>
      </c>
      <c r="C4187" s="1">
        <v>46093.999988425923</v>
      </c>
      <c r="D4187">
        <v>25.158623315688398</v>
      </c>
      <c r="E4187">
        <v>20762.5287536162</v>
      </c>
      <c r="F4187" s="1">
        <v>46092.099097222221</v>
      </c>
      <c r="G4187">
        <v>52.875131642410302</v>
      </c>
      <c r="H4187" t="s">
        <v>35</v>
      </c>
      <c r="J4187" t="s">
        <v>16</v>
      </c>
      <c r="K4187">
        <v>210068.52100135299</v>
      </c>
      <c r="L4187" t="s">
        <v>17</v>
      </c>
      <c r="M4187">
        <v>0</v>
      </c>
      <c r="N4187">
        <v>9.8836934989809805E-2</v>
      </c>
    </row>
    <row r="4188" spans="2:14" x14ac:dyDescent="0.25">
      <c r="B4188" t="s">
        <v>14</v>
      </c>
      <c r="C4188" s="1">
        <v>46092.999988425923</v>
      </c>
      <c r="D4188">
        <v>25.158623315688398</v>
      </c>
      <c r="E4188">
        <v>20762.5287536162</v>
      </c>
      <c r="F4188" s="1">
        <v>46092.099097222221</v>
      </c>
      <c r="G4188">
        <v>52.875131642410302</v>
      </c>
      <c r="H4188" t="s">
        <v>35</v>
      </c>
      <c r="J4188" t="s">
        <v>16</v>
      </c>
      <c r="K4188">
        <v>210068.52100135299</v>
      </c>
      <c r="L4188" t="s">
        <v>17</v>
      </c>
      <c r="M4188">
        <v>0</v>
      </c>
      <c r="N4188">
        <v>9.8836934989809805E-2</v>
      </c>
    </row>
    <row r="4189" spans="2:14" x14ac:dyDescent="0.25">
      <c r="B4189" t="s">
        <v>14</v>
      </c>
      <c r="C4189" s="1">
        <v>46091.999988425923</v>
      </c>
      <c r="D4189">
        <v>25.158623315688398</v>
      </c>
      <c r="E4189">
        <v>15999.129249465101</v>
      </c>
      <c r="F4189" s="1">
        <v>46089.605474537035</v>
      </c>
      <c r="G4189">
        <v>52.875131642410302</v>
      </c>
      <c r="H4189" t="s">
        <v>35</v>
      </c>
      <c r="J4189" t="s">
        <v>16</v>
      </c>
      <c r="K4189">
        <v>210068.52100135299</v>
      </c>
      <c r="L4189" t="s">
        <v>17</v>
      </c>
      <c r="M4189">
        <v>-4763.3995041510698</v>
      </c>
      <c r="N4189">
        <v>7.6161478993618997E-2</v>
      </c>
    </row>
    <row r="4190" spans="2:14" x14ac:dyDescent="0.25">
      <c r="B4190" t="s">
        <v>14</v>
      </c>
      <c r="C4190" s="1">
        <v>46090.999988425923</v>
      </c>
      <c r="D4190">
        <v>25.158623315688398</v>
      </c>
      <c r="E4190">
        <v>15999.129249465101</v>
      </c>
      <c r="F4190" s="1">
        <v>46089.605474537035</v>
      </c>
      <c r="G4190">
        <v>52.875131642410302</v>
      </c>
      <c r="H4190" t="s">
        <v>35</v>
      </c>
      <c r="J4190" t="s">
        <v>16</v>
      </c>
      <c r="K4190">
        <v>210068.52100135299</v>
      </c>
      <c r="L4190" t="s">
        <v>17</v>
      </c>
      <c r="M4190">
        <v>0</v>
      </c>
      <c r="N4190">
        <v>7.6161478993618997E-2</v>
      </c>
    </row>
    <row r="4191" spans="2:14" x14ac:dyDescent="0.25">
      <c r="B4191" t="s">
        <v>14</v>
      </c>
      <c r="C4191" s="1">
        <v>46089.999988425923</v>
      </c>
      <c r="D4191">
        <v>25.158623315688398</v>
      </c>
      <c r="E4191">
        <v>15999.129249465101</v>
      </c>
      <c r="F4191" s="1">
        <v>46089.605474537035</v>
      </c>
      <c r="G4191">
        <v>52.875131642410302</v>
      </c>
      <c r="H4191" t="s">
        <v>35</v>
      </c>
      <c r="J4191" t="s">
        <v>16</v>
      </c>
      <c r="K4191">
        <v>210068.52100135299</v>
      </c>
      <c r="L4191" t="s">
        <v>17</v>
      </c>
      <c r="M4191">
        <v>0</v>
      </c>
      <c r="N4191">
        <v>7.6161478993618997E-2</v>
      </c>
    </row>
    <row r="4192" spans="2:14" x14ac:dyDescent="0.25">
      <c r="B4192" t="s">
        <v>14</v>
      </c>
      <c r="C4192" s="1">
        <v>46088.999988425923</v>
      </c>
      <c r="D4192">
        <v>25.158623315688398</v>
      </c>
      <c r="E4192">
        <v>22256.414598981199</v>
      </c>
      <c r="F4192" s="1">
        <v>46086.099803240744</v>
      </c>
      <c r="G4192">
        <v>52.875131642410302</v>
      </c>
      <c r="H4192" t="s">
        <v>35</v>
      </c>
      <c r="J4192" t="s">
        <v>16</v>
      </c>
      <c r="K4192">
        <v>210068.52100135299</v>
      </c>
      <c r="L4192" t="s">
        <v>17</v>
      </c>
      <c r="M4192">
        <v>6257.2853495160198</v>
      </c>
      <c r="N4192">
        <v>0.105948356721366</v>
      </c>
    </row>
    <row r="4193" spans="2:14" x14ac:dyDescent="0.25">
      <c r="B4193" t="s">
        <v>14</v>
      </c>
      <c r="C4193" s="1">
        <v>46087.999988425923</v>
      </c>
      <c r="D4193">
        <v>25.158623315688398</v>
      </c>
      <c r="E4193">
        <v>22256.414598981199</v>
      </c>
      <c r="F4193" s="1">
        <v>46086.099803240744</v>
      </c>
      <c r="G4193">
        <v>52.875131642410302</v>
      </c>
      <c r="H4193" t="s">
        <v>35</v>
      </c>
      <c r="J4193" t="s">
        <v>16</v>
      </c>
      <c r="K4193">
        <v>210068.52100135299</v>
      </c>
      <c r="L4193" t="s">
        <v>17</v>
      </c>
      <c r="M4193">
        <v>0</v>
      </c>
      <c r="N4193">
        <v>0.105948356721366</v>
      </c>
    </row>
    <row r="4194" spans="2:14" x14ac:dyDescent="0.25">
      <c r="B4194" t="s">
        <v>14</v>
      </c>
      <c r="C4194" s="1">
        <v>46086.999988425923</v>
      </c>
      <c r="D4194">
        <v>25.158623315688398</v>
      </c>
      <c r="E4194">
        <v>22256.414598981199</v>
      </c>
      <c r="F4194" s="1">
        <v>46086.099803240744</v>
      </c>
      <c r="G4194">
        <v>52.875131642410302</v>
      </c>
      <c r="H4194" t="s">
        <v>35</v>
      </c>
      <c r="J4194" t="s">
        <v>16</v>
      </c>
      <c r="K4194">
        <v>210068.52100135299</v>
      </c>
      <c r="L4194" t="s">
        <v>17</v>
      </c>
      <c r="M4194">
        <v>0</v>
      </c>
      <c r="N4194">
        <v>0.105948356721366</v>
      </c>
    </row>
    <row r="4195" spans="2:14" x14ac:dyDescent="0.25">
      <c r="B4195" t="s">
        <v>14</v>
      </c>
      <c r="C4195" s="1">
        <v>46085.999988425923</v>
      </c>
      <c r="D4195">
        <v>25.158623315688398</v>
      </c>
      <c r="E4195">
        <v>17264.636535999802</v>
      </c>
      <c r="F4195" s="1">
        <v>46083.60628472222</v>
      </c>
      <c r="G4195">
        <v>52.875131642410302</v>
      </c>
      <c r="H4195" t="s">
        <v>35</v>
      </c>
      <c r="J4195" t="s">
        <v>16</v>
      </c>
      <c r="K4195">
        <v>210068.52100135299</v>
      </c>
      <c r="L4195" t="s">
        <v>17</v>
      </c>
      <c r="M4195">
        <v>-4991.7780629813496</v>
      </c>
      <c r="N4195">
        <v>8.2185738509048797E-2</v>
      </c>
    </row>
    <row r="4196" spans="2:14" x14ac:dyDescent="0.25">
      <c r="B4196" t="s">
        <v>14</v>
      </c>
      <c r="C4196" s="1">
        <v>46084.999988425923</v>
      </c>
      <c r="D4196">
        <v>25.158623315688398</v>
      </c>
      <c r="E4196">
        <v>17264.636535999802</v>
      </c>
      <c r="F4196" s="1">
        <v>46083.60628472222</v>
      </c>
      <c r="G4196">
        <v>52.875131642410302</v>
      </c>
      <c r="H4196" t="s">
        <v>35</v>
      </c>
      <c r="J4196" t="s">
        <v>16</v>
      </c>
      <c r="K4196">
        <v>210068.52100135299</v>
      </c>
      <c r="L4196" t="s">
        <v>17</v>
      </c>
      <c r="M4196">
        <v>0</v>
      </c>
      <c r="N4196">
        <v>8.2185738509048797E-2</v>
      </c>
    </row>
    <row r="4197" spans="2:14" x14ac:dyDescent="0.25">
      <c r="B4197" t="s">
        <v>14</v>
      </c>
      <c r="C4197" s="1">
        <v>46083.999988425923</v>
      </c>
      <c r="D4197">
        <v>25.158623315688398</v>
      </c>
      <c r="E4197">
        <v>17264.636535999802</v>
      </c>
      <c r="F4197" s="1">
        <v>46083.60628472222</v>
      </c>
      <c r="G4197">
        <v>52.875131642410302</v>
      </c>
      <c r="H4197" t="s">
        <v>35</v>
      </c>
      <c r="J4197" t="s">
        <v>16</v>
      </c>
      <c r="K4197">
        <v>210068.52100135299</v>
      </c>
      <c r="L4197" t="s">
        <v>17</v>
      </c>
      <c r="M4197">
        <v>0</v>
      </c>
      <c r="N4197">
        <v>8.2185738509048797E-2</v>
      </c>
    </row>
    <row r="4198" spans="2:14" x14ac:dyDescent="0.25">
      <c r="B4198" t="s">
        <v>14</v>
      </c>
      <c r="C4198" s="1">
        <v>46082.999988425923</v>
      </c>
      <c r="D4198">
        <v>25.158623315688398</v>
      </c>
      <c r="E4198">
        <v>21042.820770873699</v>
      </c>
      <c r="F4198" s="1">
        <v>46080.099097222221</v>
      </c>
      <c r="G4198">
        <v>52.875131642410302</v>
      </c>
      <c r="H4198" t="s">
        <v>35</v>
      </c>
      <c r="J4198" t="s">
        <v>16</v>
      </c>
      <c r="K4198">
        <v>210068.52100135299</v>
      </c>
      <c r="L4198" t="s">
        <v>17</v>
      </c>
      <c r="M4198">
        <v>3778.1842348738501</v>
      </c>
      <c r="N4198">
        <v>0.10017122351586399</v>
      </c>
    </row>
    <row r="4199" spans="2:14" x14ac:dyDescent="0.25">
      <c r="B4199" t="s">
        <v>14</v>
      </c>
      <c r="C4199" s="1">
        <v>46081.999988425923</v>
      </c>
      <c r="D4199">
        <v>25.158623315688398</v>
      </c>
      <c r="E4199">
        <v>21042.820770873699</v>
      </c>
      <c r="F4199" s="1">
        <v>46080.099097222221</v>
      </c>
      <c r="G4199">
        <v>52.875131642410302</v>
      </c>
      <c r="H4199" t="s">
        <v>35</v>
      </c>
      <c r="J4199" t="s">
        <v>16</v>
      </c>
      <c r="K4199">
        <v>210068.52100135299</v>
      </c>
      <c r="L4199" t="s">
        <v>17</v>
      </c>
      <c r="M4199">
        <v>0</v>
      </c>
      <c r="N4199">
        <v>0.10017122351586399</v>
      </c>
    </row>
    <row r="4200" spans="2:14" x14ac:dyDescent="0.25">
      <c r="B4200" t="s">
        <v>14</v>
      </c>
      <c r="C4200" s="1">
        <v>46080.999988425923</v>
      </c>
      <c r="D4200">
        <v>25.158623315688398</v>
      </c>
      <c r="E4200">
        <v>21042.820770873699</v>
      </c>
      <c r="F4200" s="1">
        <v>46080.099097222221</v>
      </c>
      <c r="G4200">
        <v>52.875131642410302</v>
      </c>
      <c r="H4200" t="s">
        <v>35</v>
      </c>
      <c r="J4200" t="s">
        <v>16</v>
      </c>
      <c r="K4200">
        <v>210068.52100135299</v>
      </c>
      <c r="L4200" t="s">
        <v>17</v>
      </c>
      <c r="M4200">
        <v>0</v>
      </c>
      <c r="N4200">
        <v>0.10017122351586399</v>
      </c>
    </row>
    <row r="4201" spans="2:14" x14ac:dyDescent="0.25">
      <c r="B4201" t="s">
        <v>14</v>
      </c>
      <c r="C4201" s="1">
        <v>46079.999988425923</v>
      </c>
      <c r="D4201">
        <v>25.158623315688398</v>
      </c>
      <c r="E4201">
        <v>18709.305701107402</v>
      </c>
      <c r="F4201" s="1">
        <v>46077.605474537035</v>
      </c>
      <c r="G4201">
        <v>52.875131642410302</v>
      </c>
      <c r="H4201" t="s">
        <v>35</v>
      </c>
      <c r="J4201" t="s">
        <v>16</v>
      </c>
      <c r="K4201">
        <v>210068.52100135299</v>
      </c>
      <c r="L4201" t="s">
        <v>17</v>
      </c>
      <c r="M4201">
        <v>-2333.5150697662898</v>
      </c>
      <c r="N4201">
        <v>8.9062871542694794E-2</v>
      </c>
    </row>
    <row r="4202" spans="2:14" x14ac:dyDescent="0.25">
      <c r="B4202" t="s">
        <v>14</v>
      </c>
      <c r="C4202" s="1">
        <v>46078.999988425923</v>
      </c>
      <c r="D4202">
        <v>25.158623315688398</v>
      </c>
      <c r="E4202">
        <v>18709.305701107402</v>
      </c>
      <c r="F4202" s="1">
        <v>46077.605474537035</v>
      </c>
      <c r="G4202">
        <v>52.875131642410302</v>
      </c>
      <c r="H4202" t="s">
        <v>35</v>
      </c>
      <c r="J4202" t="s">
        <v>16</v>
      </c>
      <c r="K4202">
        <v>210068.52100135299</v>
      </c>
      <c r="L4202" t="s">
        <v>17</v>
      </c>
      <c r="M4202">
        <v>0</v>
      </c>
      <c r="N4202">
        <v>8.9062871542694794E-2</v>
      </c>
    </row>
    <row r="4203" spans="2:14" x14ac:dyDescent="0.25">
      <c r="B4203" t="s">
        <v>14</v>
      </c>
      <c r="C4203" s="1">
        <v>46077.999988425923</v>
      </c>
      <c r="D4203">
        <v>25.158623315688398</v>
      </c>
      <c r="E4203">
        <v>18709.305701107402</v>
      </c>
      <c r="F4203" s="1">
        <v>46077.605474537035</v>
      </c>
      <c r="G4203">
        <v>52.875131642410302</v>
      </c>
      <c r="H4203" t="s">
        <v>35</v>
      </c>
      <c r="J4203" t="s">
        <v>16</v>
      </c>
      <c r="K4203">
        <v>210068.52100135299</v>
      </c>
      <c r="L4203" t="s">
        <v>17</v>
      </c>
      <c r="M4203">
        <v>0</v>
      </c>
      <c r="N4203">
        <v>8.9062871542694794E-2</v>
      </c>
    </row>
    <row r="4204" spans="2:14" x14ac:dyDescent="0.25">
      <c r="B4204" t="s">
        <v>14</v>
      </c>
      <c r="C4204" s="1">
        <v>46076.999988425923</v>
      </c>
      <c r="D4204">
        <v>25.158623315688398</v>
      </c>
      <c r="E4204">
        <v>22174.044950297299</v>
      </c>
      <c r="F4204" s="1">
        <v>46074.099803240744</v>
      </c>
      <c r="G4204">
        <v>52.875131642410302</v>
      </c>
      <c r="H4204" t="s">
        <v>35</v>
      </c>
      <c r="J4204" t="s">
        <v>16</v>
      </c>
      <c r="K4204">
        <v>210068.52100135299</v>
      </c>
      <c r="L4204" t="s">
        <v>17</v>
      </c>
      <c r="M4204">
        <v>3464.73924918987</v>
      </c>
      <c r="N4204">
        <v>0.105556248240327</v>
      </c>
    </row>
    <row r="4205" spans="2:14" x14ac:dyDescent="0.25">
      <c r="B4205" t="s">
        <v>14</v>
      </c>
      <c r="C4205" s="1">
        <v>46075.999988425923</v>
      </c>
      <c r="D4205">
        <v>25.158623315688398</v>
      </c>
      <c r="E4205">
        <v>22174.044950297299</v>
      </c>
      <c r="F4205" s="1">
        <v>46074.099803240744</v>
      </c>
      <c r="G4205">
        <v>52.875131642410302</v>
      </c>
      <c r="H4205" t="s">
        <v>35</v>
      </c>
      <c r="J4205" t="s">
        <v>16</v>
      </c>
      <c r="K4205">
        <v>210068.52100135299</v>
      </c>
      <c r="L4205" t="s">
        <v>17</v>
      </c>
      <c r="M4205">
        <v>0</v>
      </c>
      <c r="N4205">
        <v>0.105556248240327</v>
      </c>
    </row>
    <row r="4206" spans="2:14" x14ac:dyDescent="0.25">
      <c r="B4206" t="s">
        <v>14</v>
      </c>
      <c r="C4206" s="1">
        <v>46074.999988425923</v>
      </c>
      <c r="D4206">
        <v>25.158623315688398</v>
      </c>
      <c r="E4206">
        <v>22174.044950297299</v>
      </c>
      <c r="F4206" s="1">
        <v>46074.099803240744</v>
      </c>
      <c r="G4206">
        <v>52.875131642410302</v>
      </c>
      <c r="H4206" t="s">
        <v>35</v>
      </c>
      <c r="J4206" t="s">
        <v>16</v>
      </c>
      <c r="K4206">
        <v>210068.52100135299</v>
      </c>
      <c r="L4206" t="s">
        <v>17</v>
      </c>
      <c r="M4206">
        <v>0</v>
      </c>
      <c r="N4206">
        <v>0.105556248240327</v>
      </c>
    </row>
    <row r="4207" spans="2:14" x14ac:dyDescent="0.25">
      <c r="B4207" t="s">
        <v>14</v>
      </c>
      <c r="C4207" s="1">
        <v>46073.999988425923</v>
      </c>
      <c r="D4207">
        <v>25.158623315688398</v>
      </c>
      <c r="E4207">
        <v>19351.075136018699</v>
      </c>
      <c r="F4207" s="1">
        <v>46071.606296296297</v>
      </c>
      <c r="G4207">
        <v>52.875131642410302</v>
      </c>
      <c r="H4207" t="s">
        <v>35</v>
      </c>
      <c r="J4207" t="s">
        <v>16</v>
      </c>
      <c r="K4207">
        <v>210068.52100135299</v>
      </c>
      <c r="L4207" t="s">
        <v>17</v>
      </c>
      <c r="M4207">
        <v>-2822.9698142785601</v>
      </c>
      <c r="N4207">
        <v>9.2117919637726503E-2</v>
      </c>
    </row>
    <row r="4208" spans="2:14" x14ac:dyDescent="0.25">
      <c r="B4208" t="s">
        <v>14</v>
      </c>
      <c r="C4208" s="1">
        <v>46072.999988425923</v>
      </c>
      <c r="D4208">
        <v>25.158623315688398</v>
      </c>
      <c r="E4208">
        <v>19351.075136018699</v>
      </c>
      <c r="F4208" s="1">
        <v>46071.606296296297</v>
      </c>
      <c r="G4208">
        <v>52.875131642410302</v>
      </c>
      <c r="H4208" t="s">
        <v>35</v>
      </c>
      <c r="J4208" t="s">
        <v>16</v>
      </c>
      <c r="K4208">
        <v>210068.52100135299</v>
      </c>
      <c r="L4208" t="s">
        <v>17</v>
      </c>
      <c r="M4208">
        <v>0</v>
      </c>
      <c r="N4208">
        <v>9.2117919637726503E-2</v>
      </c>
    </row>
    <row r="4209" spans="2:14" x14ac:dyDescent="0.25">
      <c r="B4209" t="s">
        <v>14</v>
      </c>
      <c r="C4209" s="1">
        <v>46071.999988425923</v>
      </c>
      <c r="D4209">
        <v>25.158623315688398</v>
      </c>
      <c r="E4209">
        <v>19351.075136018699</v>
      </c>
      <c r="F4209" s="1">
        <v>46071.606296296297</v>
      </c>
      <c r="G4209">
        <v>52.875131642410302</v>
      </c>
      <c r="H4209" t="s">
        <v>35</v>
      </c>
      <c r="J4209" t="s">
        <v>16</v>
      </c>
      <c r="K4209">
        <v>210068.52100135299</v>
      </c>
      <c r="L4209" t="s">
        <v>17</v>
      </c>
      <c r="M4209">
        <v>0</v>
      </c>
      <c r="N4209">
        <v>9.2117919637726503E-2</v>
      </c>
    </row>
    <row r="4210" spans="2:14" x14ac:dyDescent="0.25">
      <c r="B4210" t="s">
        <v>14</v>
      </c>
      <c r="C4210" s="1">
        <v>46070.999988425923</v>
      </c>
      <c r="D4210">
        <v>25.158623315688398</v>
      </c>
      <c r="E4210">
        <v>22470.965191157698</v>
      </c>
      <c r="F4210" s="1">
        <v>46068.099097222221</v>
      </c>
      <c r="G4210">
        <v>52.875131642410302</v>
      </c>
      <c r="H4210" t="s">
        <v>35</v>
      </c>
      <c r="J4210" t="s">
        <v>16</v>
      </c>
      <c r="K4210">
        <v>210068.52100135299</v>
      </c>
      <c r="L4210" t="s">
        <v>17</v>
      </c>
      <c r="M4210">
        <v>3119.8900551390502</v>
      </c>
      <c r="N4210">
        <v>0.106969692955628</v>
      </c>
    </row>
    <row r="4211" spans="2:14" x14ac:dyDescent="0.25">
      <c r="B4211" t="s">
        <v>14</v>
      </c>
      <c r="C4211" s="1">
        <v>46069.999988425923</v>
      </c>
      <c r="D4211">
        <v>25.158623315688398</v>
      </c>
      <c r="E4211">
        <v>22470.965191157698</v>
      </c>
      <c r="F4211" s="1">
        <v>46068.099097222221</v>
      </c>
      <c r="G4211">
        <v>52.875131642410302</v>
      </c>
      <c r="H4211" t="s">
        <v>35</v>
      </c>
      <c r="J4211" t="s">
        <v>16</v>
      </c>
      <c r="K4211">
        <v>210068.52100135299</v>
      </c>
      <c r="L4211" t="s">
        <v>17</v>
      </c>
      <c r="M4211">
        <v>0</v>
      </c>
      <c r="N4211">
        <v>0.106969692955628</v>
      </c>
    </row>
    <row r="4212" spans="2:14" x14ac:dyDescent="0.25">
      <c r="B4212" t="s">
        <v>14</v>
      </c>
      <c r="C4212" s="1">
        <v>46068.999988425923</v>
      </c>
      <c r="D4212">
        <v>25.158623315688398</v>
      </c>
      <c r="E4212">
        <v>22470.965191157698</v>
      </c>
      <c r="F4212" s="1">
        <v>46068.099097222221</v>
      </c>
      <c r="G4212">
        <v>52.875131642410302</v>
      </c>
      <c r="H4212" t="s">
        <v>35</v>
      </c>
      <c r="J4212" t="s">
        <v>16</v>
      </c>
      <c r="K4212">
        <v>210068.52100135299</v>
      </c>
      <c r="L4212" t="s">
        <v>17</v>
      </c>
      <c r="M4212">
        <v>0</v>
      </c>
      <c r="N4212">
        <v>0.106969692955628</v>
      </c>
    </row>
    <row r="4213" spans="2:14" x14ac:dyDescent="0.25">
      <c r="B4213" t="s">
        <v>14</v>
      </c>
      <c r="C4213" s="1">
        <v>46067.999988425923</v>
      </c>
      <c r="D4213">
        <v>25.158623315688398</v>
      </c>
      <c r="E4213">
        <v>18394.506775267699</v>
      </c>
      <c r="F4213" s="1">
        <v>46065.605474537035</v>
      </c>
      <c r="G4213">
        <v>52.875131642410302</v>
      </c>
      <c r="H4213" t="s">
        <v>35</v>
      </c>
      <c r="J4213" t="s">
        <v>16</v>
      </c>
      <c r="K4213">
        <v>210068.52100135299</v>
      </c>
      <c r="L4213" t="s">
        <v>17</v>
      </c>
      <c r="M4213">
        <v>-4076.4584158900202</v>
      </c>
      <c r="N4213">
        <v>8.75643180024544E-2</v>
      </c>
    </row>
    <row r="4214" spans="2:14" x14ac:dyDescent="0.25">
      <c r="B4214" t="s">
        <v>14</v>
      </c>
      <c r="C4214" s="1">
        <v>46066.999988425923</v>
      </c>
      <c r="D4214">
        <v>25.158623315688398</v>
      </c>
      <c r="E4214">
        <v>18394.506775267699</v>
      </c>
      <c r="F4214" s="1">
        <v>46065.605474537035</v>
      </c>
      <c r="G4214">
        <v>52.875131642410302</v>
      </c>
      <c r="H4214" t="s">
        <v>35</v>
      </c>
      <c r="J4214" t="s">
        <v>16</v>
      </c>
      <c r="K4214">
        <v>210068.52100135299</v>
      </c>
      <c r="L4214" t="s">
        <v>17</v>
      </c>
      <c r="M4214">
        <v>0</v>
      </c>
      <c r="N4214">
        <v>8.75643180024544E-2</v>
      </c>
    </row>
    <row r="4215" spans="2:14" x14ac:dyDescent="0.25">
      <c r="B4215" t="s">
        <v>14</v>
      </c>
      <c r="C4215" s="1">
        <v>46065.999988425923</v>
      </c>
      <c r="D4215">
        <v>25.158623315688398</v>
      </c>
      <c r="E4215">
        <v>18394.506775267699</v>
      </c>
      <c r="F4215" s="1">
        <v>46065.605474537035</v>
      </c>
      <c r="G4215">
        <v>52.875131642410302</v>
      </c>
      <c r="H4215" t="s">
        <v>35</v>
      </c>
      <c r="J4215" t="s">
        <v>16</v>
      </c>
      <c r="K4215">
        <v>210068.52100135299</v>
      </c>
      <c r="L4215" t="s">
        <v>17</v>
      </c>
      <c r="M4215">
        <v>0</v>
      </c>
      <c r="N4215">
        <v>8.75643180024544E-2</v>
      </c>
    </row>
    <row r="4216" spans="2:14" x14ac:dyDescent="0.25">
      <c r="B4216" t="s">
        <v>14</v>
      </c>
      <c r="C4216" s="1">
        <v>46064.999988425923</v>
      </c>
      <c r="D4216">
        <v>25.158623315688398</v>
      </c>
      <c r="E4216">
        <v>22308.725666416201</v>
      </c>
      <c r="F4216" s="1">
        <v>46062.099814814814</v>
      </c>
      <c r="G4216">
        <v>52.875131642410302</v>
      </c>
      <c r="H4216" t="s">
        <v>35</v>
      </c>
      <c r="J4216" t="s">
        <v>16</v>
      </c>
      <c r="K4216">
        <v>210068.52100135299</v>
      </c>
      <c r="L4216" t="s">
        <v>17</v>
      </c>
      <c r="M4216">
        <v>3914.21889114851</v>
      </c>
      <c r="N4216">
        <v>0.106197375789933</v>
      </c>
    </row>
    <row r="4217" spans="2:14" x14ac:dyDescent="0.25">
      <c r="B4217" t="s">
        <v>14</v>
      </c>
      <c r="C4217" s="1">
        <v>46063.999988425923</v>
      </c>
      <c r="D4217">
        <v>25.158623315688398</v>
      </c>
      <c r="E4217">
        <v>22308.725666416201</v>
      </c>
      <c r="F4217" s="1">
        <v>46062.099814814814</v>
      </c>
      <c r="G4217">
        <v>52.875131642410302</v>
      </c>
      <c r="H4217" t="s">
        <v>35</v>
      </c>
      <c r="J4217" t="s">
        <v>16</v>
      </c>
      <c r="K4217">
        <v>210068.52100135299</v>
      </c>
      <c r="L4217" t="s">
        <v>17</v>
      </c>
      <c r="M4217">
        <v>0</v>
      </c>
      <c r="N4217">
        <v>0.106197375789933</v>
      </c>
    </row>
    <row r="4218" spans="2:14" x14ac:dyDescent="0.25">
      <c r="B4218" t="s">
        <v>14</v>
      </c>
      <c r="C4218" s="1">
        <v>46062.999988425923</v>
      </c>
      <c r="D4218">
        <v>25.158623315688398</v>
      </c>
      <c r="E4218">
        <v>22308.725666416201</v>
      </c>
      <c r="F4218" s="1">
        <v>46062.099814814814</v>
      </c>
      <c r="G4218">
        <v>52.875131642410302</v>
      </c>
      <c r="H4218" t="s">
        <v>35</v>
      </c>
      <c r="J4218" t="s">
        <v>16</v>
      </c>
      <c r="K4218">
        <v>210068.52100135299</v>
      </c>
      <c r="L4218" t="s">
        <v>17</v>
      </c>
      <c r="M4218">
        <v>0</v>
      </c>
      <c r="N4218">
        <v>0.106197375789933</v>
      </c>
    </row>
    <row r="4219" spans="2:14" x14ac:dyDescent="0.25">
      <c r="B4219" t="s">
        <v>14</v>
      </c>
      <c r="C4219" s="1">
        <v>46061.999988425923</v>
      </c>
      <c r="D4219">
        <v>25.158623315688398</v>
      </c>
      <c r="E4219">
        <v>17958.4898480419</v>
      </c>
      <c r="F4219" s="1">
        <v>46059.606296296297</v>
      </c>
      <c r="G4219">
        <v>52.875131642410302</v>
      </c>
      <c r="H4219" t="s">
        <v>35</v>
      </c>
      <c r="J4219" t="s">
        <v>16</v>
      </c>
      <c r="K4219">
        <v>210068.52100135299</v>
      </c>
      <c r="L4219" t="s">
        <v>17</v>
      </c>
      <c r="M4219">
        <v>-4350.23581837437</v>
      </c>
      <c r="N4219">
        <v>8.5488724166940797E-2</v>
      </c>
    </row>
    <row r="4220" spans="2:14" x14ac:dyDescent="0.25">
      <c r="B4220" t="s">
        <v>14</v>
      </c>
      <c r="C4220" s="1">
        <v>46060.999988425923</v>
      </c>
      <c r="D4220">
        <v>25.158623315688398</v>
      </c>
      <c r="E4220">
        <v>17958.4898480419</v>
      </c>
      <c r="F4220" s="1">
        <v>46059.606296296297</v>
      </c>
      <c r="G4220">
        <v>52.875131642410302</v>
      </c>
      <c r="H4220" t="s">
        <v>35</v>
      </c>
      <c r="J4220" t="s">
        <v>16</v>
      </c>
      <c r="K4220">
        <v>210068.52100135299</v>
      </c>
      <c r="L4220" t="s">
        <v>17</v>
      </c>
      <c r="M4220">
        <v>0</v>
      </c>
      <c r="N4220">
        <v>8.5488724166940797E-2</v>
      </c>
    </row>
    <row r="4221" spans="2:14" x14ac:dyDescent="0.25">
      <c r="B4221" t="s">
        <v>14</v>
      </c>
      <c r="C4221" s="1">
        <v>46059.999988425923</v>
      </c>
      <c r="D4221">
        <v>25.158623315688398</v>
      </c>
      <c r="E4221">
        <v>17958.4898480419</v>
      </c>
      <c r="F4221" s="1">
        <v>46059.606296296297</v>
      </c>
      <c r="G4221">
        <v>52.875131642410302</v>
      </c>
      <c r="H4221" t="s">
        <v>35</v>
      </c>
      <c r="J4221" t="s">
        <v>16</v>
      </c>
      <c r="K4221">
        <v>210068.52100135299</v>
      </c>
      <c r="L4221" t="s">
        <v>17</v>
      </c>
      <c r="M4221">
        <v>0</v>
      </c>
      <c r="N4221">
        <v>8.5488724166940797E-2</v>
      </c>
    </row>
    <row r="4222" spans="2:14" x14ac:dyDescent="0.25">
      <c r="B4222" t="s">
        <v>14</v>
      </c>
      <c r="C4222" s="1">
        <v>46058.999988425923</v>
      </c>
      <c r="D4222">
        <v>25.158623315688398</v>
      </c>
      <c r="E4222">
        <v>21571.855337302401</v>
      </c>
      <c r="F4222" s="1">
        <v>46056.099097222221</v>
      </c>
      <c r="G4222">
        <v>52.875131642410302</v>
      </c>
      <c r="H4222" t="s">
        <v>35</v>
      </c>
      <c r="J4222" t="s">
        <v>16</v>
      </c>
      <c r="K4222">
        <v>210068.52100135299</v>
      </c>
      <c r="L4222" t="s">
        <v>17</v>
      </c>
      <c r="M4222">
        <v>3613.36548926055</v>
      </c>
      <c r="N4222">
        <v>0.102689614010104</v>
      </c>
    </row>
    <row r="4223" spans="2:14" x14ac:dyDescent="0.25">
      <c r="B4223" t="s">
        <v>14</v>
      </c>
      <c r="C4223" s="1">
        <v>46057.999988425923</v>
      </c>
      <c r="D4223">
        <v>25.158623315688398</v>
      </c>
      <c r="E4223">
        <v>21571.855337302401</v>
      </c>
      <c r="F4223" s="1">
        <v>46056.099097222221</v>
      </c>
      <c r="G4223">
        <v>52.875131642410302</v>
      </c>
      <c r="H4223" t="s">
        <v>35</v>
      </c>
      <c r="J4223" t="s">
        <v>16</v>
      </c>
      <c r="K4223">
        <v>210068.52100135299</v>
      </c>
      <c r="L4223" t="s">
        <v>17</v>
      </c>
      <c r="M4223">
        <v>0</v>
      </c>
      <c r="N4223">
        <v>0.102689614010104</v>
      </c>
    </row>
    <row r="4224" spans="2:14" x14ac:dyDescent="0.25">
      <c r="B4224" t="s">
        <v>14</v>
      </c>
      <c r="C4224" s="1">
        <v>46056.999988425923</v>
      </c>
      <c r="D4224">
        <v>25.158623315688398</v>
      </c>
      <c r="E4224">
        <v>21571.855337302401</v>
      </c>
      <c r="F4224" s="1">
        <v>46056.099097222221</v>
      </c>
      <c r="G4224">
        <v>52.875131642410302</v>
      </c>
      <c r="H4224" t="s">
        <v>35</v>
      </c>
      <c r="J4224" t="s">
        <v>16</v>
      </c>
      <c r="K4224">
        <v>210068.52100135299</v>
      </c>
      <c r="L4224" t="s">
        <v>17</v>
      </c>
      <c r="M4224">
        <v>0</v>
      </c>
      <c r="N4224">
        <v>0.102689614010104</v>
      </c>
    </row>
    <row r="4225" spans="2:14" x14ac:dyDescent="0.25">
      <c r="B4225" t="s">
        <v>14</v>
      </c>
      <c r="C4225" s="1">
        <v>46055.999988425923</v>
      </c>
      <c r="D4225">
        <v>25.158623315688398</v>
      </c>
      <c r="E4225">
        <v>17223.061413485699</v>
      </c>
      <c r="F4225" s="1">
        <v>46053.605474537035</v>
      </c>
      <c r="G4225">
        <v>52.875131642410302</v>
      </c>
      <c r="H4225" t="s">
        <v>35</v>
      </c>
      <c r="J4225" t="s">
        <v>16</v>
      </c>
      <c r="K4225">
        <v>210068.52100135299</v>
      </c>
      <c r="L4225" t="s">
        <v>17</v>
      </c>
      <c r="M4225">
        <v>-4348.7939238167</v>
      </c>
      <c r="N4225">
        <v>8.1987826312038395E-2</v>
      </c>
    </row>
    <row r="4226" spans="2:14" x14ac:dyDescent="0.25">
      <c r="B4226" t="s">
        <v>14</v>
      </c>
      <c r="C4226" s="1">
        <v>46054.999988425923</v>
      </c>
      <c r="D4226">
        <v>25.158623315688398</v>
      </c>
      <c r="E4226">
        <v>17223.061413485699</v>
      </c>
      <c r="F4226" s="1">
        <v>46053.605474537035</v>
      </c>
      <c r="G4226">
        <v>52.875131642410302</v>
      </c>
      <c r="H4226" t="s">
        <v>35</v>
      </c>
      <c r="J4226" t="s">
        <v>16</v>
      </c>
      <c r="K4226">
        <v>210068.52100135299</v>
      </c>
      <c r="L4226" t="s">
        <v>17</v>
      </c>
      <c r="M4226">
        <v>0</v>
      </c>
      <c r="N4226">
        <v>8.1987826312038395E-2</v>
      </c>
    </row>
    <row r="4227" spans="2:14" x14ac:dyDescent="0.25">
      <c r="B4227" t="s">
        <v>14</v>
      </c>
      <c r="C4227" s="1">
        <v>46053.999988425923</v>
      </c>
      <c r="D4227">
        <v>25.158623315688398</v>
      </c>
      <c r="E4227">
        <v>17223.061413485699</v>
      </c>
      <c r="F4227" s="1">
        <v>46053.605474537035</v>
      </c>
      <c r="G4227">
        <v>52.875131642410302</v>
      </c>
      <c r="H4227" t="s">
        <v>35</v>
      </c>
      <c r="J4227" t="s">
        <v>16</v>
      </c>
      <c r="K4227">
        <v>210068.52100135299</v>
      </c>
      <c r="L4227" t="s">
        <v>17</v>
      </c>
      <c r="M4227">
        <v>0</v>
      </c>
      <c r="N4227">
        <v>8.1987826312038395E-2</v>
      </c>
    </row>
    <row r="4228" spans="2:14" x14ac:dyDescent="0.25">
      <c r="B4228" t="s">
        <v>14</v>
      </c>
      <c r="C4228" s="1">
        <v>46052.999988425923</v>
      </c>
      <c r="D4228">
        <v>25.158623315688398</v>
      </c>
      <c r="E4228">
        <v>21701.164462253</v>
      </c>
      <c r="F4228" s="1">
        <v>46050.099814814814</v>
      </c>
      <c r="G4228">
        <v>52.875131642410302</v>
      </c>
      <c r="H4228" t="s">
        <v>35</v>
      </c>
      <c r="J4228" t="s">
        <v>16</v>
      </c>
      <c r="K4228">
        <v>210068.52100135299</v>
      </c>
      <c r="L4228" t="s">
        <v>17</v>
      </c>
      <c r="M4228">
        <v>4478.1030487672797</v>
      </c>
      <c r="N4228">
        <v>0.10330517089761</v>
      </c>
    </row>
    <row r="4229" spans="2:14" x14ac:dyDescent="0.25">
      <c r="B4229" t="s">
        <v>14</v>
      </c>
      <c r="C4229" s="1">
        <v>46051.999988425923</v>
      </c>
      <c r="D4229">
        <v>25.158623315688398</v>
      </c>
      <c r="E4229">
        <v>21701.164462253</v>
      </c>
      <c r="F4229" s="1">
        <v>46050.099814814814</v>
      </c>
      <c r="G4229">
        <v>52.875131642410302</v>
      </c>
      <c r="H4229" t="s">
        <v>35</v>
      </c>
      <c r="J4229" t="s">
        <v>16</v>
      </c>
      <c r="K4229">
        <v>210068.52100135299</v>
      </c>
      <c r="L4229" t="s">
        <v>17</v>
      </c>
      <c r="M4229">
        <v>0</v>
      </c>
      <c r="N4229">
        <v>0.10330517089761</v>
      </c>
    </row>
    <row r="4230" spans="2:14" x14ac:dyDescent="0.25">
      <c r="B4230" t="s">
        <v>14</v>
      </c>
      <c r="C4230" s="1">
        <v>46050.999988425923</v>
      </c>
      <c r="D4230">
        <v>25.158623315688398</v>
      </c>
      <c r="E4230">
        <v>21701.164462253</v>
      </c>
      <c r="F4230" s="1">
        <v>46050.099814814814</v>
      </c>
      <c r="G4230">
        <v>52.875131642410302</v>
      </c>
      <c r="H4230" t="s">
        <v>35</v>
      </c>
      <c r="J4230" t="s">
        <v>16</v>
      </c>
      <c r="K4230">
        <v>210068.52100135299</v>
      </c>
      <c r="L4230" t="s">
        <v>17</v>
      </c>
      <c r="M4230">
        <v>0</v>
      </c>
      <c r="N4230">
        <v>0.10330517089761</v>
      </c>
    </row>
    <row r="4231" spans="2:14" x14ac:dyDescent="0.25">
      <c r="B4231" t="s">
        <v>14</v>
      </c>
      <c r="C4231" s="1">
        <v>46049.999988425923</v>
      </c>
      <c r="D4231">
        <v>25.158623315688398</v>
      </c>
      <c r="E4231">
        <v>18908.4845031447</v>
      </c>
      <c r="F4231" s="1">
        <v>46047.606307870374</v>
      </c>
      <c r="G4231">
        <v>52.875131642410302</v>
      </c>
      <c r="H4231" t="s">
        <v>35</v>
      </c>
      <c r="J4231" t="s">
        <v>16</v>
      </c>
      <c r="K4231">
        <v>210068.52100135299</v>
      </c>
      <c r="L4231" t="s">
        <v>17</v>
      </c>
      <c r="M4231">
        <v>-2792.6799591082599</v>
      </c>
      <c r="N4231">
        <v>9.0011032652640793E-2</v>
      </c>
    </row>
    <row r="4232" spans="2:14" x14ac:dyDescent="0.25">
      <c r="B4232" t="s">
        <v>14</v>
      </c>
      <c r="C4232" s="1">
        <v>46048.999988425923</v>
      </c>
      <c r="D4232">
        <v>25.158623315688398</v>
      </c>
      <c r="E4232">
        <v>18908.4845031447</v>
      </c>
      <c r="F4232" s="1">
        <v>46047.606307870374</v>
      </c>
      <c r="G4232">
        <v>52.875131642410302</v>
      </c>
      <c r="H4232" t="s">
        <v>35</v>
      </c>
      <c r="J4232" t="s">
        <v>16</v>
      </c>
      <c r="K4232">
        <v>210068.52100135299</v>
      </c>
      <c r="L4232" t="s">
        <v>17</v>
      </c>
      <c r="M4232">
        <v>0</v>
      </c>
      <c r="N4232">
        <v>9.0011032652640793E-2</v>
      </c>
    </row>
    <row r="4233" spans="2:14" x14ac:dyDescent="0.25">
      <c r="B4233" t="s">
        <v>14</v>
      </c>
      <c r="C4233" s="1">
        <v>46047.999988425923</v>
      </c>
      <c r="D4233">
        <v>25.158623315688398</v>
      </c>
      <c r="E4233">
        <v>18908.4845031447</v>
      </c>
      <c r="F4233" s="1">
        <v>46047.606307870374</v>
      </c>
      <c r="G4233">
        <v>52.875131642410302</v>
      </c>
      <c r="H4233" t="s">
        <v>35</v>
      </c>
      <c r="J4233" t="s">
        <v>16</v>
      </c>
      <c r="K4233">
        <v>210068.52100135299</v>
      </c>
      <c r="L4233" t="s">
        <v>17</v>
      </c>
      <c r="M4233">
        <v>0</v>
      </c>
      <c r="N4233">
        <v>9.0011032652640793E-2</v>
      </c>
    </row>
    <row r="4234" spans="2:14" x14ac:dyDescent="0.25">
      <c r="B4234" t="s">
        <v>14</v>
      </c>
      <c r="C4234" s="1">
        <v>46046.999988425923</v>
      </c>
      <c r="D4234">
        <v>25.158623315688398</v>
      </c>
      <c r="E4234">
        <v>16191.460825263999</v>
      </c>
      <c r="F4234" s="1">
        <v>46041.605486111112</v>
      </c>
      <c r="G4234">
        <v>52.875131642410302</v>
      </c>
      <c r="H4234" t="s">
        <v>35</v>
      </c>
      <c r="J4234" t="s">
        <v>16</v>
      </c>
      <c r="K4234">
        <v>210068.52100135299</v>
      </c>
      <c r="L4234" t="s">
        <v>17</v>
      </c>
      <c r="M4234">
        <v>-2717.0236778807498</v>
      </c>
      <c r="N4234">
        <v>7.7077044899838701E-2</v>
      </c>
    </row>
    <row r="4235" spans="2:14" x14ac:dyDescent="0.25">
      <c r="B4235" t="s">
        <v>14</v>
      </c>
      <c r="C4235" s="1">
        <v>46045.999988425923</v>
      </c>
      <c r="D4235">
        <v>25.158623315688398</v>
      </c>
      <c r="E4235">
        <v>16191.460825263999</v>
      </c>
      <c r="F4235" s="1">
        <v>46041.605486111112</v>
      </c>
      <c r="G4235">
        <v>52.875131642410302</v>
      </c>
      <c r="H4235" t="s">
        <v>35</v>
      </c>
      <c r="J4235" t="s">
        <v>16</v>
      </c>
      <c r="K4235">
        <v>210068.52100135299</v>
      </c>
      <c r="L4235" t="s">
        <v>17</v>
      </c>
      <c r="M4235">
        <v>0</v>
      </c>
      <c r="N4235">
        <v>7.7077044899838701E-2</v>
      </c>
    </row>
    <row r="4236" spans="2:14" x14ac:dyDescent="0.25">
      <c r="B4236" t="s">
        <v>14</v>
      </c>
      <c r="C4236" s="1">
        <v>46044.999988425923</v>
      </c>
      <c r="D4236">
        <v>25.158623315688398</v>
      </c>
      <c r="E4236">
        <v>16191.460825263999</v>
      </c>
      <c r="F4236" s="1">
        <v>46041.605486111112</v>
      </c>
      <c r="G4236">
        <v>52.875131642410302</v>
      </c>
      <c r="H4236" t="s">
        <v>35</v>
      </c>
      <c r="J4236" t="s">
        <v>16</v>
      </c>
      <c r="K4236">
        <v>210068.52100135299</v>
      </c>
      <c r="L4236" t="s">
        <v>17</v>
      </c>
      <c r="M4236">
        <v>0</v>
      </c>
      <c r="N4236">
        <v>7.7077044899838701E-2</v>
      </c>
    </row>
    <row r="4237" spans="2:14" x14ac:dyDescent="0.25">
      <c r="B4237" t="s">
        <v>14</v>
      </c>
      <c r="C4237" s="1">
        <v>46043.999988425923</v>
      </c>
      <c r="D4237">
        <v>25.158623315688398</v>
      </c>
      <c r="E4237">
        <v>16191.460825263999</v>
      </c>
      <c r="F4237" s="1">
        <v>46041.605486111112</v>
      </c>
      <c r="G4237">
        <v>52.875131642410302</v>
      </c>
      <c r="H4237" t="s">
        <v>35</v>
      </c>
      <c r="J4237" t="s">
        <v>16</v>
      </c>
      <c r="K4237">
        <v>210068.52100135299</v>
      </c>
      <c r="L4237" t="s">
        <v>17</v>
      </c>
      <c r="M4237">
        <v>0</v>
      </c>
      <c r="N4237">
        <v>7.7077044899838701E-2</v>
      </c>
    </row>
    <row r="4238" spans="2:14" x14ac:dyDescent="0.25">
      <c r="B4238" t="s">
        <v>14</v>
      </c>
      <c r="C4238" s="1">
        <v>46042.999988425923</v>
      </c>
      <c r="D4238">
        <v>25.158623315688398</v>
      </c>
      <c r="E4238">
        <v>16191.460825263999</v>
      </c>
      <c r="F4238" s="1">
        <v>46041.605486111112</v>
      </c>
      <c r="G4238">
        <v>52.875131642410302</v>
      </c>
      <c r="H4238" t="s">
        <v>35</v>
      </c>
      <c r="J4238" t="s">
        <v>16</v>
      </c>
      <c r="K4238">
        <v>210068.52100135299</v>
      </c>
      <c r="L4238" t="s">
        <v>17</v>
      </c>
      <c r="M4238">
        <v>0</v>
      </c>
      <c r="N4238">
        <v>7.7077044899838701E-2</v>
      </c>
    </row>
    <row r="4239" spans="2:14" x14ac:dyDescent="0.25">
      <c r="B4239" t="s">
        <v>14</v>
      </c>
      <c r="C4239" s="1">
        <v>46041.999988425923</v>
      </c>
      <c r="D4239">
        <v>25.158623315688398</v>
      </c>
      <c r="E4239">
        <v>16191.460825263999</v>
      </c>
      <c r="F4239" s="1">
        <v>46041.605486111112</v>
      </c>
      <c r="G4239">
        <v>52.875131642410302</v>
      </c>
      <c r="H4239" t="s">
        <v>35</v>
      </c>
      <c r="J4239" t="s">
        <v>16</v>
      </c>
      <c r="K4239">
        <v>210068.52100135299</v>
      </c>
      <c r="L4239" t="s">
        <v>17</v>
      </c>
      <c r="M4239">
        <v>0</v>
      </c>
      <c r="N4239">
        <v>7.7077044899838701E-2</v>
      </c>
    </row>
    <row r="4240" spans="2:14" x14ac:dyDescent="0.25">
      <c r="B4240" t="s">
        <v>14</v>
      </c>
      <c r="C4240" s="1">
        <v>46040.999988425923</v>
      </c>
      <c r="D4240">
        <v>25.158623315688398</v>
      </c>
      <c r="E4240">
        <v>22020.962827584601</v>
      </c>
      <c r="F4240" s="1">
        <v>46038.099826388891</v>
      </c>
      <c r="G4240">
        <v>52.875131642410302</v>
      </c>
      <c r="H4240" t="s">
        <v>35</v>
      </c>
      <c r="J4240" t="s">
        <v>16</v>
      </c>
      <c r="K4240">
        <v>210068.52100135299</v>
      </c>
      <c r="L4240" t="s">
        <v>17</v>
      </c>
      <c r="M4240">
        <v>5829.5020023205998</v>
      </c>
      <c r="N4240">
        <v>0.104827523527157</v>
      </c>
    </row>
    <row r="4241" spans="2:14" x14ac:dyDescent="0.25">
      <c r="B4241" t="s">
        <v>14</v>
      </c>
      <c r="C4241" s="1">
        <v>46039.999988425923</v>
      </c>
      <c r="D4241">
        <v>25.158623315688398</v>
      </c>
      <c r="E4241">
        <v>22020.962827584601</v>
      </c>
      <c r="F4241" s="1">
        <v>46038.099826388891</v>
      </c>
      <c r="G4241">
        <v>52.875131642410302</v>
      </c>
      <c r="H4241" t="s">
        <v>35</v>
      </c>
      <c r="J4241" t="s">
        <v>16</v>
      </c>
      <c r="K4241">
        <v>210068.52100135299</v>
      </c>
      <c r="L4241" t="s">
        <v>17</v>
      </c>
      <c r="M4241">
        <v>0</v>
      </c>
      <c r="N4241">
        <v>0.104827523527157</v>
      </c>
    </row>
    <row r="4242" spans="2:14" x14ac:dyDescent="0.25">
      <c r="B4242" t="s">
        <v>14</v>
      </c>
      <c r="C4242" s="1">
        <v>46038.999988425923</v>
      </c>
      <c r="D4242">
        <v>25.158623315688398</v>
      </c>
      <c r="E4242">
        <v>22020.962827584601</v>
      </c>
      <c r="F4242" s="1">
        <v>46038.099826388891</v>
      </c>
      <c r="G4242">
        <v>52.875131642410302</v>
      </c>
      <c r="H4242" t="s">
        <v>35</v>
      </c>
      <c r="J4242" t="s">
        <v>16</v>
      </c>
      <c r="K4242">
        <v>210068.52100135299</v>
      </c>
      <c r="L4242" t="s">
        <v>17</v>
      </c>
      <c r="M4242">
        <v>0</v>
      </c>
      <c r="N4242">
        <v>0.104827523527157</v>
      </c>
    </row>
    <row r="4243" spans="2:14" x14ac:dyDescent="0.25">
      <c r="B4243" t="s">
        <v>14</v>
      </c>
      <c r="C4243" s="1">
        <v>46037.999988425923</v>
      </c>
      <c r="D4243">
        <v>25.158623315688398</v>
      </c>
      <c r="E4243">
        <v>17577.080498550498</v>
      </c>
      <c r="F4243" s="1">
        <v>46035.606319444443</v>
      </c>
      <c r="G4243">
        <v>52.875131642410302</v>
      </c>
      <c r="H4243" t="s">
        <v>35</v>
      </c>
      <c r="J4243" t="s">
        <v>16</v>
      </c>
      <c r="K4243">
        <v>210068.52100135299</v>
      </c>
      <c r="L4243" t="s">
        <v>17</v>
      </c>
      <c r="M4243">
        <v>-4443.8823290340897</v>
      </c>
      <c r="N4243">
        <v>8.3673081596253501E-2</v>
      </c>
    </row>
    <row r="4244" spans="2:14" x14ac:dyDescent="0.25">
      <c r="B4244" t="s">
        <v>14</v>
      </c>
      <c r="C4244" s="1">
        <v>46036.999988425923</v>
      </c>
      <c r="D4244">
        <v>25.158623315688398</v>
      </c>
      <c r="E4244">
        <v>17577.080498550498</v>
      </c>
      <c r="F4244" s="1">
        <v>46035.606319444443</v>
      </c>
      <c r="G4244">
        <v>52.875131642410302</v>
      </c>
      <c r="H4244" t="s">
        <v>35</v>
      </c>
      <c r="J4244" t="s">
        <v>16</v>
      </c>
      <c r="K4244">
        <v>210068.52100135299</v>
      </c>
      <c r="L4244" t="s">
        <v>17</v>
      </c>
      <c r="M4244">
        <v>0</v>
      </c>
      <c r="N4244">
        <v>8.3673081596253501E-2</v>
      </c>
    </row>
    <row r="4245" spans="2:14" x14ac:dyDescent="0.25">
      <c r="B4245" t="s">
        <v>14</v>
      </c>
      <c r="C4245" s="1">
        <v>46035.999988425923</v>
      </c>
      <c r="D4245">
        <v>25.158623315688398</v>
      </c>
      <c r="E4245">
        <v>17577.080498550498</v>
      </c>
      <c r="F4245" s="1">
        <v>46035.606319444443</v>
      </c>
      <c r="G4245">
        <v>52.875131642410302</v>
      </c>
      <c r="H4245" t="s">
        <v>35</v>
      </c>
      <c r="J4245" t="s">
        <v>16</v>
      </c>
      <c r="K4245">
        <v>210068.52100135299</v>
      </c>
      <c r="L4245" t="s">
        <v>17</v>
      </c>
      <c r="M4245">
        <v>0</v>
      </c>
      <c r="N4245">
        <v>8.3673081596253501E-2</v>
      </c>
    </row>
    <row r="4246" spans="2:14" x14ac:dyDescent="0.25">
      <c r="B4246" t="s">
        <v>14</v>
      </c>
      <c r="C4246" s="1">
        <v>46034.999988425923</v>
      </c>
      <c r="D4246">
        <v>25.158623315688398</v>
      </c>
      <c r="E4246">
        <v>21592.493964181602</v>
      </c>
      <c r="F4246" s="1">
        <v>46032.099108796298</v>
      </c>
      <c r="G4246">
        <v>52.875131642410302</v>
      </c>
      <c r="H4246" t="s">
        <v>35</v>
      </c>
      <c r="J4246" t="s">
        <v>16</v>
      </c>
      <c r="K4246">
        <v>210068.52100135299</v>
      </c>
      <c r="L4246" t="s">
        <v>17</v>
      </c>
      <c r="M4246">
        <v>4015.4134656311298</v>
      </c>
      <c r="N4246">
        <v>0.102787861128619</v>
      </c>
    </row>
    <row r="4247" spans="2:14" x14ac:dyDescent="0.25">
      <c r="B4247" t="s">
        <v>14</v>
      </c>
      <c r="C4247" s="1">
        <v>46033.999988425923</v>
      </c>
      <c r="D4247">
        <v>25.158623315688398</v>
      </c>
      <c r="E4247">
        <v>21592.493964181602</v>
      </c>
      <c r="F4247" s="1">
        <v>46032.099108796298</v>
      </c>
      <c r="G4247">
        <v>52.875131642410302</v>
      </c>
      <c r="H4247" t="s">
        <v>35</v>
      </c>
      <c r="J4247" t="s">
        <v>16</v>
      </c>
      <c r="K4247">
        <v>210068.52100135299</v>
      </c>
      <c r="L4247" t="s">
        <v>17</v>
      </c>
      <c r="M4247">
        <v>0</v>
      </c>
      <c r="N4247">
        <v>0.102787861128619</v>
      </c>
    </row>
    <row r="4248" spans="2:14" x14ac:dyDescent="0.25">
      <c r="B4248" t="s">
        <v>14</v>
      </c>
      <c r="C4248" s="1">
        <v>46032.999988425923</v>
      </c>
      <c r="D4248">
        <v>25.158623315688398</v>
      </c>
      <c r="E4248">
        <v>21592.493964181602</v>
      </c>
      <c r="F4248" s="1">
        <v>46032.099108796298</v>
      </c>
      <c r="G4248">
        <v>52.875131642410302</v>
      </c>
      <c r="H4248" t="s">
        <v>35</v>
      </c>
      <c r="J4248" t="s">
        <v>16</v>
      </c>
      <c r="K4248">
        <v>210068.52100135299</v>
      </c>
      <c r="L4248" t="s">
        <v>17</v>
      </c>
      <c r="M4248">
        <v>0</v>
      </c>
      <c r="N4248">
        <v>0.102787861128619</v>
      </c>
    </row>
    <row r="4249" spans="2:14" x14ac:dyDescent="0.25">
      <c r="B4249" t="s">
        <v>14</v>
      </c>
      <c r="C4249" s="1">
        <v>46031.999988425923</v>
      </c>
      <c r="D4249">
        <v>25.158623315688398</v>
      </c>
      <c r="E4249">
        <v>15610.287933858101</v>
      </c>
      <c r="F4249" s="1">
        <v>46029.605486111112</v>
      </c>
      <c r="G4249">
        <v>52.875131642410302</v>
      </c>
      <c r="H4249" t="s">
        <v>35</v>
      </c>
      <c r="J4249" t="s">
        <v>16</v>
      </c>
      <c r="K4249">
        <v>210068.52100135299</v>
      </c>
      <c r="L4249" t="s">
        <v>17</v>
      </c>
      <c r="M4249">
        <v>-5982.2060303234903</v>
      </c>
      <c r="N4249">
        <v>7.4310457651851597E-2</v>
      </c>
    </row>
    <row r="4250" spans="2:14" x14ac:dyDescent="0.25">
      <c r="B4250" t="s">
        <v>14</v>
      </c>
      <c r="C4250" s="1">
        <v>46030.999988425923</v>
      </c>
      <c r="D4250">
        <v>25.158623315688398</v>
      </c>
      <c r="E4250">
        <v>15610.287933858101</v>
      </c>
      <c r="F4250" s="1">
        <v>46029.605486111112</v>
      </c>
      <c r="G4250">
        <v>52.875131642410302</v>
      </c>
      <c r="H4250" t="s">
        <v>35</v>
      </c>
      <c r="J4250" t="s">
        <v>16</v>
      </c>
      <c r="K4250">
        <v>210068.52100135299</v>
      </c>
      <c r="L4250" t="s">
        <v>17</v>
      </c>
      <c r="M4250">
        <v>0</v>
      </c>
      <c r="N4250">
        <v>7.4310457651851597E-2</v>
      </c>
    </row>
    <row r="4251" spans="2:14" x14ac:dyDescent="0.25">
      <c r="B4251" t="s">
        <v>14</v>
      </c>
      <c r="C4251" s="1">
        <v>46029.999988425923</v>
      </c>
      <c r="D4251">
        <v>25.158623315688398</v>
      </c>
      <c r="E4251">
        <v>15610.287933858101</v>
      </c>
      <c r="F4251" s="1">
        <v>46029.605486111112</v>
      </c>
      <c r="G4251">
        <v>52.875131642410302</v>
      </c>
      <c r="H4251" t="s">
        <v>35</v>
      </c>
      <c r="J4251" t="s">
        <v>16</v>
      </c>
      <c r="K4251">
        <v>210068.52100135299</v>
      </c>
      <c r="L4251" t="s">
        <v>17</v>
      </c>
      <c r="M4251">
        <v>0</v>
      </c>
      <c r="N4251">
        <v>7.4310457651851597E-2</v>
      </c>
    </row>
    <row r="4252" spans="2:14" x14ac:dyDescent="0.25">
      <c r="B4252" t="s">
        <v>14</v>
      </c>
      <c r="C4252" s="1">
        <v>46028.999988425923</v>
      </c>
      <c r="D4252">
        <v>25.158623315688398</v>
      </c>
      <c r="E4252">
        <v>22127.7847874002</v>
      </c>
      <c r="F4252" s="1">
        <v>46026.09983796296</v>
      </c>
      <c r="G4252">
        <v>52.875131642410302</v>
      </c>
      <c r="H4252" t="s">
        <v>35</v>
      </c>
      <c r="J4252" t="s">
        <v>16</v>
      </c>
      <c r="K4252">
        <v>210068.52100135299</v>
      </c>
      <c r="L4252" t="s">
        <v>17</v>
      </c>
      <c r="M4252">
        <v>6517.4968535421003</v>
      </c>
      <c r="N4252">
        <v>0.105336033604281</v>
      </c>
    </row>
    <row r="4253" spans="2:14" x14ac:dyDescent="0.25">
      <c r="B4253" t="s">
        <v>14</v>
      </c>
      <c r="C4253" s="1">
        <v>46027.999988425923</v>
      </c>
      <c r="D4253">
        <v>25.158623315688398</v>
      </c>
      <c r="E4253">
        <v>22127.7847874002</v>
      </c>
      <c r="F4253" s="1">
        <v>46026.09983796296</v>
      </c>
      <c r="G4253">
        <v>52.875131642410302</v>
      </c>
      <c r="H4253" t="s">
        <v>35</v>
      </c>
      <c r="J4253" t="s">
        <v>16</v>
      </c>
      <c r="K4253">
        <v>210068.52100135299</v>
      </c>
      <c r="L4253" t="s">
        <v>17</v>
      </c>
      <c r="M4253">
        <v>0</v>
      </c>
      <c r="N4253">
        <v>0.105336033604281</v>
      </c>
    </row>
    <row r="4254" spans="2:14" x14ac:dyDescent="0.25">
      <c r="B4254" t="s">
        <v>14</v>
      </c>
      <c r="C4254" s="1">
        <v>46026.999988425923</v>
      </c>
      <c r="D4254">
        <v>25.158623315688398</v>
      </c>
      <c r="E4254">
        <v>22127.7847874002</v>
      </c>
      <c r="F4254" s="1">
        <v>46026.09983796296</v>
      </c>
      <c r="G4254">
        <v>52.875131642410302</v>
      </c>
      <c r="H4254" t="s">
        <v>35</v>
      </c>
      <c r="J4254" t="s">
        <v>16</v>
      </c>
      <c r="K4254">
        <v>210068.52100135299</v>
      </c>
      <c r="L4254" t="s">
        <v>17</v>
      </c>
      <c r="M4254">
        <v>0</v>
      </c>
      <c r="N4254">
        <v>0.105336033604281</v>
      </c>
    </row>
    <row r="4255" spans="2:14" x14ac:dyDescent="0.25">
      <c r="B4255" t="s">
        <v>14</v>
      </c>
      <c r="C4255" s="1">
        <v>46025.999988425923</v>
      </c>
      <c r="D4255">
        <v>25.158623315688398</v>
      </c>
      <c r="E4255">
        <v>18455.629924235702</v>
      </c>
      <c r="F4255" s="1">
        <v>46023.60633101852</v>
      </c>
      <c r="G4255">
        <v>52.875131642410302</v>
      </c>
      <c r="H4255" t="s">
        <v>35</v>
      </c>
      <c r="J4255" t="s">
        <v>16</v>
      </c>
      <c r="K4255">
        <v>210068.52100135299</v>
      </c>
      <c r="L4255" t="s">
        <v>17</v>
      </c>
      <c r="M4255">
        <v>-3672.1548631644901</v>
      </c>
      <c r="N4255">
        <v>8.7855285676604902E-2</v>
      </c>
    </row>
    <row r="4256" spans="2:14" x14ac:dyDescent="0.25">
      <c r="B4256" t="s">
        <v>14</v>
      </c>
      <c r="C4256" s="1">
        <v>46024.999988425923</v>
      </c>
      <c r="D4256">
        <v>25.158623315688398</v>
      </c>
      <c r="E4256">
        <v>18455.629924235702</v>
      </c>
      <c r="F4256" s="1">
        <v>46023.60633101852</v>
      </c>
      <c r="G4256">
        <v>52.875131642410302</v>
      </c>
      <c r="H4256" t="s">
        <v>35</v>
      </c>
      <c r="J4256" t="s">
        <v>16</v>
      </c>
      <c r="K4256">
        <v>210068.52100135299</v>
      </c>
      <c r="L4256" t="s">
        <v>17</v>
      </c>
      <c r="M4256">
        <v>0</v>
      </c>
      <c r="N4256">
        <v>8.7855285676604902E-2</v>
      </c>
    </row>
    <row r="4257" spans="2:14" x14ac:dyDescent="0.25">
      <c r="B4257" t="s">
        <v>14</v>
      </c>
      <c r="C4257" s="1">
        <v>46023.999988425923</v>
      </c>
      <c r="D4257">
        <v>25.158623315688398</v>
      </c>
      <c r="E4257">
        <v>18455.629924235702</v>
      </c>
      <c r="F4257" s="1">
        <v>46023.60633101852</v>
      </c>
      <c r="G4257">
        <v>52.875131642410302</v>
      </c>
      <c r="H4257" t="s">
        <v>35</v>
      </c>
      <c r="J4257" t="s">
        <v>16</v>
      </c>
      <c r="K4257">
        <v>210068.52100135299</v>
      </c>
      <c r="L4257" t="s">
        <v>17</v>
      </c>
      <c r="M4257">
        <v>0</v>
      </c>
      <c r="N4257">
        <v>8.7855285676604902E-2</v>
      </c>
    </row>
    <row r="4258" spans="2:14" x14ac:dyDescent="0.25">
      <c r="C4258" s="1"/>
      <c r="F4258" s="1"/>
    </row>
    <row r="4259" spans="2:14" x14ac:dyDescent="0.25">
      <c r="C4259" s="1"/>
      <c r="F4259" s="1"/>
    </row>
    <row r="4260" spans="2:14" x14ac:dyDescent="0.25">
      <c r="C4260" s="1"/>
      <c r="F4260" s="1"/>
    </row>
    <row r="4261" spans="2:14" x14ac:dyDescent="0.25">
      <c r="C4261" s="1"/>
      <c r="F4261" s="1"/>
    </row>
    <row r="4262" spans="2:14" x14ac:dyDescent="0.25">
      <c r="C4262" s="1"/>
      <c r="F4262" s="1"/>
    </row>
    <row r="4263" spans="2:14" x14ac:dyDescent="0.25">
      <c r="C4263" s="1"/>
      <c r="F4263" s="1"/>
    </row>
    <row r="4264" spans="2:14" x14ac:dyDescent="0.25">
      <c r="C4264" s="1"/>
      <c r="F4264" s="1"/>
    </row>
    <row r="4265" spans="2:14" x14ac:dyDescent="0.25">
      <c r="C4265" s="1"/>
      <c r="F4265" s="1"/>
    </row>
    <row r="4266" spans="2:14" x14ac:dyDescent="0.25">
      <c r="C4266" s="1"/>
      <c r="F4266" s="1"/>
    </row>
    <row r="4267" spans="2:14" x14ac:dyDescent="0.25">
      <c r="C4267" s="1"/>
      <c r="F4267" s="1"/>
    </row>
    <row r="4268" spans="2:14" x14ac:dyDescent="0.25">
      <c r="C4268" s="1"/>
      <c r="F4268" s="1"/>
    </row>
    <row r="4269" spans="2:14" x14ac:dyDescent="0.25">
      <c r="C4269" s="1"/>
      <c r="F4269" s="1"/>
    </row>
    <row r="4270" spans="2:14" x14ac:dyDescent="0.25">
      <c r="C4270" s="1"/>
      <c r="F4270" s="1"/>
    </row>
    <row r="4271" spans="2:14" x14ac:dyDescent="0.25">
      <c r="C4271" s="1"/>
      <c r="F4271" s="1"/>
    </row>
    <row r="4272" spans="2:14" x14ac:dyDescent="0.25">
      <c r="C4272" s="1"/>
      <c r="F4272" s="1"/>
    </row>
    <row r="4273" spans="3:6" x14ac:dyDescent="0.25">
      <c r="C4273" s="1"/>
      <c r="F4273" s="1"/>
    </row>
    <row r="4274" spans="3:6" x14ac:dyDescent="0.25">
      <c r="C4274" s="1"/>
      <c r="F4274" s="1"/>
    </row>
    <row r="4275" spans="3:6" x14ac:dyDescent="0.25">
      <c r="C4275" s="1"/>
      <c r="F4275" s="1"/>
    </row>
    <row r="4276" spans="3:6" x14ac:dyDescent="0.25">
      <c r="C4276" s="1"/>
      <c r="F4276" s="1"/>
    </row>
    <row r="4277" spans="3:6" x14ac:dyDescent="0.25">
      <c r="C4277" s="1"/>
      <c r="F4277" s="1"/>
    </row>
    <row r="4278" spans="3:6" x14ac:dyDescent="0.25">
      <c r="C4278" s="1"/>
      <c r="F4278" s="1"/>
    </row>
    <row r="4279" spans="3:6" x14ac:dyDescent="0.25">
      <c r="C4279" s="1"/>
      <c r="F4279" s="1"/>
    </row>
    <row r="4280" spans="3:6" x14ac:dyDescent="0.25">
      <c r="C4280" s="1"/>
      <c r="F4280" s="1"/>
    </row>
    <row r="4281" spans="3:6" x14ac:dyDescent="0.25">
      <c r="C4281" s="1"/>
      <c r="F4281" s="1"/>
    </row>
    <row r="4282" spans="3:6" x14ac:dyDescent="0.25">
      <c r="C4282" s="1"/>
      <c r="F4282" s="1"/>
    </row>
    <row r="4283" spans="3:6" x14ac:dyDescent="0.25">
      <c r="C4283" s="1"/>
      <c r="F4283" s="1"/>
    </row>
    <row r="4284" spans="3:6" x14ac:dyDescent="0.25">
      <c r="C4284" s="1"/>
      <c r="F4284" s="1"/>
    </row>
    <row r="4285" spans="3:6" x14ac:dyDescent="0.25">
      <c r="C4285" s="1"/>
      <c r="F4285" s="1"/>
    </row>
    <row r="4286" spans="3:6" x14ac:dyDescent="0.25">
      <c r="C4286" s="1"/>
      <c r="F4286" s="1"/>
    </row>
    <row r="4287" spans="3:6" x14ac:dyDescent="0.25">
      <c r="C4287" s="1"/>
      <c r="F4287" s="1"/>
    </row>
    <row r="4288" spans="3:6" x14ac:dyDescent="0.25">
      <c r="C4288" s="1"/>
      <c r="F4288" s="1"/>
    </row>
    <row r="4289" spans="3:6" x14ac:dyDescent="0.25">
      <c r="C4289" s="1"/>
      <c r="F4289" s="1"/>
    </row>
    <row r="4290" spans="3:6" x14ac:dyDescent="0.25">
      <c r="C4290" s="1"/>
      <c r="F4290" s="1"/>
    </row>
    <row r="4291" spans="3:6" x14ac:dyDescent="0.25">
      <c r="C4291" s="1"/>
      <c r="F4291" s="1"/>
    </row>
    <row r="4292" spans="3:6" x14ac:dyDescent="0.25">
      <c r="C4292" s="1"/>
      <c r="F4292" s="1"/>
    </row>
    <row r="4293" spans="3:6" x14ac:dyDescent="0.25">
      <c r="C4293" s="1"/>
      <c r="F4293" s="1"/>
    </row>
    <row r="4294" spans="3:6" x14ac:dyDescent="0.25">
      <c r="C4294" s="1"/>
      <c r="F4294" s="1"/>
    </row>
    <row r="4295" spans="3:6" x14ac:dyDescent="0.25">
      <c r="C4295" s="1"/>
      <c r="F4295" s="1"/>
    </row>
    <row r="4296" spans="3:6" x14ac:dyDescent="0.25">
      <c r="C4296" s="1"/>
      <c r="F4296" s="1"/>
    </row>
    <row r="4297" spans="3:6" x14ac:dyDescent="0.25">
      <c r="C4297" s="1"/>
      <c r="F4297" s="1"/>
    </row>
    <row r="4298" spans="3:6" x14ac:dyDescent="0.25">
      <c r="C4298" s="1"/>
      <c r="F4298" s="1"/>
    </row>
    <row r="4299" spans="3:6" x14ac:dyDescent="0.25">
      <c r="C4299" s="1"/>
      <c r="F4299" s="1"/>
    </row>
    <row r="4300" spans="3:6" x14ac:dyDescent="0.25">
      <c r="C4300" s="1"/>
      <c r="F4300" s="1"/>
    </row>
    <row r="4301" spans="3:6" x14ac:dyDescent="0.25">
      <c r="C4301" s="1"/>
      <c r="F4301" s="1"/>
    </row>
    <row r="4302" spans="3:6" x14ac:dyDescent="0.25">
      <c r="C4302" s="1"/>
      <c r="F4302" s="1"/>
    </row>
    <row r="4303" spans="3:6" x14ac:dyDescent="0.25">
      <c r="C4303" s="1"/>
      <c r="F4303" s="1"/>
    </row>
    <row r="4304" spans="3:6" x14ac:dyDescent="0.25">
      <c r="C4304" s="1"/>
      <c r="F4304" s="1"/>
    </row>
    <row r="4305" spans="3:6" x14ac:dyDescent="0.25">
      <c r="C4305" s="1"/>
      <c r="F4305" s="1"/>
    </row>
    <row r="4306" spans="3:6" x14ac:dyDescent="0.25">
      <c r="C4306" s="1"/>
      <c r="F4306" s="1"/>
    </row>
    <row r="4307" spans="3:6" x14ac:dyDescent="0.25">
      <c r="C4307" s="1"/>
      <c r="F4307" s="1"/>
    </row>
    <row r="4308" spans="3:6" x14ac:dyDescent="0.25">
      <c r="C4308" s="1"/>
      <c r="F4308" s="1"/>
    </row>
    <row r="4309" spans="3:6" x14ac:dyDescent="0.25">
      <c r="C4309" s="1"/>
      <c r="F4309" s="1"/>
    </row>
    <row r="4310" spans="3:6" x14ac:dyDescent="0.25">
      <c r="C4310" s="1"/>
      <c r="F4310" s="1"/>
    </row>
    <row r="4311" spans="3:6" x14ac:dyDescent="0.25">
      <c r="C4311" s="1"/>
      <c r="F4311" s="1"/>
    </row>
    <row r="4312" spans="3:6" x14ac:dyDescent="0.25">
      <c r="C4312" s="1"/>
      <c r="F4312" s="1"/>
    </row>
    <row r="4313" spans="3:6" x14ac:dyDescent="0.25">
      <c r="C4313" s="1"/>
      <c r="F4313" s="1"/>
    </row>
    <row r="4314" spans="3:6" x14ac:dyDescent="0.25">
      <c r="C4314" s="1"/>
      <c r="F4314" s="1"/>
    </row>
    <row r="4315" spans="3:6" x14ac:dyDescent="0.25">
      <c r="C4315" s="1"/>
      <c r="F4315" s="1"/>
    </row>
    <row r="4316" spans="3:6" x14ac:dyDescent="0.25">
      <c r="C4316" s="1"/>
      <c r="F4316" s="1"/>
    </row>
    <row r="4317" spans="3:6" x14ac:dyDescent="0.25">
      <c r="C4317" s="1"/>
      <c r="F4317" s="1"/>
    </row>
    <row r="4318" spans="3:6" x14ac:dyDescent="0.25">
      <c r="C4318" s="1"/>
      <c r="F4318" s="1"/>
    </row>
    <row r="4319" spans="3:6" x14ac:dyDescent="0.25">
      <c r="C4319" s="1"/>
      <c r="F4319" s="1"/>
    </row>
    <row r="4320" spans="3:6" x14ac:dyDescent="0.25">
      <c r="C4320" s="1"/>
      <c r="F4320" s="1"/>
    </row>
    <row r="4321" spans="3:6" x14ac:dyDescent="0.25">
      <c r="C4321" s="1"/>
      <c r="F4321" s="1"/>
    </row>
    <row r="4322" spans="3:6" x14ac:dyDescent="0.25">
      <c r="C4322" s="1"/>
      <c r="F4322" s="1"/>
    </row>
    <row r="4323" spans="3:6" x14ac:dyDescent="0.25">
      <c r="C4323" s="1"/>
      <c r="F4323" s="1"/>
    </row>
    <row r="4324" spans="3:6" x14ac:dyDescent="0.25">
      <c r="C4324" s="1"/>
      <c r="F4324" s="1"/>
    </row>
    <row r="4325" spans="3:6" x14ac:dyDescent="0.25">
      <c r="C4325" s="1"/>
      <c r="F4325" s="1"/>
    </row>
    <row r="4326" spans="3:6" x14ac:dyDescent="0.25">
      <c r="C4326" s="1"/>
      <c r="F4326" s="1"/>
    </row>
    <row r="4327" spans="3:6" x14ac:dyDescent="0.25">
      <c r="C4327" s="1"/>
      <c r="F4327" s="1"/>
    </row>
    <row r="4328" spans="3:6" x14ac:dyDescent="0.25">
      <c r="C4328" s="1"/>
      <c r="F4328" s="1"/>
    </row>
    <row r="4329" spans="3:6" x14ac:dyDescent="0.25">
      <c r="C4329" s="1"/>
      <c r="F4329" s="1"/>
    </row>
    <row r="4330" spans="3:6" x14ac:dyDescent="0.25">
      <c r="C4330" s="1"/>
      <c r="F4330" s="1"/>
    </row>
    <row r="4331" spans="3:6" x14ac:dyDescent="0.25">
      <c r="C4331" s="1"/>
      <c r="F4331" s="1"/>
    </row>
    <row r="4332" spans="3:6" x14ac:dyDescent="0.25">
      <c r="C4332" s="1"/>
      <c r="F4332" s="1"/>
    </row>
    <row r="4333" spans="3:6" x14ac:dyDescent="0.25">
      <c r="C4333" s="1"/>
      <c r="F4333" s="1"/>
    </row>
    <row r="4334" spans="3:6" x14ac:dyDescent="0.25">
      <c r="C4334" s="1"/>
      <c r="F4334" s="1"/>
    </row>
    <row r="4335" spans="3:6" x14ac:dyDescent="0.25">
      <c r="C4335" s="1"/>
      <c r="F4335" s="1"/>
    </row>
    <row r="4336" spans="3:6" x14ac:dyDescent="0.25">
      <c r="C4336" s="1"/>
      <c r="F4336" s="1"/>
    </row>
    <row r="4337" spans="3:6" x14ac:dyDescent="0.25">
      <c r="C4337" s="1"/>
      <c r="F4337" s="1"/>
    </row>
    <row r="4338" spans="3:6" x14ac:dyDescent="0.25">
      <c r="C4338" s="1"/>
      <c r="F4338" s="1"/>
    </row>
    <row r="4339" spans="3:6" x14ac:dyDescent="0.25">
      <c r="C4339" s="1"/>
      <c r="F4339" s="1"/>
    </row>
    <row r="4340" spans="3:6" x14ac:dyDescent="0.25">
      <c r="C4340" s="1"/>
      <c r="F4340" s="1"/>
    </row>
    <row r="4341" spans="3:6" x14ac:dyDescent="0.25">
      <c r="C4341" s="1"/>
      <c r="F4341" s="1"/>
    </row>
    <row r="4342" spans="3:6" x14ac:dyDescent="0.25">
      <c r="C4342" s="1"/>
      <c r="F4342" s="1"/>
    </row>
    <row r="4343" spans="3:6" x14ac:dyDescent="0.25">
      <c r="C4343" s="1"/>
      <c r="F4343" s="1"/>
    </row>
    <row r="4344" spans="3:6" x14ac:dyDescent="0.25">
      <c r="C4344" s="1"/>
      <c r="F4344" s="1"/>
    </row>
    <row r="4345" spans="3:6" x14ac:dyDescent="0.25">
      <c r="C4345" s="1"/>
      <c r="F4345" s="1"/>
    </row>
    <row r="4346" spans="3:6" x14ac:dyDescent="0.25">
      <c r="C4346" s="1"/>
      <c r="F4346" s="1"/>
    </row>
    <row r="4347" spans="3:6" x14ac:dyDescent="0.25">
      <c r="C4347" s="1"/>
      <c r="F4347" s="1"/>
    </row>
    <row r="4348" spans="3:6" x14ac:dyDescent="0.25">
      <c r="C4348" s="1"/>
      <c r="F4348" s="1"/>
    </row>
    <row r="4349" spans="3:6" x14ac:dyDescent="0.25">
      <c r="C4349" s="1"/>
      <c r="F4349" s="1"/>
    </row>
    <row r="4350" spans="3:6" x14ac:dyDescent="0.25">
      <c r="C4350" s="1"/>
      <c r="F4350" s="1"/>
    </row>
    <row r="4351" spans="3:6" x14ac:dyDescent="0.25">
      <c r="C4351" s="1"/>
      <c r="F4351" s="1"/>
    </row>
    <row r="4352" spans="3:6" x14ac:dyDescent="0.25">
      <c r="C4352" s="1"/>
      <c r="F4352" s="1"/>
    </row>
    <row r="4353" spans="3:6" x14ac:dyDescent="0.25">
      <c r="C4353" s="1"/>
      <c r="F4353" s="1"/>
    </row>
    <row r="4354" spans="3:6" x14ac:dyDescent="0.25">
      <c r="C4354" s="1"/>
      <c r="F4354" s="1"/>
    </row>
    <row r="4355" spans="3:6" x14ac:dyDescent="0.25">
      <c r="C4355" s="1"/>
      <c r="F4355" s="1"/>
    </row>
    <row r="4356" spans="3:6" x14ac:dyDescent="0.25">
      <c r="C4356" s="1"/>
      <c r="F4356" s="1"/>
    </row>
    <row r="4357" spans="3:6" x14ac:dyDescent="0.25">
      <c r="C4357" s="1"/>
      <c r="F4357" s="1"/>
    </row>
    <row r="4358" spans="3:6" x14ac:dyDescent="0.25">
      <c r="C4358" s="1"/>
      <c r="F4358" s="1"/>
    </row>
    <row r="4359" spans="3:6" x14ac:dyDescent="0.25">
      <c r="C4359" s="1"/>
      <c r="F4359" s="1"/>
    </row>
    <row r="4360" spans="3:6" x14ac:dyDescent="0.25">
      <c r="C4360" s="1"/>
      <c r="F4360" s="1"/>
    </row>
    <row r="4361" spans="3:6" x14ac:dyDescent="0.25">
      <c r="C4361" s="1"/>
      <c r="F4361" s="1"/>
    </row>
    <row r="4362" spans="3:6" x14ac:dyDescent="0.25">
      <c r="C4362" s="1"/>
      <c r="F4362" s="1"/>
    </row>
    <row r="4363" spans="3:6" x14ac:dyDescent="0.25">
      <c r="C4363" s="1"/>
      <c r="F4363" s="1"/>
    </row>
    <row r="4364" spans="3:6" x14ac:dyDescent="0.25">
      <c r="C4364" s="1"/>
      <c r="F4364" s="1"/>
    </row>
    <row r="4365" spans="3:6" x14ac:dyDescent="0.25">
      <c r="C4365" s="1"/>
      <c r="F4365" s="1"/>
    </row>
    <row r="4366" spans="3:6" x14ac:dyDescent="0.25">
      <c r="C4366" s="1"/>
      <c r="F4366" s="1"/>
    </row>
    <row r="4367" spans="3:6" x14ac:dyDescent="0.25">
      <c r="C4367" s="1"/>
      <c r="F4367" s="1"/>
    </row>
    <row r="4368" spans="3:6" x14ac:dyDescent="0.25">
      <c r="C4368" s="1"/>
      <c r="F4368" s="1"/>
    </row>
    <row r="4369" spans="3:6" x14ac:dyDescent="0.25">
      <c r="C4369" s="1"/>
      <c r="F4369" s="1"/>
    </row>
    <row r="4370" spans="3:6" x14ac:dyDescent="0.25">
      <c r="C4370" s="1"/>
      <c r="F4370" s="1"/>
    </row>
    <row r="4371" spans="3:6" x14ac:dyDescent="0.25">
      <c r="C4371" s="1"/>
      <c r="F4371" s="1"/>
    </row>
    <row r="4372" spans="3:6" x14ac:dyDescent="0.25">
      <c r="C4372" s="1"/>
      <c r="F4372" s="1"/>
    </row>
    <row r="4373" spans="3:6" x14ac:dyDescent="0.25">
      <c r="C4373" s="1"/>
      <c r="F4373" s="1"/>
    </row>
    <row r="4374" spans="3:6" x14ac:dyDescent="0.25">
      <c r="C4374" s="1"/>
      <c r="F4374" s="1"/>
    </row>
    <row r="4375" spans="3:6" x14ac:dyDescent="0.25">
      <c r="C4375" s="1"/>
      <c r="F4375" s="1"/>
    </row>
    <row r="4376" spans="3:6" x14ac:dyDescent="0.25">
      <c r="C4376" s="1"/>
      <c r="F4376" s="1"/>
    </row>
    <row r="4377" spans="3:6" x14ac:dyDescent="0.25">
      <c r="C4377" s="1"/>
      <c r="F4377" s="1"/>
    </row>
    <row r="4378" spans="3:6" x14ac:dyDescent="0.25">
      <c r="C4378" s="1"/>
      <c r="F4378" s="1"/>
    </row>
    <row r="4379" spans="3:6" x14ac:dyDescent="0.25">
      <c r="C4379" s="1"/>
      <c r="F4379" s="1"/>
    </row>
    <row r="4380" spans="3:6" x14ac:dyDescent="0.25">
      <c r="C4380" s="1"/>
      <c r="F4380" s="1"/>
    </row>
    <row r="4381" spans="3:6" x14ac:dyDescent="0.25">
      <c r="C4381" s="1"/>
      <c r="F4381" s="1"/>
    </row>
    <row r="4382" spans="3:6" x14ac:dyDescent="0.25">
      <c r="C4382" s="1"/>
      <c r="F4382" s="1"/>
    </row>
    <row r="4383" spans="3:6" x14ac:dyDescent="0.25">
      <c r="C4383" s="1"/>
      <c r="F4383" s="1"/>
    </row>
    <row r="4384" spans="3:6" x14ac:dyDescent="0.25">
      <c r="C4384" s="1"/>
      <c r="F4384" s="1"/>
    </row>
    <row r="4385" spans="3:6" x14ac:dyDescent="0.25">
      <c r="C4385" s="1"/>
      <c r="F4385" s="1"/>
    </row>
    <row r="4386" spans="3:6" x14ac:dyDescent="0.25">
      <c r="C4386" s="1"/>
      <c r="F4386" s="1"/>
    </row>
    <row r="4387" spans="3:6" x14ac:dyDescent="0.25">
      <c r="C4387" s="1"/>
      <c r="F4387" s="1"/>
    </row>
    <row r="4388" spans="3:6" x14ac:dyDescent="0.25">
      <c r="C4388" s="1"/>
      <c r="F4388" s="1"/>
    </row>
    <row r="4389" spans="3:6" x14ac:dyDescent="0.25">
      <c r="C4389" s="1"/>
      <c r="F4389" s="1"/>
    </row>
    <row r="4390" spans="3:6" x14ac:dyDescent="0.25">
      <c r="C4390" s="1"/>
      <c r="F4390" s="1"/>
    </row>
    <row r="4391" spans="3:6" x14ac:dyDescent="0.25">
      <c r="C4391" s="1"/>
      <c r="F4391" s="1"/>
    </row>
    <row r="4392" spans="3:6" x14ac:dyDescent="0.25">
      <c r="C4392" s="1"/>
      <c r="F4392" s="1"/>
    </row>
    <row r="4393" spans="3:6" x14ac:dyDescent="0.25">
      <c r="C4393" s="1"/>
      <c r="F4393" s="1"/>
    </row>
    <row r="4394" spans="3:6" x14ac:dyDescent="0.25">
      <c r="C4394" s="1"/>
      <c r="F4394" s="1"/>
    </row>
    <row r="4395" spans="3:6" x14ac:dyDescent="0.25">
      <c r="C4395" s="1"/>
      <c r="F4395" s="1"/>
    </row>
    <row r="4396" spans="3:6" x14ac:dyDescent="0.25">
      <c r="C4396" s="1"/>
      <c r="F4396" s="1"/>
    </row>
    <row r="4397" spans="3:6" x14ac:dyDescent="0.25">
      <c r="C4397" s="1"/>
      <c r="F4397" s="1"/>
    </row>
    <row r="4398" spans="3:6" x14ac:dyDescent="0.25">
      <c r="C4398" s="1"/>
      <c r="F4398" s="1"/>
    </row>
    <row r="4399" spans="3:6" x14ac:dyDescent="0.25">
      <c r="C4399" s="1"/>
      <c r="F4399" s="1"/>
    </row>
    <row r="4400" spans="3:6" x14ac:dyDescent="0.25">
      <c r="C4400" s="1"/>
      <c r="F4400" s="1"/>
    </row>
    <row r="4401" spans="3:6" x14ac:dyDescent="0.25">
      <c r="C4401" s="1"/>
      <c r="F4401" s="1"/>
    </row>
    <row r="4402" spans="3:6" x14ac:dyDescent="0.25">
      <c r="C4402" s="1"/>
      <c r="F4402" s="1"/>
    </row>
    <row r="4403" spans="3:6" x14ac:dyDescent="0.25">
      <c r="C4403" s="1"/>
      <c r="F4403" s="1"/>
    </row>
    <row r="4404" spans="3:6" x14ac:dyDescent="0.25">
      <c r="C4404" s="1"/>
      <c r="F4404" s="1"/>
    </row>
    <row r="4405" spans="3:6" x14ac:dyDescent="0.25">
      <c r="C4405" s="1"/>
      <c r="F4405" s="1"/>
    </row>
    <row r="4406" spans="3:6" x14ac:dyDescent="0.25">
      <c r="C4406" s="1"/>
      <c r="F4406" s="1"/>
    </row>
    <row r="4407" spans="3:6" x14ac:dyDescent="0.25">
      <c r="C4407" s="1"/>
      <c r="F4407" s="1"/>
    </row>
    <row r="4408" spans="3:6" x14ac:dyDescent="0.25">
      <c r="C4408" s="1"/>
      <c r="F4408" s="1"/>
    </row>
    <row r="4409" spans="3:6" x14ac:dyDescent="0.25">
      <c r="C4409" s="1"/>
      <c r="F4409" s="1"/>
    </row>
    <row r="4410" spans="3:6" x14ac:dyDescent="0.25">
      <c r="C4410" s="1"/>
      <c r="F4410" s="1"/>
    </row>
    <row r="4411" spans="3:6" x14ac:dyDescent="0.25">
      <c r="C4411" s="1"/>
      <c r="F4411" s="1"/>
    </row>
    <row r="4412" spans="3:6" x14ac:dyDescent="0.25">
      <c r="C4412" s="1"/>
      <c r="F4412" s="1"/>
    </row>
    <row r="4413" spans="3:6" x14ac:dyDescent="0.25">
      <c r="C4413" s="1"/>
      <c r="F4413" s="1"/>
    </row>
    <row r="4414" spans="3:6" x14ac:dyDescent="0.25">
      <c r="C4414" s="1"/>
      <c r="F4414" s="1"/>
    </row>
    <row r="4415" spans="3:6" x14ac:dyDescent="0.25">
      <c r="C4415" s="1"/>
      <c r="F4415" s="1"/>
    </row>
    <row r="4416" spans="3:6" x14ac:dyDescent="0.25">
      <c r="C4416" s="1"/>
      <c r="F4416" s="1"/>
    </row>
    <row r="4417" spans="3:6" x14ac:dyDescent="0.25">
      <c r="C4417" s="1"/>
      <c r="F4417" s="1"/>
    </row>
    <row r="4418" spans="3:6" x14ac:dyDescent="0.25">
      <c r="C4418" s="1"/>
      <c r="F4418" s="1"/>
    </row>
    <row r="4419" spans="3:6" x14ac:dyDescent="0.25">
      <c r="C4419" s="1"/>
      <c r="F4419" s="1"/>
    </row>
    <row r="4420" spans="3:6" x14ac:dyDescent="0.25">
      <c r="C4420" s="1"/>
      <c r="F4420" s="1"/>
    </row>
    <row r="4421" spans="3:6" x14ac:dyDescent="0.25">
      <c r="C4421" s="1"/>
      <c r="F4421" s="1"/>
    </row>
    <row r="4422" spans="3:6" x14ac:dyDescent="0.25">
      <c r="C4422" s="1"/>
      <c r="F4422" s="1"/>
    </row>
    <row r="4423" spans="3:6" x14ac:dyDescent="0.25">
      <c r="C4423" s="1"/>
      <c r="F4423" s="1"/>
    </row>
    <row r="4424" spans="3:6" x14ac:dyDescent="0.25">
      <c r="C4424" s="1"/>
      <c r="F4424" s="1"/>
    </row>
    <row r="4425" spans="3:6" x14ac:dyDescent="0.25">
      <c r="C4425" s="1"/>
      <c r="F4425" s="1"/>
    </row>
    <row r="4426" spans="3:6" x14ac:dyDescent="0.25">
      <c r="C4426" s="1"/>
      <c r="F4426" s="1"/>
    </row>
    <row r="4427" spans="3:6" x14ac:dyDescent="0.25">
      <c r="C4427" s="1"/>
      <c r="F4427" s="1"/>
    </row>
    <row r="4428" spans="3:6" x14ac:dyDescent="0.25">
      <c r="C4428" s="1"/>
      <c r="F4428" s="1"/>
    </row>
    <row r="4429" spans="3:6" x14ac:dyDescent="0.25">
      <c r="C4429" s="1"/>
      <c r="F4429" s="1"/>
    </row>
    <row r="4430" spans="3:6" x14ac:dyDescent="0.25">
      <c r="C4430" s="1"/>
      <c r="F4430" s="1"/>
    </row>
    <row r="4431" spans="3:6" x14ac:dyDescent="0.25">
      <c r="C4431" s="1"/>
      <c r="F4431" s="1"/>
    </row>
    <row r="4432" spans="3:6" x14ac:dyDescent="0.25">
      <c r="C4432" s="1"/>
      <c r="F4432" s="1"/>
    </row>
    <row r="4433" spans="3:6" x14ac:dyDescent="0.25">
      <c r="C4433" s="1"/>
      <c r="F4433" s="1"/>
    </row>
    <row r="4434" spans="3:6" x14ac:dyDescent="0.25">
      <c r="C4434" s="1"/>
      <c r="F4434" s="1"/>
    </row>
    <row r="4435" spans="3:6" x14ac:dyDescent="0.25">
      <c r="C4435" s="1"/>
      <c r="F4435" s="1"/>
    </row>
    <row r="4436" spans="3:6" x14ac:dyDescent="0.25">
      <c r="C4436" s="1"/>
      <c r="F4436" s="1"/>
    </row>
    <row r="4437" spans="3:6" x14ac:dyDescent="0.25">
      <c r="C4437" s="1"/>
      <c r="F4437" s="1"/>
    </row>
    <row r="4438" spans="3:6" x14ac:dyDescent="0.25">
      <c r="C4438" s="1"/>
      <c r="F4438" s="1"/>
    </row>
    <row r="4439" spans="3:6" x14ac:dyDescent="0.25">
      <c r="C4439" s="1"/>
      <c r="F4439" s="1"/>
    </row>
    <row r="4440" spans="3:6" x14ac:dyDescent="0.25">
      <c r="C4440" s="1"/>
      <c r="F4440" s="1"/>
    </row>
    <row r="4441" spans="3:6" x14ac:dyDescent="0.25">
      <c r="C4441" s="1"/>
      <c r="F4441" s="1"/>
    </row>
    <row r="4442" spans="3:6" x14ac:dyDescent="0.25">
      <c r="C4442" s="1"/>
      <c r="F4442" s="1"/>
    </row>
    <row r="4443" spans="3:6" x14ac:dyDescent="0.25">
      <c r="C4443" s="1"/>
      <c r="F4443" s="1"/>
    </row>
    <row r="4444" spans="3:6" x14ac:dyDescent="0.25">
      <c r="C4444" s="1"/>
      <c r="F4444" s="1"/>
    </row>
    <row r="4445" spans="3:6" x14ac:dyDescent="0.25">
      <c r="C4445" s="1"/>
      <c r="F4445" s="1"/>
    </row>
    <row r="4446" spans="3:6" x14ac:dyDescent="0.25">
      <c r="C4446" s="1"/>
      <c r="F4446" s="1"/>
    </row>
    <row r="4447" spans="3:6" x14ac:dyDescent="0.25">
      <c r="C4447" s="1"/>
      <c r="F4447" s="1"/>
    </row>
    <row r="4448" spans="3:6" x14ac:dyDescent="0.25">
      <c r="C4448" s="1"/>
      <c r="F4448" s="1"/>
    </row>
    <row r="4449" spans="3:6" x14ac:dyDescent="0.25">
      <c r="C4449" s="1"/>
      <c r="F4449" s="1"/>
    </row>
    <row r="4450" spans="3:6" x14ac:dyDescent="0.25">
      <c r="C4450" s="1"/>
      <c r="F4450" s="1"/>
    </row>
    <row r="4451" spans="3:6" x14ac:dyDescent="0.25">
      <c r="C4451" s="1"/>
      <c r="F4451" s="1"/>
    </row>
    <row r="4452" spans="3:6" x14ac:dyDescent="0.25">
      <c r="C4452" s="1"/>
      <c r="F4452" s="1"/>
    </row>
    <row r="4453" spans="3:6" x14ac:dyDescent="0.25">
      <c r="C4453" s="1"/>
      <c r="F4453" s="1"/>
    </row>
    <row r="4454" spans="3:6" x14ac:dyDescent="0.25">
      <c r="C4454" s="1"/>
      <c r="F4454" s="1"/>
    </row>
    <row r="4455" spans="3:6" x14ac:dyDescent="0.25">
      <c r="C4455" s="1"/>
      <c r="F4455" s="1"/>
    </row>
    <row r="4456" spans="3:6" x14ac:dyDescent="0.25">
      <c r="C4456" s="1"/>
      <c r="F4456" s="1"/>
    </row>
    <row r="4457" spans="3:6" x14ac:dyDescent="0.25">
      <c r="C4457" s="1"/>
      <c r="F4457" s="1"/>
    </row>
    <row r="4458" spans="3:6" x14ac:dyDescent="0.25">
      <c r="C4458" s="1"/>
      <c r="F4458" s="1"/>
    </row>
    <row r="4459" spans="3:6" x14ac:dyDescent="0.25">
      <c r="C4459" s="1"/>
      <c r="F4459" s="1"/>
    </row>
    <row r="4460" spans="3:6" x14ac:dyDescent="0.25">
      <c r="C4460" s="1"/>
      <c r="F4460" s="1"/>
    </row>
    <row r="4461" spans="3:6" x14ac:dyDescent="0.25">
      <c r="C4461" s="1"/>
      <c r="F4461" s="1"/>
    </row>
    <row r="4462" spans="3:6" x14ac:dyDescent="0.25">
      <c r="C4462" s="1"/>
      <c r="F4462" s="1"/>
    </row>
    <row r="4463" spans="3:6" x14ac:dyDescent="0.25">
      <c r="C4463" s="1"/>
      <c r="F4463" s="1"/>
    </row>
    <row r="4464" spans="3:6" x14ac:dyDescent="0.25">
      <c r="C4464" s="1"/>
      <c r="F4464" s="1"/>
    </row>
    <row r="4465" spans="3:6" x14ac:dyDescent="0.25">
      <c r="C4465" s="1"/>
      <c r="F4465" s="1"/>
    </row>
    <row r="4466" spans="3:6" x14ac:dyDescent="0.25">
      <c r="C4466" s="1"/>
      <c r="F4466" s="1"/>
    </row>
    <row r="4467" spans="3:6" x14ac:dyDescent="0.25">
      <c r="C4467" s="1"/>
      <c r="F4467" s="1"/>
    </row>
    <row r="4468" spans="3:6" x14ac:dyDescent="0.25">
      <c r="C4468" s="1"/>
      <c r="F4468" s="1"/>
    </row>
    <row r="4469" spans="3:6" x14ac:dyDescent="0.25">
      <c r="C4469" s="1"/>
      <c r="F4469" s="1"/>
    </row>
    <row r="4470" spans="3:6" x14ac:dyDescent="0.25">
      <c r="C4470" s="1"/>
      <c r="F4470" s="1"/>
    </row>
    <row r="4471" spans="3:6" x14ac:dyDescent="0.25">
      <c r="C4471" s="1"/>
      <c r="F4471" s="1"/>
    </row>
    <row r="4472" spans="3:6" x14ac:dyDescent="0.25">
      <c r="C4472" s="1"/>
      <c r="F4472" s="1"/>
    </row>
    <row r="4473" spans="3:6" x14ac:dyDescent="0.25">
      <c r="C4473" s="1"/>
      <c r="F4473" s="1"/>
    </row>
    <row r="4474" spans="3:6" x14ac:dyDescent="0.25">
      <c r="C4474" s="1"/>
      <c r="F4474" s="1"/>
    </row>
    <row r="4475" spans="3:6" x14ac:dyDescent="0.25">
      <c r="C4475" s="1"/>
      <c r="F4475" s="1"/>
    </row>
    <row r="4476" spans="3:6" x14ac:dyDescent="0.25">
      <c r="C4476" s="1"/>
      <c r="F4476" s="1"/>
    </row>
    <row r="4477" spans="3:6" x14ac:dyDescent="0.25">
      <c r="C4477" s="1"/>
      <c r="F4477" s="1"/>
    </row>
    <row r="4478" spans="3:6" x14ac:dyDescent="0.25">
      <c r="C4478" s="1"/>
      <c r="F4478" s="1"/>
    </row>
    <row r="4479" spans="3:6" x14ac:dyDescent="0.25">
      <c r="C4479" s="1"/>
      <c r="F4479" s="1"/>
    </row>
    <row r="4480" spans="3:6" x14ac:dyDescent="0.25">
      <c r="C4480" s="1"/>
      <c r="F4480" s="1"/>
    </row>
    <row r="4481" spans="3:6" x14ac:dyDescent="0.25">
      <c r="C4481" s="1"/>
      <c r="F4481" s="1"/>
    </row>
    <row r="4482" spans="3:6" x14ac:dyDescent="0.25">
      <c r="C4482" s="1"/>
      <c r="F4482" s="1"/>
    </row>
    <row r="4483" spans="3:6" x14ac:dyDescent="0.25">
      <c r="C4483" s="1"/>
      <c r="F4483" s="1"/>
    </row>
    <row r="4484" spans="3:6" x14ac:dyDescent="0.25">
      <c r="C4484" s="1"/>
      <c r="F4484" s="1"/>
    </row>
    <row r="4485" spans="3:6" x14ac:dyDescent="0.25">
      <c r="C4485" s="1"/>
      <c r="F4485" s="1"/>
    </row>
    <row r="4486" spans="3:6" x14ac:dyDescent="0.25">
      <c r="C4486" s="1"/>
      <c r="F4486" s="1"/>
    </row>
    <row r="4487" spans="3:6" x14ac:dyDescent="0.25">
      <c r="C4487" s="1"/>
      <c r="F4487" s="1"/>
    </row>
    <row r="4488" spans="3:6" x14ac:dyDescent="0.25">
      <c r="C4488" s="1"/>
      <c r="F4488" s="1"/>
    </row>
    <row r="4489" spans="3:6" x14ac:dyDescent="0.25">
      <c r="C4489" s="1"/>
      <c r="F4489" s="1"/>
    </row>
    <row r="4490" spans="3:6" x14ac:dyDescent="0.25">
      <c r="C4490" s="1"/>
      <c r="F4490" s="1"/>
    </row>
    <row r="4491" spans="3:6" x14ac:dyDescent="0.25">
      <c r="C4491" s="1"/>
      <c r="F4491" s="1"/>
    </row>
    <row r="4492" spans="3:6" x14ac:dyDescent="0.25">
      <c r="C4492" s="1"/>
      <c r="F4492" s="1"/>
    </row>
    <row r="4493" spans="3:6" x14ac:dyDescent="0.25">
      <c r="C4493" s="1"/>
      <c r="F4493" s="1"/>
    </row>
    <row r="4494" spans="3:6" x14ac:dyDescent="0.25">
      <c r="C4494" s="1"/>
      <c r="F4494" s="1"/>
    </row>
    <row r="4495" spans="3:6" x14ac:dyDescent="0.25">
      <c r="C4495" s="1"/>
      <c r="F4495" s="1"/>
    </row>
    <row r="4496" spans="3:6" x14ac:dyDescent="0.25">
      <c r="C4496" s="1"/>
      <c r="F4496" s="1"/>
    </row>
    <row r="4497" spans="3:6" x14ac:dyDescent="0.25">
      <c r="C4497" s="1"/>
      <c r="F4497" s="1"/>
    </row>
    <row r="4498" spans="3:6" x14ac:dyDescent="0.25">
      <c r="C4498" s="1"/>
      <c r="F4498" s="1"/>
    </row>
    <row r="4499" spans="3:6" x14ac:dyDescent="0.25">
      <c r="C4499" s="1"/>
      <c r="F4499" s="1"/>
    </row>
    <row r="4500" spans="3:6" x14ac:dyDescent="0.25">
      <c r="C4500" s="1"/>
      <c r="F4500" s="1"/>
    </row>
    <row r="4501" spans="3:6" x14ac:dyDescent="0.25">
      <c r="C4501" s="1"/>
      <c r="F4501" s="1"/>
    </row>
    <row r="4502" spans="3:6" x14ac:dyDescent="0.25">
      <c r="C4502" s="1"/>
      <c r="F4502" s="1"/>
    </row>
    <row r="4503" spans="3:6" x14ac:dyDescent="0.25">
      <c r="C4503" s="1"/>
      <c r="F4503" s="1"/>
    </row>
    <row r="4504" spans="3:6" x14ac:dyDescent="0.25">
      <c r="C4504" s="1"/>
      <c r="F4504" s="1"/>
    </row>
    <row r="4505" spans="3:6" x14ac:dyDescent="0.25">
      <c r="C4505" s="1"/>
      <c r="F4505" s="1"/>
    </row>
    <row r="4506" spans="3:6" x14ac:dyDescent="0.25">
      <c r="C4506" s="1"/>
      <c r="F4506" s="1"/>
    </row>
    <row r="4507" spans="3:6" x14ac:dyDescent="0.25">
      <c r="C4507" s="1"/>
      <c r="F4507" s="1"/>
    </row>
    <row r="4508" spans="3:6" x14ac:dyDescent="0.25">
      <c r="C4508" s="1"/>
      <c r="F4508" s="1"/>
    </row>
    <row r="4509" spans="3:6" x14ac:dyDescent="0.25">
      <c r="C4509" s="1"/>
      <c r="F4509" s="1"/>
    </row>
    <row r="4510" spans="3:6" x14ac:dyDescent="0.25">
      <c r="C4510" s="1"/>
      <c r="F4510" s="1"/>
    </row>
    <row r="4511" spans="3:6" x14ac:dyDescent="0.25">
      <c r="C4511" s="1"/>
      <c r="F4511" s="1"/>
    </row>
    <row r="4512" spans="3:6" x14ac:dyDescent="0.25">
      <c r="C4512" s="1"/>
      <c r="F4512" s="1"/>
    </row>
    <row r="4513" spans="3:6" x14ac:dyDescent="0.25">
      <c r="C4513" s="1"/>
      <c r="F4513" s="1"/>
    </row>
    <row r="4514" spans="3:6" x14ac:dyDescent="0.25">
      <c r="C4514" s="1"/>
      <c r="F4514" s="1"/>
    </row>
    <row r="4515" spans="3:6" x14ac:dyDescent="0.25">
      <c r="C4515" s="1"/>
      <c r="F4515" s="1"/>
    </row>
    <row r="4516" spans="3:6" x14ac:dyDescent="0.25">
      <c r="C4516" s="1"/>
      <c r="F4516" s="1"/>
    </row>
    <row r="4517" spans="3:6" x14ac:dyDescent="0.25">
      <c r="C4517" s="1"/>
      <c r="F4517" s="1"/>
    </row>
    <row r="4518" spans="3:6" x14ac:dyDescent="0.25">
      <c r="C4518" s="1"/>
      <c r="F4518" s="1"/>
    </row>
    <row r="4519" spans="3:6" x14ac:dyDescent="0.25">
      <c r="C4519" s="1"/>
      <c r="F4519" s="1"/>
    </row>
    <row r="4520" spans="3:6" x14ac:dyDescent="0.25">
      <c r="C4520" s="1"/>
      <c r="F4520" s="1"/>
    </row>
    <row r="4521" spans="3:6" x14ac:dyDescent="0.25">
      <c r="C4521" s="1"/>
      <c r="F4521" s="1"/>
    </row>
    <row r="4522" spans="3:6" x14ac:dyDescent="0.25">
      <c r="C4522" s="1"/>
      <c r="F4522" s="1"/>
    </row>
    <row r="4523" spans="3:6" x14ac:dyDescent="0.25">
      <c r="C4523" s="1"/>
      <c r="F4523" s="1"/>
    </row>
    <row r="4524" spans="3:6" x14ac:dyDescent="0.25">
      <c r="C4524" s="1"/>
      <c r="F4524" s="1"/>
    </row>
    <row r="4525" spans="3:6" x14ac:dyDescent="0.25">
      <c r="C4525" s="1"/>
      <c r="F4525" s="1"/>
    </row>
    <row r="4526" spans="3:6" x14ac:dyDescent="0.25">
      <c r="C4526" s="1"/>
      <c r="F4526" s="1"/>
    </row>
    <row r="4527" spans="3:6" x14ac:dyDescent="0.25">
      <c r="C4527" s="1"/>
      <c r="F4527" s="1"/>
    </row>
    <row r="4528" spans="3:6" x14ac:dyDescent="0.25">
      <c r="C4528" s="1"/>
      <c r="F4528" s="1"/>
    </row>
    <row r="4529" spans="3:6" x14ac:dyDescent="0.25">
      <c r="C4529" s="1"/>
      <c r="F4529" s="1"/>
    </row>
    <row r="4530" spans="3:6" x14ac:dyDescent="0.25">
      <c r="C4530" s="1"/>
      <c r="F4530" s="1"/>
    </row>
    <row r="4531" spans="3:6" x14ac:dyDescent="0.25">
      <c r="C4531" s="1"/>
      <c r="F4531" s="1"/>
    </row>
    <row r="4532" spans="3:6" x14ac:dyDescent="0.25">
      <c r="C4532" s="1"/>
      <c r="F4532" s="1"/>
    </row>
    <row r="4533" spans="3:6" x14ac:dyDescent="0.25">
      <c r="C4533" s="1"/>
      <c r="F4533" s="1"/>
    </row>
    <row r="4534" spans="3:6" x14ac:dyDescent="0.25">
      <c r="C4534" s="1"/>
      <c r="F4534" s="1"/>
    </row>
    <row r="4535" spans="3:6" x14ac:dyDescent="0.25">
      <c r="C4535" s="1"/>
      <c r="F4535" s="1"/>
    </row>
    <row r="4536" spans="3:6" x14ac:dyDescent="0.25">
      <c r="C4536" s="1"/>
      <c r="F4536" s="1"/>
    </row>
    <row r="4537" spans="3:6" x14ac:dyDescent="0.25">
      <c r="C4537" s="1"/>
      <c r="F4537" s="1"/>
    </row>
    <row r="4538" spans="3:6" x14ac:dyDescent="0.25">
      <c r="C4538" s="1"/>
      <c r="F4538" s="1"/>
    </row>
    <row r="4539" spans="3:6" x14ac:dyDescent="0.25">
      <c r="C4539" s="1"/>
      <c r="F4539" s="1"/>
    </row>
    <row r="4540" spans="3:6" x14ac:dyDescent="0.25">
      <c r="C4540" s="1"/>
      <c r="F4540" s="1"/>
    </row>
    <row r="4541" spans="3:6" x14ac:dyDescent="0.25">
      <c r="C4541" s="1"/>
      <c r="F4541" s="1"/>
    </row>
    <row r="4542" spans="3:6" x14ac:dyDescent="0.25">
      <c r="C4542" s="1"/>
      <c r="F4542" s="1"/>
    </row>
    <row r="4543" spans="3:6" x14ac:dyDescent="0.25">
      <c r="C4543" s="1"/>
      <c r="F4543" s="1"/>
    </row>
    <row r="4544" spans="3:6" x14ac:dyDescent="0.25">
      <c r="C4544" s="1"/>
      <c r="F4544" s="1"/>
    </row>
    <row r="4545" spans="3:6" x14ac:dyDescent="0.25">
      <c r="C4545" s="1"/>
      <c r="F4545" s="1"/>
    </row>
    <row r="4546" spans="3:6" x14ac:dyDescent="0.25">
      <c r="C4546" s="1"/>
      <c r="F4546" s="1"/>
    </row>
    <row r="4547" spans="3:6" x14ac:dyDescent="0.25">
      <c r="C4547" s="1"/>
      <c r="F4547" s="1"/>
    </row>
    <row r="4548" spans="3:6" x14ac:dyDescent="0.25">
      <c r="C4548" s="1"/>
      <c r="F4548" s="1"/>
    </row>
    <row r="4549" spans="3:6" x14ac:dyDescent="0.25">
      <c r="C4549" s="1"/>
      <c r="F4549" s="1"/>
    </row>
    <row r="4550" spans="3:6" x14ac:dyDescent="0.25">
      <c r="C4550" s="1"/>
      <c r="F4550" s="1"/>
    </row>
    <row r="4551" spans="3:6" x14ac:dyDescent="0.25">
      <c r="C4551" s="1"/>
      <c r="F4551" s="1"/>
    </row>
    <row r="4552" spans="3:6" x14ac:dyDescent="0.25">
      <c r="C4552" s="1"/>
      <c r="F4552" s="1"/>
    </row>
    <row r="4553" spans="3:6" x14ac:dyDescent="0.25">
      <c r="C4553" s="1"/>
      <c r="F4553" s="1"/>
    </row>
    <row r="4554" spans="3:6" x14ac:dyDescent="0.25">
      <c r="C4554" s="1"/>
      <c r="F4554" s="1"/>
    </row>
    <row r="4555" spans="3:6" x14ac:dyDescent="0.25">
      <c r="C4555" s="1"/>
      <c r="F4555" s="1"/>
    </row>
    <row r="4556" spans="3:6" x14ac:dyDescent="0.25">
      <c r="C4556" s="1"/>
      <c r="F4556" s="1"/>
    </row>
    <row r="4557" spans="3:6" x14ac:dyDescent="0.25">
      <c r="C4557" s="1"/>
      <c r="F4557" s="1"/>
    </row>
    <row r="4558" spans="3:6" x14ac:dyDescent="0.25">
      <c r="C4558" s="1"/>
      <c r="F4558" s="1"/>
    </row>
    <row r="4559" spans="3:6" x14ac:dyDescent="0.25">
      <c r="C4559" s="1"/>
      <c r="F4559" s="1"/>
    </row>
    <row r="4560" spans="3:6" x14ac:dyDescent="0.25">
      <c r="C4560" s="1"/>
      <c r="F4560" s="1"/>
    </row>
    <row r="4561" spans="3:6" x14ac:dyDescent="0.25">
      <c r="C4561" s="1"/>
      <c r="F4561" s="1"/>
    </row>
    <row r="4562" spans="3:6" x14ac:dyDescent="0.25">
      <c r="C4562" s="1"/>
      <c r="F4562" s="1"/>
    </row>
    <row r="4563" spans="3:6" x14ac:dyDescent="0.25">
      <c r="C4563" s="1"/>
      <c r="F4563" s="1"/>
    </row>
    <row r="4564" spans="3:6" x14ac:dyDescent="0.25">
      <c r="C4564" s="1"/>
      <c r="F4564" s="1"/>
    </row>
    <row r="4565" spans="3:6" x14ac:dyDescent="0.25">
      <c r="C4565" s="1"/>
      <c r="F4565" s="1"/>
    </row>
    <row r="4566" spans="3:6" x14ac:dyDescent="0.25">
      <c r="C4566" s="1"/>
      <c r="F4566" s="1"/>
    </row>
    <row r="4567" spans="3:6" x14ac:dyDescent="0.25">
      <c r="C4567" s="1"/>
      <c r="F4567" s="1"/>
    </row>
    <row r="4568" spans="3:6" x14ac:dyDescent="0.25">
      <c r="C4568" s="1"/>
      <c r="F4568" s="1"/>
    </row>
    <row r="4569" spans="3:6" x14ac:dyDescent="0.25">
      <c r="C4569" s="1"/>
      <c r="F4569" s="1"/>
    </row>
    <row r="4570" spans="3:6" x14ac:dyDescent="0.25">
      <c r="C4570" s="1"/>
      <c r="F4570" s="1"/>
    </row>
    <row r="4571" spans="3:6" x14ac:dyDescent="0.25">
      <c r="C4571" s="1"/>
      <c r="F4571" s="1"/>
    </row>
    <row r="4572" spans="3:6" x14ac:dyDescent="0.25">
      <c r="C4572" s="1"/>
      <c r="F4572" s="1"/>
    </row>
    <row r="4573" spans="3:6" x14ac:dyDescent="0.25">
      <c r="C4573" s="1"/>
      <c r="F4573" s="1"/>
    </row>
    <row r="4574" spans="3:6" x14ac:dyDescent="0.25">
      <c r="C4574" s="1"/>
      <c r="F4574" s="1"/>
    </row>
    <row r="4575" spans="3:6" x14ac:dyDescent="0.25">
      <c r="C4575" s="1"/>
      <c r="F4575" s="1"/>
    </row>
    <row r="4576" spans="3:6" x14ac:dyDescent="0.25">
      <c r="C4576" s="1"/>
      <c r="F4576" s="1"/>
    </row>
    <row r="4577" spans="3:6" x14ac:dyDescent="0.25">
      <c r="C4577" s="1"/>
      <c r="F4577" s="1"/>
    </row>
    <row r="4578" spans="3:6" x14ac:dyDescent="0.25">
      <c r="C4578" s="1"/>
      <c r="F4578" s="1"/>
    </row>
    <row r="4579" spans="3:6" x14ac:dyDescent="0.25">
      <c r="C4579" s="1"/>
      <c r="F4579" s="1"/>
    </row>
    <row r="4580" spans="3:6" x14ac:dyDescent="0.25">
      <c r="C4580" s="1"/>
      <c r="F4580" s="1"/>
    </row>
    <row r="4581" spans="3:6" x14ac:dyDescent="0.25">
      <c r="C4581" s="1"/>
      <c r="F4581" s="1"/>
    </row>
    <row r="4582" spans="3:6" x14ac:dyDescent="0.25">
      <c r="C4582" s="1"/>
      <c r="F4582" s="1"/>
    </row>
    <row r="4583" spans="3:6" x14ac:dyDescent="0.25">
      <c r="C4583" s="1"/>
      <c r="F4583" s="1"/>
    </row>
    <row r="4584" spans="3:6" x14ac:dyDescent="0.25">
      <c r="C4584" s="1"/>
      <c r="F4584" s="1"/>
    </row>
    <row r="4585" spans="3:6" x14ac:dyDescent="0.25">
      <c r="C4585" s="1"/>
      <c r="F4585" s="1"/>
    </row>
    <row r="4586" spans="3:6" x14ac:dyDescent="0.25">
      <c r="C4586" s="1"/>
      <c r="F4586" s="1"/>
    </row>
    <row r="4587" spans="3:6" x14ac:dyDescent="0.25">
      <c r="C4587" s="1"/>
      <c r="F4587" s="1"/>
    </row>
    <row r="4588" spans="3:6" x14ac:dyDescent="0.25">
      <c r="C4588" s="1"/>
      <c r="F4588" s="1"/>
    </row>
    <row r="4589" spans="3:6" x14ac:dyDescent="0.25">
      <c r="C4589" s="1"/>
      <c r="F4589" s="1"/>
    </row>
    <row r="4590" spans="3:6" x14ac:dyDescent="0.25">
      <c r="C4590" s="1"/>
      <c r="F4590" s="1"/>
    </row>
    <row r="4591" spans="3:6" x14ac:dyDescent="0.25">
      <c r="C4591" s="1"/>
      <c r="F4591" s="1"/>
    </row>
    <row r="4592" spans="3:6" x14ac:dyDescent="0.25">
      <c r="C4592" s="1"/>
      <c r="F4592" s="1"/>
    </row>
    <row r="4593" spans="3:6" x14ac:dyDescent="0.25">
      <c r="C4593" s="1"/>
      <c r="F4593" s="1"/>
    </row>
    <row r="4594" spans="3:6" x14ac:dyDescent="0.25">
      <c r="C4594" s="1"/>
      <c r="F4594" s="1"/>
    </row>
    <row r="4595" spans="3:6" x14ac:dyDescent="0.25">
      <c r="C4595" s="1"/>
      <c r="F4595" s="1"/>
    </row>
    <row r="4596" spans="3:6" x14ac:dyDescent="0.25">
      <c r="C4596" s="1"/>
      <c r="F4596" s="1"/>
    </row>
    <row r="4597" spans="3:6" x14ac:dyDescent="0.25">
      <c r="C4597" s="1"/>
      <c r="F4597" s="1"/>
    </row>
    <row r="4598" spans="3:6" x14ac:dyDescent="0.25">
      <c r="C4598" s="1"/>
      <c r="F4598" s="1"/>
    </row>
    <row r="4599" spans="3:6" x14ac:dyDescent="0.25">
      <c r="C4599" s="1"/>
      <c r="F4599" s="1"/>
    </row>
    <row r="4600" spans="3:6" x14ac:dyDescent="0.25">
      <c r="C4600" s="1"/>
      <c r="F4600" s="1"/>
    </row>
    <row r="4601" spans="3:6" x14ac:dyDescent="0.25">
      <c r="C4601" s="1"/>
      <c r="F4601" s="1"/>
    </row>
    <row r="4602" spans="3:6" x14ac:dyDescent="0.25">
      <c r="C4602" s="1"/>
      <c r="F4602" s="1"/>
    </row>
    <row r="4603" spans="3:6" x14ac:dyDescent="0.25">
      <c r="C4603" s="1"/>
      <c r="F4603" s="1"/>
    </row>
    <row r="4604" spans="3:6" x14ac:dyDescent="0.25">
      <c r="C4604" s="1"/>
      <c r="F4604" s="1"/>
    </row>
    <row r="4605" spans="3:6" x14ac:dyDescent="0.25">
      <c r="C4605" s="1"/>
      <c r="F4605" s="1"/>
    </row>
    <row r="4606" spans="3:6" x14ac:dyDescent="0.25">
      <c r="C4606" s="1"/>
      <c r="F4606" s="1"/>
    </row>
    <row r="4607" spans="3:6" x14ac:dyDescent="0.25">
      <c r="C4607" s="1"/>
      <c r="F4607" s="1"/>
    </row>
    <row r="4608" spans="3:6" x14ac:dyDescent="0.25">
      <c r="C4608" s="1"/>
      <c r="F4608" s="1"/>
    </row>
    <row r="4609" spans="3:6" x14ac:dyDescent="0.25">
      <c r="C4609" s="1"/>
      <c r="F4609" s="1"/>
    </row>
    <row r="4610" spans="3:6" x14ac:dyDescent="0.25">
      <c r="C4610" s="1"/>
      <c r="F4610" s="1"/>
    </row>
    <row r="4611" spans="3:6" x14ac:dyDescent="0.25">
      <c r="C4611" s="1"/>
      <c r="F4611" s="1"/>
    </row>
    <row r="4612" spans="3:6" x14ac:dyDescent="0.25">
      <c r="C4612" s="1"/>
      <c r="F4612" s="1"/>
    </row>
    <row r="4613" spans="3:6" x14ac:dyDescent="0.25">
      <c r="C4613" s="1"/>
      <c r="F4613" s="1"/>
    </row>
    <row r="4614" spans="3:6" x14ac:dyDescent="0.25">
      <c r="C4614" s="1"/>
      <c r="F4614" s="1"/>
    </row>
    <row r="4615" spans="3:6" x14ac:dyDescent="0.25">
      <c r="C4615" s="1"/>
      <c r="F4615" s="1"/>
    </row>
    <row r="4616" spans="3:6" x14ac:dyDescent="0.25">
      <c r="C4616" s="1"/>
      <c r="F4616" s="1"/>
    </row>
    <row r="4617" spans="3:6" x14ac:dyDescent="0.25">
      <c r="C4617" s="1"/>
      <c r="F4617" s="1"/>
    </row>
    <row r="4618" spans="3:6" x14ac:dyDescent="0.25">
      <c r="C4618" s="1"/>
      <c r="F4618" s="1"/>
    </row>
    <row r="4619" spans="3:6" x14ac:dyDescent="0.25">
      <c r="C4619" s="1"/>
      <c r="F4619" s="1"/>
    </row>
    <row r="4620" spans="3:6" x14ac:dyDescent="0.25">
      <c r="C4620" s="1"/>
      <c r="F4620" s="1"/>
    </row>
    <row r="4621" spans="3:6" x14ac:dyDescent="0.25">
      <c r="C4621" s="1"/>
      <c r="F4621" s="1"/>
    </row>
    <row r="4622" spans="3:6" x14ac:dyDescent="0.25">
      <c r="C4622" s="1"/>
      <c r="F4622" s="1"/>
    </row>
    <row r="4623" spans="3:6" x14ac:dyDescent="0.25">
      <c r="C4623" s="1"/>
      <c r="F4623" s="1"/>
    </row>
    <row r="4624" spans="3:6" x14ac:dyDescent="0.25">
      <c r="C4624" s="1"/>
      <c r="F4624" s="1"/>
    </row>
    <row r="4625" spans="3:6" x14ac:dyDescent="0.25">
      <c r="C4625" s="1"/>
      <c r="F4625" s="1"/>
    </row>
    <row r="4626" spans="3:6" x14ac:dyDescent="0.25">
      <c r="C4626" s="1"/>
      <c r="F4626" s="1"/>
    </row>
    <row r="4627" spans="3:6" x14ac:dyDescent="0.25">
      <c r="C4627" s="1"/>
      <c r="F4627" s="1"/>
    </row>
    <row r="4628" spans="3:6" x14ac:dyDescent="0.25">
      <c r="C4628" s="1"/>
      <c r="F4628" s="1"/>
    </row>
    <row r="4629" spans="3:6" x14ac:dyDescent="0.25">
      <c r="C4629" s="1"/>
      <c r="F4629" s="1"/>
    </row>
    <row r="4630" spans="3:6" x14ac:dyDescent="0.25">
      <c r="C4630" s="1"/>
      <c r="F4630" s="1"/>
    </row>
    <row r="4631" spans="3:6" x14ac:dyDescent="0.25">
      <c r="C4631" s="1"/>
      <c r="F4631" s="1"/>
    </row>
    <row r="4632" spans="3:6" x14ac:dyDescent="0.25">
      <c r="C4632" s="1"/>
      <c r="F4632" s="1"/>
    </row>
    <row r="4633" spans="3:6" x14ac:dyDescent="0.25">
      <c r="C4633" s="1"/>
      <c r="F4633" s="1"/>
    </row>
    <row r="4634" spans="3:6" x14ac:dyDescent="0.25">
      <c r="C4634" s="1"/>
      <c r="F4634" s="1"/>
    </row>
    <row r="4635" spans="3:6" x14ac:dyDescent="0.25">
      <c r="C4635" s="1"/>
      <c r="F4635" s="1"/>
    </row>
    <row r="4636" spans="3:6" x14ac:dyDescent="0.25">
      <c r="C4636" s="1"/>
      <c r="F4636" s="1"/>
    </row>
    <row r="4637" spans="3:6" x14ac:dyDescent="0.25">
      <c r="C4637" s="1"/>
      <c r="F4637" s="1"/>
    </row>
    <row r="4638" spans="3:6" x14ac:dyDescent="0.25">
      <c r="C4638" s="1"/>
      <c r="F4638" s="1"/>
    </row>
    <row r="4639" spans="3:6" x14ac:dyDescent="0.25">
      <c r="C4639" s="1"/>
      <c r="F4639" s="1"/>
    </row>
    <row r="4640" spans="3:6" x14ac:dyDescent="0.25">
      <c r="C4640" s="1"/>
      <c r="F4640" s="1"/>
    </row>
    <row r="4641" spans="3:6" x14ac:dyDescent="0.25">
      <c r="C4641" s="1"/>
      <c r="F4641" s="1"/>
    </row>
    <row r="4642" spans="3:6" x14ac:dyDescent="0.25">
      <c r="C4642" s="1"/>
      <c r="F4642" s="1"/>
    </row>
    <row r="4643" spans="3:6" x14ac:dyDescent="0.25">
      <c r="C4643" s="1"/>
      <c r="F4643" s="1"/>
    </row>
    <row r="4644" spans="3:6" x14ac:dyDescent="0.25">
      <c r="C4644" s="1"/>
      <c r="F4644" s="1"/>
    </row>
    <row r="4645" spans="3:6" x14ac:dyDescent="0.25">
      <c r="C4645" s="1"/>
      <c r="F4645" s="1"/>
    </row>
    <row r="4646" spans="3:6" x14ac:dyDescent="0.25">
      <c r="C4646" s="1"/>
      <c r="F4646" s="1"/>
    </row>
    <row r="4647" spans="3:6" x14ac:dyDescent="0.25">
      <c r="C4647" s="1"/>
      <c r="F4647" s="1"/>
    </row>
    <row r="4648" spans="3:6" x14ac:dyDescent="0.25">
      <c r="C4648" s="1"/>
      <c r="F4648" s="1"/>
    </row>
    <row r="4649" spans="3:6" x14ac:dyDescent="0.25">
      <c r="C4649" s="1"/>
      <c r="F4649" s="1"/>
    </row>
    <row r="4650" spans="3:6" x14ac:dyDescent="0.25">
      <c r="C4650" s="1"/>
      <c r="F4650" s="1"/>
    </row>
    <row r="4651" spans="3:6" x14ac:dyDescent="0.25">
      <c r="C4651" s="1"/>
      <c r="F4651" s="1"/>
    </row>
    <row r="4652" spans="3:6" x14ac:dyDescent="0.25">
      <c r="C4652" s="1"/>
      <c r="F4652" s="1"/>
    </row>
    <row r="4653" spans="3:6" x14ac:dyDescent="0.25">
      <c r="C4653" s="1"/>
      <c r="F4653" s="1"/>
    </row>
    <row r="4654" spans="3:6" x14ac:dyDescent="0.25">
      <c r="C4654" s="1"/>
      <c r="F4654" s="1"/>
    </row>
    <row r="4655" spans="3:6" x14ac:dyDescent="0.25">
      <c r="C4655" s="1"/>
      <c r="F4655" s="1"/>
    </row>
    <row r="4656" spans="3:6" x14ac:dyDescent="0.25">
      <c r="C4656" s="1"/>
      <c r="F4656" s="1"/>
    </row>
    <row r="4657" spans="3:6" x14ac:dyDescent="0.25">
      <c r="C4657" s="1"/>
      <c r="F4657" s="1"/>
    </row>
    <row r="4658" spans="3:6" x14ac:dyDescent="0.25">
      <c r="C4658" s="1"/>
      <c r="F4658" s="1"/>
    </row>
    <row r="4659" spans="3:6" x14ac:dyDescent="0.25">
      <c r="C4659" s="1"/>
      <c r="F4659" s="1"/>
    </row>
    <row r="4660" spans="3:6" x14ac:dyDescent="0.25">
      <c r="C4660" s="1"/>
      <c r="F4660" s="1"/>
    </row>
    <row r="4661" spans="3:6" x14ac:dyDescent="0.25">
      <c r="C4661" s="1"/>
      <c r="F4661" s="1"/>
    </row>
    <row r="4662" spans="3:6" x14ac:dyDescent="0.25">
      <c r="C4662" s="1"/>
      <c r="F4662" s="1"/>
    </row>
    <row r="4663" spans="3:6" x14ac:dyDescent="0.25">
      <c r="C4663" s="1"/>
      <c r="F4663" s="1"/>
    </row>
    <row r="4664" spans="3:6" x14ac:dyDescent="0.25">
      <c r="C4664" s="1"/>
      <c r="F4664" s="1"/>
    </row>
    <row r="4665" spans="3:6" x14ac:dyDescent="0.25">
      <c r="C4665" s="1"/>
      <c r="F4665" s="1"/>
    </row>
    <row r="4666" spans="3:6" x14ac:dyDescent="0.25">
      <c r="C4666" s="1"/>
      <c r="F4666" s="1"/>
    </row>
    <row r="4667" spans="3:6" x14ac:dyDescent="0.25">
      <c r="C4667" s="1"/>
      <c r="F4667" s="1"/>
    </row>
    <row r="4668" spans="3:6" x14ac:dyDescent="0.25">
      <c r="C4668" s="1"/>
      <c r="F4668" s="1"/>
    </row>
    <row r="4669" spans="3:6" x14ac:dyDescent="0.25">
      <c r="C4669" s="1"/>
      <c r="F4669" s="1"/>
    </row>
    <row r="4670" spans="3:6" x14ac:dyDescent="0.25">
      <c r="C4670" s="1"/>
      <c r="F4670" s="1"/>
    </row>
    <row r="4671" spans="3:6" x14ac:dyDescent="0.25">
      <c r="C4671" s="1"/>
      <c r="F4671" s="1"/>
    </row>
    <row r="4672" spans="3:6" x14ac:dyDescent="0.25">
      <c r="C4672" s="1"/>
      <c r="F4672" s="1"/>
    </row>
    <row r="4673" spans="3:6" x14ac:dyDescent="0.25">
      <c r="C4673" s="1"/>
      <c r="F4673" s="1"/>
    </row>
    <row r="4674" spans="3:6" x14ac:dyDescent="0.25">
      <c r="C4674" s="1"/>
      <c r="F4674" s="1"/>
    </row>
    <row r="4675" spans="3:6" x14ac:dyDescent="0.25">
      <c r="C4675" s="1"/>
      <c r="F4675" s="1"/>
    </row>
    <row r="4676" spans="3:6" x14ac:dyDescent="0.25">
      <c r="C4676" s="1"/>
      <c r="F4676" s="1"/>
    </row>
    <row r="4677" spans="3:6" x14ac:dyDescent="0.25">
      <c r="C4677" s="1"/>
      <c r="F4677" s="1"/>
    </row>
    <row r="4678" spans="3:6" x14ac:dyDescent="0.25">
      <c r="C4678" s="1"/>
      <c r="F4678" s="1"/>
    </row>
    <row r="4679" spans="3:6" x14ac:dyDescent="0.25">
      <c r="C4679" s="1"/>
      <c r="F4679" s="1"/>
    </row>
    <row r="4680" spans="3:6" x14ac:dyDescent="0.25">
      <c r="C4680" s="1"/>
      <c r="F4680" s="1"/>
    </row>
    <row r="4681" spans="3:6" x14ac:dyDescent="0.25">
      <c r="C4681" s="1"/>
      <c r="F4681" s="1"/>
    </row>
    <row r="4682" spans="3:6" x14ac:dyDescent="0.25">
      <c r="C4682" s="1"/>
      <c r="F4682" s="1"/>
    </row>
    <row r="4683" spans="3:6" x14ac:dyDescent="0.25">
      <c r="C4683" s="1"/>
      <c r="F4683" s="1"/>
    </row>
    <row r="4684" spans="3:6" x14ac:dyDescent="0.25">
      <c r="C4684" s="1"/>
      <c r="F4684" s="1"/>
    </row>
    <row r="4685" spans="3:6" x14ac:dyDescent="0.25">
      <c r="C4685" s="1"/>
      <c r="F4685" s="1"/>
    </row>
    <row r="4686" spans="3:6" x14ac:dyDescent="0.25">
      <c r="C4686" s="1"/>
      <c r="F4686" s="1"/>
    </row>
    <row r="4687" spans="3:6" x14ac:dyDescent="0.25">
      <c r="C4687" s="1"/>
      <c r="F4687" s="1"/>
    </row>
    <row r="4688" spans="3:6" x14ac:dyDescent="0.25">
      <c r="C4688" s="1"/>
      <c r="F4688" s="1"/>
    </row>
    <row r="4689" spans="3:6" x14ac:dyDescent="0.25">
      <c r="C4689" s="1"/>
      <c r="F4689" s="1"/>
    </row>
    <row r="4690" spans="3:6" x14ac:dyDescent="0.25">
      <c r="C4690" s="1"/>
      <c r="F4690" s="1"/>
    </row>
    <row r="4691" spans="3:6" x14ac:dyDescent="0.25">
      <c r="C4691" s="1"/>
      <c r="F4691" s="1"/>
    </row>
    <row r="4692" spans="3:6" x14ac:dyDescent="0.25">
      <c r="C4692" s="1"/>
      <c r="F4692" s="1"/>
    </row>
    <row r="4693" spans="3:6" x14ac:dyDescent="0.25">
      <c r="C4693" s="1"/>
      <c r="F4693" s="1"/>
    </row>
    <row r="4694" spans="3:6" x14ac:dyDescent="0.25">
      <c r="C4694" s="1"/>
      <c r="F4694" s="1"/>
    </row>
    <row r="4695" spans="3:6" x14ac:dyDescent="0.25">
      <c r="C4695" s="1"/>
      <c r="F4695" s="1"/>
    </row>
    <row r="4696" spans="3:6" x14ac:dyDescent="0.25">
      <c r="C4696" s="1"/>
      <c r="F4696" s="1"/>
    </row>
    <row r="4697" spans="3:6" x14ac:dyDescent="0.25">
      <c r="C4697" s="1"/>
      <c r="F4697" s="1"/>
    </row>
    <row r="4698" spans="3:6" x14ac:dyDescent="0.25">
      <c r="C4698" s="1"/>
      <c r="F4698" s="1"/>
    </row>
    <row r="4699" spans="3:6" x14ac:dyDescent="0.25">
      <c r="C4699" s="1"/>
      <c r="F4699" s="1"/>
    </row>
    <row r="4700" spans="3:6" x14ac:dyDescent="0.25">
      <c r="C4700" s="1"/>
      <c r="F4700" s="1"/>
    </row>
    <row r="4701" spans="3:6" x14ac:dyDescent="0.25">
      <c r="C4701" s="1"/>
      <c r="F4701" s="1"/>
    </row>
    <row r="4702" spans="3:6" x14ac:dyDescent="0.25">
      <c r="C4702" s="1"/>
      <c r="F4702" s="1"/>
    </row>
    <row r="4703" spans="3:6" x14ac:dyDescent="0.25">
      <c r="C4703" s="1"/>
      <c r="F4703" s="1"/>
    </row>
    <row r="4704" spans="3:6" x14ac:dyDescent="0.25">
      <c r="C4704" s="1"/>
      <c r="F4704" s="1"/>
    </row>
    <row r="4705" spans="3:6" x14ac:dyDescent="0.25">
      <c r="C4705" s="1"/>
      <c r="F4705" s="1"/>
    </row>
    <row r="4706" spans="3:6" x14ac:dyDescent="0.25">
      <c r="C4706" s="1"/>
      <c r="F4706" s="1"/>
    </row>
    <row r="4707" spans="3:6" x14ac:dyDescent="0.25">
      <c r="C4707" s="1"/>
      <c r="F4707" s="1"/>
    </row>
    <row r="4708" spans="3:6" x14ac:dyDescent="0.25">
      <c r="C4708" s="1"/>
      <c r="F4708" s="1"/>
    </row>
    <row r="4709" spans="3:6" x14ac:dyDescent="0.25">
      <c r="C4709" s="1"/>
      <c r="F4709" s="1"/>
    </row>
    <row r="4710" spans="3:6" x14ac:dyDescent="0.25">
      <c r="C4710" s="1"/>
      <c r="F4710" s="1"/>
    </row>
    <row r="4711" spans="3:6" x14ac:dyDescent="0.25">
      <c r="C4711" s="1"/>
      <c r="F4711" s="1"/>
    </row>
    <row r="4712" spans="3:6" x14ac:dyDescent="0.25">
      <c r="C4712" s="1"/>
      <c r="F4712" s="1"/>
    </row>
    <row r="4713" spans="3:6" x14ac:dyDescent="0.25">
      <c r="C4713" s="1"/>
      <c r="F4713" s="1"/>
    </row>
    <row r="4714" spans="3:6" x14ac:dyDescent="0.25">
      <c r="C4714" s="1"/>
      <c r="F4714" s="1"/>
    </row>
    <row r="4715" spans="3:6" x14ac:dyDescent="0.25">
      <c r="C4715" s="1"/>
      <c r="F4715" s="1"/>
    </row>
    <row r="4716" spans="3:6" x14ac:dyDescent="0.25">
      <c r="C4716" s="1"/>
      <c r="F4716" s="1"/>
    </row>
    <row r="4717" spans="3:6" x14ac:dyDescent="0.25">
      <c r="C4717" s="1"/>
      <c r="F4717" s="1"/>
    </row>
    <row r="4718" spans="3:6" x14ac:dyDescent="0.25">
      <c r="C4718" s="1"/>
      <c r="F4718" s="1"/>
    </row>
    <row r="4719" spans="3:6" x14ac:dyDescent="0.25">
      <c r="C4719" s="1"/>
      <c r="F4719" s="1"/>
    </row>
    <row r="4720" spans="3:6" x14ac:dyDescent="0.25">
      <c r="C4720" s="1"/>
      <c r="F4720" s="1"/>
    </row>
    <row r="4721" spans="3:6" x14ac:dyDescent="0.25">
      <c r="C4721" s="1"/>
      <c r="F4721" s="1"/>
    </row>
    <row r="4722" spans="3:6" x14ac:dyDescent="0.25">
      <c r="C4722" s="1"/>
      <c r="F4722" s="1"/>
    </row>
    <row r="4723" spans="3:6" x14ac:dyDescent="0.25">
      <c r="C4723" s="1"/>
      <c r="F4723" s="1"/>
    </row>
    <row r="4724" spans="3:6" x14ac:dyDescent="0.25">
      <c r="C4724" s="1"/>
      <c r="F4724" s="1"/>
    </row>
    <row r="4725" spans="3:6" x14ac:dyDescent="0.25">
      <c r="C4725" s="1"/>
      <c r="F4725" s="1"/>
    </row>
    <row r="4726" spans="3:6" x14ac:dyDescent="0.25">
      <c r="C4726" s="1"/>
      <c r="F4726" s="1"/>
    </row>
    <row r="4727" spans="3:6" x14ac:dyDescent="0.25">
      <c r="C4727" s="1"/>
      <c r="F4727" s="1"/>
    </row>
    <row r="4728" spans="3:6" x14ac:dyDescent="0.25">
      <c r="C4728" s="1"/>
      <c r="F4728" s="1"/>
    </row>
    <row r="4729" spans="3:6" x14ac:dyDescent="0.25">
      <c r="C4729" s="1"/>
      <c r="F4729" s="1"/>
    </row>
    <row r="4730" spans="3:6" x14ac:dyDescent="0.25">
      <c r="C4730" s="1"/>
      <c r="F4730" s="1"/>
    </row>
    <row r="4731" spans="3:6" x14ac:dyDescent="0.25">
      <c r="C4731" s="1"/>
      <c r="F4731" s="1"/>
    </row>
    <row r="4732" spans="3:6" x14ac:dyDescent="0.25">
      <c r="C4732" s="1"/>
      <c r="F4732" s="1"/>
    </row>
    <row r="4733" spans="3:6" x14ac:dyDescent="0.25">
      <c r="C4733" s="1"/>
      <c r="F4733" s="1"/>
    </row>
    <row r="4734" spans="3:6" x14ac:dyDescent="0.25">
      <c r="C4734" s="1"/>
      <c r="F4734" s="1"/>
    </row>
    <row r="4735" spans="3:6" x14ac:dyDescent="0.25">
      <c r="C4735" s="1"/>
      <c r="F4735" s="1"/>
    </row>
    <row r="4736" spans="3:6" x14ac:dyDescent="0.25">
      <c r="C4736" s="1"/>
      <c r="F4736" s="1"/>
    </row>
    <row r="4737" spans="3:6" x14ac:dyDescent="0.25">
      <c r="C4737" s="1"/>
      <c r="F4737" s="1"/>
    </row>
    <row r="4738" spans="3:6" x14ac:dyDescent="0.25">
      <c r="C4738" s="1"/>
      <c r="F4738" s="1"/>
    </row>
    <row r="4739" spans="3:6" x14ac:dyDescent="0.25">
      <c r="C4739" s="1"/>
      <c r="F4739" s="1"/>
    </row>
    <row r="4740" spans="3:6" x14ac:dyDescent="0.25">
      <c r="C4740" s="1"/>
      <c r="F4740" s="1"/>
    </row>
    <row r="4741" spans="3:6" x14ac:dyDescent="0.25">
      <c r="C4741" s="1"/>
      <c r="F4741" s="1"/>
    </row>
    <row r="4742" spans="3:6" x14ac:dyDescent="0.25">
      <c r="C4742" s="1"/>
      <c r="F4742" s="1"/>
    </row>
    <row r="4743" spans="3:6" x14ac:dyDescent="0.25">
      <c r="C4743" s="1"/>
      <c r="F4743" s="1"/>
    </row>
    <row r="4744" spans="3:6" x14ac:dyDescent="0.25">
      <c r="C4744" s="1"/>
      <c r="F4744" s="1"/>
    </row>
    <row r="4745" spans="3:6" x14ac:dyDescent="0.25">
      <c r="C4745" s="1"/>
      <c r="F4745" s="1"/>
    </row>
    <row r="4746" spans="3:6" x14ac:dyDescent="0.25">
      <c r="C4746" s="1"/>
      <c r="F4746" s="1"/>
    </row>
    <row r="4747" spans="3:6" x14ac:dyDescent="0.25">
      <c r="C4747" s="1"/>
      <c r="F4747" s="1"/>
    </row>
    <row r="4748" spans="3:6" x14ac:dyDescent="0.25">
      <c r="C4748" s="1"/>
      <c r="F4748" s="1"/>
    </row>
    <row r="4749" spans="3:6" x14ac:dyDescent="0.25">
      <c r="C4749" s="1"/>
      <c r="F4749" s="1"/>
    </row>
    <row r="4750" spans="3:6" x14ac:dyDescent="0.25">
      <c r="C4750" s="1"/>
      <c r="F4750" s="1"/>
    </row>
    <row r="4751" spans="3:6" x14ac:dyDescent="0.25">
      <c r="C4751" s="1"/>
      <c r="F4751" s="1"/>
    </row>
    <row r="4752" spans="3:6" x14ac:dyDescent="0.25">
      <c r="C4752" s="1"/>
      <c r="F4752" s="1"/>
    </row>
    <row r="4753" spans="3:6" x14ac:dyDescent="0.25">
      <c r="C4753" s="1"/>
      <c r="F4753" s="1"/>
    </row>
    <row r="4754" spans="3:6" x14ac:dyDescent="0.25">
      <c r="C4754" s="1"/>
      <c r="F4754" s="1"/>
    </row>
    <row r="4755" spans="3:6" x14ac:dyDescent="0.25">
      <c r="C4755" s="1"/>
      <c r="F4755" s="1"/>
    </row>
    <row r="4756" spans="3:6" x14ac:dyDescent="0.25">
      <c r="C4756" s="1"/>
      <c r="F4756" s="1"/>
    </row>
    <row r="4757" spans="3:6" x14ac:dyDescent="0.25">
      <c r="C4757" s="1"/>
      <c r="F4757" s="1"/>
    </row>
    <row r="4758" spans="3:6" x14ac:dyDescent="0.25">
      <c r="C4758" s="1"/>
      <c r="F4758" s="1"/>
    </row>
    <row r="4759" spans="3:6" x14ac:dyDescent="0.25">
      <c r="C4759" s="1"/>
      <c r="F4759" s="1"/>
    </row>
    <row r="4760" spans="3:6" x14ac:dyDescent="0.25">
      <c r="C4760" s="1"/>
      <c r="F4760" s="1"/>
    </row>
    <row r="4761" spans="3:6" x14ac:dyDescent="0.25">
      <c r="C4761" s="1"/>
      <c r="F4761" s="1"/>
    </row>
    <row r="4762" spans="3:6" x14ac:dyDescent="0.25">
      <c r="C4762" s="1"/>
      <c r="F4762" s="1"/>
    </row>
    <row r="4763" spans="3:6" x14ac:dyDescent="0.25">
      <c r="C4763" s="1"/>
      <c r="F4763" s="1"/>
    </row>
    <row r="4764" spans="3:6" x14ac:dyDescent="0.25">
      <c r="C4764" s="1"/>
      <c r="F4764" s="1"/>
    </row>
    <row r="4765" spans="3:6" x14ac:dyDescent="0.25">
      <c r="C4765" s="1"/>
      <c r="F4765" s="1"/>
    </row>
    <row r="4766" spans="3:6" x14ac:dyDescent="0.25">
      <c r="C4766" s="1"/>
      <c r="F4766" s="1"/>
    </row>
    <row r="4767" spans="3:6" x14ac:dyDescent="0.25">
      <c r="C4767" s="1"/>
      <c r="F4767" s="1"/>
    </row>
    <row r="4768" spans="3:6" x14ac:dyDescent="0.25">
      <c r="C4768" s="1"/>
      <c r="F4768" s="1"/>
    </row>
    <row r="4769" spans="3:6" x14ac:dyDescent="0.25">
      <c r="C4769" s="1"/>
      <c r="F4769" s="1"/>
    </row>
    <row r="4770" spans="3:6" x14ac:dyDescent="0.25">
      <c r="C4770" s="1"/>
      <c r="F4770" s="1"/>
    </row>
    <row r="4771" spans="3:6" x14ac:dyDescent="0.25">
      <c r="C4771" s="1"/>
      <c r="F4771" s="1"/>
    </row>
    <row r="4772" spans="3:6" x14ac:dyDescent="0.25">
      <c r="C4772" s="1"/>
      <c r="F4772" s="1"/>
    </row>
    <row r="4773" spans="3:6" x14ac:dyDescent="0.25">
      <c r="C4773" s="1"/>
      <c r="F4773" s="1"/>
    </row>
    <row r="4774" spans="3:6" x14ac:dyDescent="0.25">
      <c r="C4774" s="1"/>
      <c r="F4774" s="1"/>
    </row>
    <row r="4775" spans="3:6" x14ac:dyDescent="0.25">
      <c r="C4775" s="1"/>
      <c r="F4775" s="1"/>
    </row>
    <row r="4776" spans="3:6" x14ac:dyDescent="0.25">
      <c r="C4776" s="1"/>
      <c r="F4776" s="1"/>
    </row>
    <row r="4777" spans="3:6" x14ac:dyDescent="0.25">
      <c r="C4777" s="1"/>
      <c r="F4777" s="1"/>
    </row>
    <row r="4778" spans="3:6" x14ac:dyDescent="0.25">
      <c r="C4778" s="1"/>
      <c r="F4778" s="1"/>
    </row>
    <row r="4779" spans="3:6" x14ac:dyDescent="0.25">
      <c r="C4779" s="1"/>
      <c r="F4779" s="1"/>
    </row>
    <row r="4780" spans="3:6" x14ac:dyDescent="0.25">
      <c r="C4780" s="1"/>
      <c r="F4780" s="1"/>
    </row>
    <row r="4781" spans="3:6" x14ac:dyDescent="0.25">
      <c r="C4781" s="1"/>
      <c r="F4781" s="1"/>
    </row>
    <row r="4782" spans="3:6" x14ac:dyDescent="0.25">
      <c r="C4782" s="1"/>
      <c r="F4782" s="1"/>
    </row>
    <row r="4783" spans="3:6" x14ac:dyDescent="0.25">
      <c r="C4783" s="1"/>
      <c r="F4783" s="1"/>
    </row>
    <row r="4784" spans="3:6" x14ac:dyDescent="0.25">
      <c r="C4784" s="1"/>
      <c r="F4784" s="1"/>
    </row>
    <row r="4785" spans="3:6" x14ac:dyDescent="0.25">
      <c r="C4785" s="1"/>
      <c r="F4785" s="1"/>
    </row>
    <row r="4786" spans="3:6" x14ac:dyDescent="0.25">
      <c r="C4786" s="1"/>
      <c r="F4786" s="1"/>
    </row>
    <row r="4787" spans="3:6" x14ac:dyDescent="0.25">
      <c r="C4787" s="1"/>
      <c r="F4787" s="1"/>
    </row>
    <row r="4788" spans="3:6" x14ac:dyDescent="0.25">
      <c r="C4788" s="1"/>
      <c r="F4788" s="1"/>
    </row>
    <row r="4789" spans="3:6" x14ac:dyDescent="0.25">
      <c r="C4789" s="1"/>
      <c r="F4789" s="1"/>
    </row>
    <row r="4790" spans="3:6" x14ac:dyDescent="0.25">
      <c r="C4790" s="1"/>
      <c r="F4790" s="1"/>
    </row>
    <row r="4791" spans="3:6" x14ac:dyDescent="0.25">
      <c r="C4791" s="1"/>
      <c r="F4791" s="1"/>
    </row>
    <row r="4792" spans="3:6" x14ac:dyDescent="0.25">
      <c r="C4792" s="1"/>
      <c r="F4792" s="1"/>
    </row>
    <row r="4793" spans="3:6" x14ac:dyDescent="0.25">
      <c r="C4793" s="1"/>
      <c r="F4793" s="1"/>
    </row>
    <row r="4794" spans="3:6" x14ac:dyDescent="0.25">
      <c r="C4794" s="1"/>
      <c r="F4794" s="1"/>
    </row>
    <row r="4795" spans="3:6" x14ac:dyDescent="0.25">
      <c r="C4795" s="1"/>
      <c r="F4795" s="1"/>
    </row>
    <row r="4796" spans="3:6" x14ac:dyDescent="0.25">
      <c r="C4796" s="1"/>
      <c r="F4796" s="1"/>
    </row>
    <row r="4797" spans="3:6" x14ac:dyDescent="0.25">
      <c r="C4797" s="1"/>
      <c r="F4797" s="1"/>
    </row>
    <row r="4798" spans="3:6" x14ac:dyDescent="0.25">
      <c r="C4798" s="1"/>
      <c r="F4798" s="1"/>
    </row>
    <row r="4799" spans="3:6" x14ac:dyDescent="0.25">
      <c r="C4799" s="1"/>
      <c r="F4799" s="1"/>
    </row>
    <row r="4800" spans="3:6" x14ac:dyDescent="0.25">
      <c r="C4800" s="1"/>
      <c r="F4800" s="1"/>
    </row>
    <row r="4801" spans="3:6" x14ac:dyDescent="0.25">
      <c r="C4801" s="1"/>
      <c r="F4801" s="1"/>
    </row>
    <row r="4802" spans="3:6" x14ac:dyDescent="0.25">
      <c r="C4802" s="1"/>
      <c r="F4802" s="1"/>
    </row>
    <row r="4803" spans="3:6" x14ac:dyDescent="0.25">
      <c r="C4803" s="1"/>
      <c r="F4803" s="1"/>
    </row>
    <row r="4804" spans="3:6" x14ac:dyDescent="0.25">
      <c r="C4804" s="1"/>
      <c r="F4804" s="1"/>
    </row>
    <row r="4805" spans="3:6" x14ac:dyDescent="0.25">
      <c r="C4805" s="1"/>
      <c r="F4805" s="1"/>
    </row>
    <row r="4806" spans="3:6" x14ac:dyDescent="0.25">
      <c r="C4806" s="1"/>
      <c r="F4806" s="1"/>
    </row>
    <row r="4807" spans="3:6" x14ac:dyDescent="0.25">
      <c r="C4807" s="1"/>
      <c r="F4807" s="1"/>
    </row>
    <row r="4808" spans="3:6" x14ac:dyDescent="0.25">
      <c r="C4808" s="1"/>
      <c r="F4808" s="1"/>
    </row>
    <row r="4809" spans="3:6" x14ac:dyDescent="0.25">
      <c r="C4809" s="1"/>
      <c r="F4809" s="1"/>
    </row>
    <row r="4810" spans="3:6" x14ac:dyDescent="0.25">
      <c r="C4810" s="1"/>
      <c r="F4810" s="1"/>
    </row>
    <row r="4811" spans="3:6" x14ac:dyDescent="0.25">
      <c r="C4811" s="1"/>
      <c r="F4811" s="1"/>
    </row>
    <row r="4812" spans="3:6" x14ac:dyDescent="0.25">
      <c r="C4812" s="1"/>
      <c r="F4812" s="1"/>
    </row>
    <row r="4813" spans="3:6" x14ac:dyDescent="0.25">
      <c r="C4813" s="1"/>
      <c r="F4813" s="1"/>
    </row>
    <row r="4814" spans="3:6" x14ac:dyDescent="0.25">
      <c r="C4814" s="1"/>
      <c r="F4814" s="1"/>
    </row>
    <row r="4815" spans="3:6" x14ac:dyDescent="0.25">
      <c r="C4815" s="1"/>
      <c r="F4815" s="1"/>
    </row>
    <row r="4816" spans="3:6" x14ac:dyDescent="0.25">
      <c r="C4816" s="1"/>
      <c r="F4816" s="1"/>
    </row>
    <row r="4817" spans="3:6" x14ac:dyDescent="0.25">
      <c r="C4817" s="1"/>
      <c r="F4817" s="1"/>
    </row>
    <row r="4818" spans="3:6" x14ac:dyDescent="0.25">
      <c r="C4818" s="1"/>
      <c r="F4818" s="1"/>
    </row>
    <row r="4819" spans="3:6" x14ac:dyDescent="0.25">
      <c r="C4819" s="1"/>
      <c r="F4819" s="1"/>
    </row>
    <row r="4820" spans="3:6" x14ac:dyDescent="0.25">
      <c r="C4820" s="1"/>
      <c r="F4820" s="1"/>
    </row>
    <row r="4821" spans="3:6" x14ac:dyDescent="0.25">
      <c r="C4821" s="1"/>
      <c r="F4821" s="1"/>
    </row>
    <row r="4822" spans="3:6" x14ac:dyDescent="0.25">
      <c r="C4822" s="1"/>
      <c r="F4822" s="1"/>
    </row>
    <row r="4823" spans="3:6" x14ac:dyDescent="0.25">
      <c r="C4823" s="1"/>
      <c r="F4823" s="1"/>
    </row>
    <row r="4824" spans="3:6" x14ac:dyDescent="0.25">
      <c r="C4824" s="1"/>
      <c r="F4824" s="1"/>
    </row>
    <row r="4825" spans="3:6" x14ac:dyDescent="0.25">
      <c r="C4825" s="1"/>
      <c r="F4825" s="1"/>
    </row>
    <row r="4826" spans="3:6" x14ac:dyDescent="0.25">
      <c r="C4826" s="1"/>
      <c r="F4826" s="1"/>
    </row>
    <row r="4827" spans="3:6" x14ac:dyDescent="0.25">
      <c r="C4827" s="1"/>
      <c r="F4827" s="1"/>
    </row>
    <row r="4828" spans="3:6" x14ac:dyDescent="0.25">
      <c r="C4828" s="1"/>
      <c r="F4828" s="1"/>
    </row>
    <row r="4829" spans="3:6" x14ac:dyDescent="0.25">
      <c r="C4829" s="1"/>
      <c r="F4829" s="1"/>
    </row>
    <row r="4830" spans="3:6" x14ac:dyDescent="0.25">
      <c r="C4830" s="1"/>
      <c r="F4830" s="1"/>
    </row>
    <row r="4831" spans="3:6" x14ac:dyDescent="0.25">
      <c r="C4831" s="1"/>
      <c r="F4831" s="1"/>
    </row>
    <row r="4832" spans="3:6" x14ac:dyDescent="0.25">
      <c r="C4832" s="1"/>
      <c r="F4832" s="1"/>
    </row>
    <row r="4833" spans="3:6" x14ac:dyDescent="0.25">
      <c r="C4833" s="1"/>
      <c r="F4833" s="1"/>
    </row>
    <row r="4834" spans="3:6" x14ac:dyDescent="0.25">
      <c r="C4834" s="1"/>
      <c r="F4834" s="1"/>
    </row>
    <row r="4835" spans="3:6" x14ac:dyDescent="0.25">
      <c r="C4835" s="1"/>
      <c r="F4835" s="1"/>
    </row>
    <row r="4836" spans="3:6" x14ac:dyDescent="0.25">
      <c r="C4836" s="1"/>
      <c r="F4836" s="1"/>
    </row>
    <row r="4837" spans="3:6" x14ac:dyDescent="0.25">
      <c r="C4837" s="1"/>
      <c r="F4837" s="1"/>
    </row>
    <row r="4838" spans="3:6" x14ac:dyDescent="0.25">
      <c r="C4838" s="1"/>
      <c r="F4838" s="1"/>
    </row>
    <row r="4839" spans="3:6" x14ac:dyDescent="0.25">
      <c r="C4839" s="1"/>
      <c r="F4839" s="1"/>
    </row>
    <row r="4840" spans="3:6" x14ac:dyDescent="0.25">
      <c r="C4840" s="1"/>
      <c r="F4840" s="1"/>
    </row>
    <row r="4841" spans="3:6" x14ac:dyDescent="0.25">
      <c r="C4841" s="1"/>
      <c r="F4841" s="1"/>
    </row>
    <row r="4842" spans="3:6" x14ac:dyDescent="0.25">
      <c r="C4842" s="1"/>
      <c r="F4842" s="1"/>
    </row>
    <row r="4843" spans="3:6" x14ac:dyDescent="0.25">
      <c r="C4843" s="1"/>
      <c r="F4843" s="1"/>
    </row>
    <row r="4844" spans="3:6" x14ac:dyDescent="0.25">
      <c r="C4844" s="1"/>
      <c r="F4844" s="1"/>
    </row>
    <row r="4845" spans="3:6" x14ac:dyDescent="0.25">
      <c r="C4845" s="1"/>
      <c r="F4845" s="1"/>
    </row>
    <row r="4846" spans="3:6" x14ac:dyDescent="0.25">
      <c r="C4846" s="1"/>
      <c r="F4846" s="1"/>
    </row>
    <row r="4847" spans="3:6" x14ac:dyDescent="0.25">
      <c r="C4847" s="1"/>
      <c r="F4847" s="1"/>
    </row>
    <row r="4848" spans="3:6" x14ac:dyDescent="0.25">
      <c r="C4848" s="1"/>
      <c r="F4848" s="1"/>
    </row>
    <row r="4849" spans="3:6" x14ac:dyDescent="0.25">
      <c r="C4849" s="1"/>
      <c r="F4849" s="1"/>
    </row>
    <row r="4850" spans="3:6" x14ac:dyDescent="0.25">
      <c r="C4850" s="1"/>
      <c r="F4850" s="1"/>
    </row>
    <row r="4851" spans="3:6" x14ac:dyDescent="0.25">
      <c r="C4851" s="1"/>
      <c r="F4851" s="1"/>
    </row>
    <row r="4852" spans="3:6" x14ac:dyDescent="0.25">
      <c r="C4852" s="1"/>
      <c r="F4852" s="1"/>
    </row>
    <row r="4853" spans="3:6" x14ac:dyDescent="0.25">
      <c r="C4853" s="1"/>
      <c r="F4853" s="1"/>
    </row>
    <row r="4854" spans="3:6" x14ac:dyDescent="0.25">
      <c r="C4854" s="1"/>
      <c r="F4854" s="1"/>
    </row>
    <row r="4855" spans="3:6" x14ac:dyDescent="0.25">
      <c r="C4855" s="1"/>
      <c r="F4855" s="1"/>
    </row>
    <row r="4856" spans="3:6" x14ac:dyDescent="0.25">
      <c r="C4856" s="1"/>
      <c r="F4856" s="1"/>
    </row>
    <row r="4857" spans="3:6" x14ac:dyDescent="0.25">
      <c r="C4857" s="1"/>
      <c r="F4857" s="1"/>
    </row>
    <row r="4858" spans="3:6" x14ac:dyDescent="0.25">
      <c r="C4858" s="1"/>
      <c r="F4858" s="1"/>
    </row>
    <row r="4859" spans="3:6" x14ac:dyDescent="0.25">
      <c r="C4859" s="1"/>
      <c r="F4859" s="1"/>
    </row>
    <row r="4860" spans="3:6" x14ac:dyDescent="0.25">
      <c r="C4860" s="1"/>
      <c r="F4860" s="1"/>
    </row>
    <row r="4861" spans="3:6" x14ac:dyDescent="0.25">
      <c r="C4861" s="1"/>
      <c r="F4861" s="1"/>
    </row>
    <row r="4862" spans="3:6" x14ac:dyDescent="0.25">
      <c r="C4862" s="1"/>
      <c r="F4862" s="1"/>
    </row>
    <row r="4863" spans="3:6" x14ac:dyDescent="0.25">
      <c r="C4863" s="1"/>
      <c r="F4863" s="1"/>
    </row>
    <row r="4864" spans="3:6" x14ac:dyDescent="0.25">
      <c r="C4864" s="1"/>
      <c r="F4864" s="1"/>
    </row>
    <row r="4865" spans="3:6" x14ac:dyDescent="0.25">
      <c r="C4865" s="1"/>
      <c r="F4865" s="1"/>
    </row>
    <row r="4866" spans="3:6" x14ac:dyDescent="0.25">
      <c r="C4866" s="1"/>
      <c r="F4866" s="1"/>
    </row>
    <row r="4867" spans="3:6" x14ac:dyDescent="0.25">
      <c r="C4867" s="1"/>
      <c r="F4867" s="1"/>
    </row>
    <row r="4868" spans="3:6" x14ac:dyDescent="0.25">
      <c r="C4868" s="1"/>
      <c r="F4868" s="1"/>
    </row>
    <row r="4869" spans="3:6" x14ac:dyDescent="0.25">
      <c r="C4869" s="1"/>
      <c r="F4869" s="1"/>
    </row>
    <row r="4870" spans="3:6" x14ac:dyDescent="0.25">
      <c r="C4870" s="1"/>
      <c r="F4870" s="1"/>
    </row>
    <row r="4871" spans="3:6" x14ac:dyDescent="0.25">
      <c r="C4871" s="1"/>
      <c r="F4871" s="1"/>
    </row>
    <row r="4872" spans="3:6" x14ac:dyDescent="0.25">
      <c r="C4872" s="1"/>
      <c r="F4872" s="1"/>
    </row>
    <row r="4873" spans="3:6" x14ac:dyDescent="0.25">
      <c r="C4873" s="1"/>
      <c r="F4873" s="1"/>
    </row>
    <row r="4874" spans="3:6" x14ac:dyDescent="0.25">
      <c r="C4874" s="1"/>
      <c r="F4874" s="1"/>
    </row>
    <row r="4875" spans="3:6" x14ac:dyDescent="0.25">
      <c r="C4875" s="1"/>
      <c r="F4875" s="1"/>
    </row>
    <row r="4876" spans="3:6" x14ac:dyDescent="0.25">
      <c r="C4876" s="1"/>
      <c r="F4876" s="1"/>
    </row>
    <row r="4877" spans="3:6" x14ac:dyDescent="0.25">
      <c r="C4877" s="1"/>
      <c r="F4877" s="1"/>
    </row>
    <row r="4878" spans="3:6" x14ac:dyDescent="0.25">
      <c r="C4878" s="1"/>
      <c r="F4878" s="1"/>
    </row>
    <row r="4879" spans="3:6" x14ac:dyDescent="0.25">
      <c r="C4879" s="1"/>
      <c r="F4879" s="1"/>
    </row>
    <row r="4880" spans="3:6" x14ac:dyDescent="0.25">
      <c r="C4880" s="1"/>
      <c r="F4880" s="1"/>
    </row>
    <row r="4881" spans="3:6" x14ac:dyDescent="0.25">
      <c r="C4881" s="1"/>
      <c r="F4881" s="1"/>
    </row>
    <row r="4882" spans="3:6" x14ac:dyDescent="0.25">
      <c r="C4882" s="1"/>
      <c r="F4882" s="1"/>
    </row>
    <row r="4883" spans="3:6" x14ac:dyDescent="0.25">
      <c r="C4883" s="1"/>
      <c r="F4883" s="1"/>
    </row>
    <row r="4884" spans="3:6" x14ac:dyDescent="0.25">
      <c r="C4884" s="1"/>
      <c r="F4884" s="1"/>
    </row>
    <row r="4885" spans="3:6" x14ac:dyDescent="0.25">
      <c r="C4885" s="1"/>
      <c r="F4885" s="1"/>
    </row>
    <row r="4886" spans="3:6" x14ac:dyDescent="0.25">
      <c r="C4886" s="1"/>
      <c r="F4886" s="1"/>
    </row>
    <row r="4887" spans="3:6" x14ac:dyDescent="0.25">
      <c r="C4887" s="1"/>
      <c r="F4887" s="1"/>
    </row>
    <row r="4888" spans="3:6" x14ac:dyDescent="0.25">
      <c r="C4888" s="1"/>
      <c r="F4888" s="1"/>
    </row>
    <row r="4889" spans="3:6" x14ac:dyDescent="0.25">
      <c r="C4889" s="1"/>
      <c r="F4889" s="1"/>
    </row>
    <row r="4890" spans="3:6" x14ac:dyDescent="0.25">
      <c r="C4890" s="1"/>
      <c r="F4890" s="1"/>
    </row>
    <row r="4891" spans="3:6" x14ac:dyDescent="0.25">
      <c r="C4891" s="1"/>
      <c r="F4891" s="1"/>
    </row>
    <row r="4892" spans="3:6" x14ac:dyDescent="0.25">
      <c r="C4892" s="1"/>
      <c r="F4892" s="1"/>
    </row>
    <row r="4893" spans="3:6" x14ac:dyDescent="0.25">
      <c r="C4893" s="1"/>
      <c r="F4893" s="1"/>
    </row>
    <row r="4894" spans="3:6" x14ac:dyDescent="0.25">
      <c r="C4894" s="1"/>
      <c r="F4894" s="1"/>
    </row>
    <row r="4895" spans="3:6" x14ac:dyDescent="0.25">
      <c r="C4895" s="1"/>
      <c r="F4895" s="1"/>
    </row>
    <row r="4896" spans="3:6" x14ac:dyDescent="0.25">
      <c r="C4896" s="1"/>
      <c r="F4896" s="1"/>
    </row>
    <row r="4897" spans="3:6" x14ac:dyDescent="0.25">
      <c r="C4897" s="1"/>
      <c r="F4897" s="1"/>
    </row>
    <row r="4898" spans="3:6" x14ac:dyDescent="0.25">
      <c r="C4898" s="1"/>
      <c r="F4898" s="1"/>
    </row>
    <row r="4899" spans="3:6" x14ac:dyDescent="0.25">
      <c r="C4899" s="1"/>
      <c r="F4899" s="1"/>
    </row>
    <row r="4900" spans="3:6" x14ac:dyDescent="0.25">
      <c r="C4900" s="1"/>
      <c r="F4900" s="1"/>
    </row>
    <row r="4901" spans="3:6" x14ac:dyDescent="0.25">
      <c r="C4901" s="1"/>
      <c r="F4901" s="1"/>
    </row>
    <row r="4902" spans="3:6" x14ac:dyDescent="0.25">
      <c r="C4902" s="1"/>
      <c r="F4902" s="1"/>
    </row>
    <row r="4903" spans="3:6" x14ac:dyDescent="0.25">
      <c r="C4903" s="1"/>
      <c r="F4903" s="1"/>
    </row>
    <row r="4904" spans="3:6" x14ac:dyDescent="0.25">
      <c r="C4904" s="1"/>
      <c r="F4904" s="1"/>
    </row>
    <row r="4905" spans="3:6" x14ac:dyDescent="0.25">
      <c r="C4905" s="1"/>
      <c r="F4905" s="1"/>
    </row>
    <row r="4906" spans="3:6" x14ac:dyDescent="0.25">
      <c r="C4906" s="1"/>
      <c r="F4906" s="1"/>
    </row>
    <row r="4907" spans="3:6" x14ac:dyDescent="0.25">
      <c r="C4907" s="1"/>
      <c r="F4907" s="1"/>
    </row>
    <row r="4908" spans="3:6" x14ac:dyDescent="0.25">
      <c r="C4908" s="1"/>
      <c r="F4908" s="1"/>
    </row>
    <row r="4909" spans="3:6" x14ac:dyDescent="0.25">
      <c r="C4909" s="1"/>
      <c r="F4909" s="1"/>
    </row>
    <row r="4910" spans="3:6" x14ac:dyDescent="0.25">
      <c r="C4910" s="1"/>
      <c r="F4910" s="1"/>
    </row>
    <row r="4911" spans="3:6" x14ac:dyDescent="0.25">
      <c r="C4911" s="1"/>
      <c r="F4911" s="1"/>
    </row>
    <row r="4912" spans="3:6" x14ac:dyDescent="0.25">
      <c r="C4912" s="1"/>
      <c r="F4912" s="1"/>
    </row>
    <row r="4913" spans="3:6" x14ac:dyDescent="0.25">
      <c r="C4913" s="1"/>
      <c r="F4913" s="1"/>
    </row>
    <row r="4914" spans="3:6" x14ac:dyDescent="0.25">
      <c r="C4914" s="1"/>
      <c r="F4914" s="1"/>
    </row>
    <row r="4915" spans="3:6" x14ac:dyDescent="0.25">
      <c r="C4915" s="1"/>
      <c r="F4915" s="1"/>
    </row>
    <row r="4916" spans="3:6" x14ac:dyDescent="0.25">
      <c r="C4916" s="1"/>
      <c r="F4916" s="1"/>
    </row>
    <row r="4917" spans="3:6" x14ac:dyDescent="0.25">
      <c r="C4917" s="1"/>
      <c r="F4917" s="1"/>
    </row>
    <row r="4918" spans="3:6" x14ac:dyDescent="0.25">
      <c r="C4918" s="1"/>
      <c r="F4918" s="1"/>
    </row>
    <row r="4919" spans="3:6" x14ac:dyDescent="0.25">
      <c r="C4919" s="1"/>
      <c r="F4919" s="1"/>
    </row>
    <row r="4920" spans="3:6" x14ac:dyDescent="0.25">
      <c r="C4920" s="1"/>
      <c r="F4920" s="1"/>
    </row>
    <row r="4921" spans="3:6" x14ac:dyDescent="0.25">
      <c r="C4921" s="1"/>
      <c r="F4921" s="1"/>
    </row>
    <row r="4922" spans="3:6" x14ac:dyDescent="0.25">
      <c r="C4922" s="1"/>
      <c r="F4922" s="1"/>
    </row>
    <row r="4923" spans="3:6" x14ac:dyDescent="0.25">
      <c r="C4923" s="1"/>
      <c r="F4923" s="1"/>
    </row>
    <row r="4924" spans="3:6" x14ac:dyDescent="0.25">
      <c r="C4924" s="1"/>
      <c r="F4924" s="1"/>
    </row>
    <row r="4925" spans="3:6" x14ac:dyDescent="0.25">
      <c r="C4925" s="1"/>
      <c r="F4925" s="1"/>
    </row>
    <row r="4926" spans="3:6" x14ac:dyDescent="0.25">
      <c r="C4926" s="1"/>
      <c r="F4926" s="1"/>
    </row>
    <row r="4927" spans="3:6" x14ac:dyDescent="0.25">
      <c r="C4927" s="1"/>
      <c r="F4927" s="1"/>
    </row>
    <row r="4928" spans="3:6" x14ac:dyDescent="0.25">
      <c r="C4928" s="1"/>
      <c r="F4928" s="1"/>
    </row>
    <row r="4929" spans="3:6" x14ac:dyDescent="0.25">
      <c r="C4929" s="1"/>
      <c r="F4929" s="1"/>
    </row>
    <row r="4930" spans="3:6" x14ac:dyDescent="0.25">
      <c r="C4930" s="1"/>
      <c r="F4930" s="1"/>
    </row>
    <row r="4931" spans="3:6" x14ac:dyDescent="0.25">
      <c r="C4931" s="1"/>
      <c r="F4931" s="1"/>
    </row>
    <row r="4932" spans="3:6" x14ac:dyDescent="0.25">
      <c r="C4932" s="1"/>
      <c r="F4932" s="1"/>
    </row>
    <row r="4933" spans="3:6" x14ac:dyDescent="0.25">
      <c r="C4933" s="1"/>
      <c r="F4933" s="1"/>
    </row>
    <row r="4934" spans="3:6" x14ac:dyDescent="0.25">
      <c r="C4934" s="1"/>
      <c r="F4934" s="1"/>
    </row>
    <row r="4935" spans="3:6" x14ac:dyDescent="0.25">
      <c r="C4935" s="1"/>
      <c r="F4935" s="1"/>
    </row>
    <row r="4936" spans="3:6" x14ac:dyDescent="0.25">
      <c r="C4936" s="1"/>
      <c r="F4936" s="1"/>
    </row>
    <row r="4937" spans="3:6" x14ac:dyDescent="0.25">
      <c r="C4937" s="1"/>
      <c r="F4937" s="1"/>
    </row>
    <row r="4938" spans="3:6" x14ac:dyDescent="0.25">
      <c r="C4938" s="1"/>
      <c r="F4938" s="1"/>
    </row>
    <row r="4939" spans="3:6" x14ac:dyDescent="0.25">
      <c r="C4939" s="1"/>
      <c r="F4939" s="1"/>
    </row>
    <row r="4940" spans="3:6" x14ac:dyDescent="0.25">
      <c r="C4940" s="1"/>
      <c r="F4940" s="1"/>
    </row>
    <row r="4941" spans="3:6" x14ac:dyDescent="0.25">
      <c r="C4941" s="1"/>
      <c r="F4941" s="1"/>
    </row>
    <row r="4942" spans="3:6" x14ac:dyDescent="0.25">
      <c r="C4942" s="1"/>
      <c r="F4942" s="1"/>
    </row>
    <row r="4943" spans="3:6" x14ac:dyDescent="0.25">
      <c r="C4943" s="1"/>
      <c r="F4943" s="1"/>
    </row>
    <row r="4944" spans="3:6" x14ac:dyDescent="0.25">
      <c r="C4944" s="1"/>
      <c r="F4944" s="1"/>
    </row>
    <row r="4945" spans="3:6" x14ac:dyDescent="0.25">
      <c r="C4945" s="1"/>
      <c r="F4945" s="1"/>
    </row>
    <row r="4946" spans="3:6" x14ac:dyDescent="0.25">
      <c r="C4946" s="1"/>
      <c r="F4946" s="1"/>
    </row>
    <row r="4947" spans="3:6" x14ac:dyDescent="0.25">
      <c r="C4947" s="1"/>
      <c r="F4947" s="1"/>
    </row>
    <row r="4948" spans="3:6" x14ac:dyDescent="0.25">
      <c r="C4948" s="1"/>
      <c r="F4948" s="1"/>
    </row>
    <row r="4949" spans="3:6" x14ac:dyDescent="0.25">
      <c r="C4949" s="1"/>
      <c r="F4949" s="1"/>
    </row>
    <row r="4950" spans="3:6" x14ac:dyDescent="0.25">
      <c r="C4950" s="1"/>
      <c r="F4950" s="1"/>
    </row>
    <row r="4951" spans="3:6" x14ac:dyDescent="0.25">
      <c r="C4951" s="1"/>
      <c r="F4951" s="1"/>
    </row>
    <row r="4952" spans="3:6" x14ac:dyDescent="0.25">
      <c r="C4952" s="1"/>
      <c r="F4952" s="1"/>
    </row>
    <row r="4953" spans="3:6" x14ac:dyDescent="0.25">
      <c r="C4953" s="1"/>
      <c r="F4953" s="1"/>
    </row>
    <row r="4954" spans="3:6" x14ac:dyDescent="0.25">
      <c r="C4954" s="1"/>
      <c r="F4954" s="1"/>
    </row>
    <row r="4955" spans="3:6" x14ac:dyDescent="0.25">
      <c r="C4955" s="1"/>
      <c r="F4955" s="1"/>
    </row>
    <row r="4956" spans="3:6" x14ac:dyDescent="0.25">
      <c r="C4956" s="1"/>
      <c r="F4956" s="1"/>
    </row>
    <row r="4957" spans="3:6" x14ac:dyDescent="0.25">
      <c r="C4957" s="1"/>
      <c r="F4957" s="1"/>
    </row>
    <row r="4958" spans="3:6" x14ac:dyDescent="0.25">
      <c r="C4958" s="1"/>
      <c r="F4958" s="1"/>
    </row>
    <row r="4959" spans="3:6" x14ac:dyDescent="0.25">
      <c r="C4959" s="1"/>
      <c r="F4959" s="1"/>
    </row>
    <row r="4960" spans="3:6" x14ac:dyDescent="0.25">
      <c r="C4960" s="1"/>
      <c r="F4960" s="1"/>
    </row>
    <row r="4961" spans="3:6" x14ac:dyDescent="0.25">
      <c r="C4961" s="1"/>
      <c r="F4961" s="1"/>
    </row>
    <row r="4962" spans="3:6" x14ac:dyDescent="0.25">
      <c r="C4962" s="1"/>
      <c r="F4962" s="1"/>
    </row>
    <row r="4963" spans="3:6" x14ac:dyDescent="0.25">
      <c r="C4963" s="1"/>
      <c r="F4963" s="1"/>
    </row>
    <row r="4964" spans="3:6" x14ac:dyDescent="0.25">
      <c r="C4964" s="1"/>
      <c r="F4964" s="1"/>
    </row>
    <row r="4965" spans="3:6" x14ac:dyDescent="0.25">
      <c r="C4965" s="1"/>
      <c r="F4965" s="1"/>
    </row>
    <row r="4966" spans="3:6" x14ac:dyDescent="0.25">
      <c r="C4966" s="1"/>
      <c r="F4966" s="1"/>
    </row>
    <row r="4967" spans="3:6" x14ac:dyDescent="0.25">
      <c r="C4967" s="1"/>
      <c r="F4967" s="1"/>
    </row>
    <row r="4968" spans="3:6" x14ac:dyDescent="0.25">
      <c r="C4968" s="1"/>
      <c r="F4968" s="1"/>
    </row>
    <row r="4969" spans="3:6" x14ac:dyDescent="0.25">
      <c r="C4969" s="1"/>
      <c r="F4969" s="1"/>
    </row>
    <row r="4970" spans="3:6" x14ac:dyDescent="0.25">
      <c r="C4970" s="1"/>
      <c r="F4970" s="1"/>
    </row>
    <row r="4971" spans="3:6" x14ac:dyDescent="0.25">
      <c r="C4971" s="1"/>
      <c r="F4971" s="1"/>
    </row>
    <row r="4972" spans="3:6" x14ac:dyDescent="0.25">
      <c r="C4972" s="1"/>
      <c r="F4972" s="1"/>
    </row>
    <row r="4973" spans="3:6" x14ac:dyDescent="0.25">
      <c r="C4973" s="1"/>
      <c r="F4973" s="1"/>
    </row>
    <row r="4974" spans="3:6" x14ac:dyDescent="0.25">
      <c r="C4974" s="1"/>
      <c r="F4974" s="1"/>
    </row>
    <row r="4975" spans="3:6" x14ac:dyDescent="0.25">
      <c r="C4975" s="1"/>
      <c r="F4975" s="1"/>
    </row>
    <row r="4976" spans="3:6" x14ac:dyDescent="0.25">
      <c r="C4976" s="1"/>
      <c r="F4976" s="1"/>
    </row>
    <row r="4977" spans="3:6" x14ac:dyDescent="0.25">
      <c r="C4977" s="1"/>
      <c r="F4977" s="1"/>
    </row>
    <row r="4978" spans="3:6" x14ac:dyDescent="0.25">
      <c r="C4978" s="1"/>
      <c r="F4978" s="1"/>
    </row>
    <row r="4979" spans="3:6" x14ac:dyDescent="0.25">
      <c r="C4979" s="1"/>
      <c r="F4979" s="1"/>
    </row>
    <row r="4980" spans="3:6" x14ac:dyDescent="0.25">
      <c r="C4980" s="1"/>
      <c r="F4980" s="1"/>
    </row>
    <row r="4981" spans="3:6" x14ac:dyDescent="0.25">
      <c r="C4981" s="1"/>
      <c r="F4981" s="1"/>
    </row>
    <row r="4982" spans="3:6" x14ac:dyDescent="0.25">
      <c r="C4982" s="1"/>
      <c r="F4982" s="1"/>
    </row>
    <row r="4983" spans="3:6" x14ac:dyDescent="0.25">
      <c r="C4983" s="1"/>
      <c r="F4983" s="1"/>
    </row>
    <row r="4984" spans="3:6" x14ac:dyDescent="0.25">
      <c r="C4984" s="1"/>
      <c r="F4984" s="1"/>
    </row>
    <row r="4985" spans="3:6" x14ac:dyDescent="0.25">
      <c r="C4985" s="1"/>
      <c r="F4985" s="1"/>
    </row>
    <row r="4986" spans="3:6" x14ac:dyDescent="0.25">
      <c r="C4986" s="1"/>
      <c r="F4986" s="1"/>
    </row>
    <row r="4987" spans="3:6" x14ac:dyDescent="0.25">
      <c r="C4987" s="1"/>
      <c r="F4987" s="1"/>
    </row>
    <row r="4988" spans="3:6" x14ac:dyDescent="0.25">
      <c r="C4988" s="1"/>
      <c r="F4988" s="1"/>
    </row>
    <row r="4989" spans="3:6" x14ac:dyDescent="0.25">
      <c r="C4989" s="1"/>
      <c r="F4989" s="1"/>
    </row>
    <row r="4990" spans="3:6" x14ac:dyDescent="0.25">
      <c r="C4990" s="1"/>
      <c r="F4990" s="1"/>
    </row>
    <row r="4991" spans="3:6" x14ac:dyDescent="0.25">
      <c r="C4991" s="1"/>
      <c r="F4991" s="1"/>
    </row>
    <row r="4992" spans="3:6" x14ac:dyDescent="0.25">
      <c r="C4992" s="1"/>
      <c r="F4992" s="1"/>
    </row>
    <row r="4993" spans="3:6" x14ac:dyDescent="0.25">
      <c r="C4993" s="1"/>
      <c r="F4993" s="1"/>
    </row>
    <row r="4994" spans="3:6" x14ac:dyDescent="0.25">
      <c r="C4994" s="1"/>
      <c r="F4994" s="1"/>
    </row>
    <row r="4995" spans="3:6" x14ac:dyDescent="0.25">
      <c r="C4995" s="1"/>
      <c r="F4995" s="1"/>
    </row>
    <row r="4996" spans="3:6" x14ac:dyDescent="0.25">
      <c r="C4996" s="1"/>
      <c r="F4996" s="1"/>
    </row>
    <row r="4997" spans="3:6" x14ac:dyDescent="0.25">
      <c r="C4997" s="1"/>
      <c r="F4997" s="1"/>
    </row>
    <row r="4998" spans="3:6" x14ac:dyDescent="0.25">
      <c r="C4998" s="1"/>
      <c r="F4998" s="1"/>
    </row>
    <row r="4999" spans="3:6" x14ac:dyDescent="0.25">
      <c r="C4999" s="1"/>
      <c r="F4999" s="1"/>
    </row>
    <row r="5000" spans="3:6" x14ac:dyDescent="0.25">
      <c r="C5000" s="1"/>
      <c r="F5000" s="1"/>
    </row>
    <row r="5001" spans="3:6" x14ac:dyDescent="0.25">
      <c r="C5001" s="1"/>
      <c r="F5001" s="1"/>
    </row>
    <row r="5002" spans="3:6" x14ac:dyDescent="0.25">
      <c r="C5002" s="1"/>
      <c r="F5002" s="1"/>
    </row>
    <row r="5003" spans="3:6" x14ac:dyDescent="0.25">
      <c r="C5003" s="1"/>
      <c r="F5003" s="1"/>
    </row>
    <row r="5004" spans="3:6" x14ac:dyDescent="0.25">
      <c r="C5004" s="1"/>
      <c r="F5004" s="1"/>
    </row>
    <row r="5005" spans="3:6" x14ac:dyDescent="0.25">
      <c r="C5005" s="1"/>
      <c r="F5005" s="1"/>
    </row>
    <row r="5006" spans="3:6" x14ac:dyDescent="0.25">
      <c r="C5006" s="1"/>
      <c r="F5006" s="1"/>
    </row>
    <row r="5007" spans="3:6" x14ac:dyDescent="0.25">
      <c r="C5007" s="1"/>
      <c r="F5007" s="1"/>
    </row>
    <row r="5008" spans="3:6" x14ac:dyDescent="0.25">
      <c r="C5008" s="1"/>
      <c r="F5008" s="1"/>
    </row>
    <row r="5009" spans="3:6" x14ac:dyDescent="0.25">
      <c r="C5009" s="1"/>
      <c r="F5009" s="1"/>
    </row>
    <row r="5010" spans="3:6" x14ac:dyDescent="0.25">
      <c r="C5010" s="1"/>
      <c r="F5010" s="1"/>
    </row>
    <row r="5011" spans="3:6" x14ac:dyDescent="0.25">
      <c r="C5011" s="1"/>
      <c r="F5011" s="1"/>
    </row>
    <row r="5012" spans="3:6" x14ac:dyDescent="0.25">
      <c r="C5012" s="1"/>
      <c r="F5012" s="1"/>
    </row>
    <row r="5013" spans="3:6" x14ac:dyDescent="0.25">
      <c r="C5013" s="1"/>
      <c r="F5013" s="1"/>
    </row>
    <row r="5014" spans="3:6" x14ac:dyDescent="0.25">
      <c r="C5014" s="1"/>
      <c r="F5014" s="1"/>
    </row>
    <row r="5015" spans="3:6" x14ac:dyDescent="0.25">
      <c r="C5015" s="1"/>
      <c r="F5015" s="1"/>
    </row>
    <row r="5016" spans="3:6" x14ac:dyDescent="0.25">
      <c r="C5016" s="1"/>
      <c r="F5016" s="1"/>
    </row>
    <row r="5017" spans="3:6" x14ac:dyDescent="0.25">
      <c r="C5017" s="1"/>
      <c r="F5017" s="1"/>
    </row>
    <row r="5018" spans="3:6" x14ac:dyDescent="0.25">
      <c r="C5018" s="1"/>
      <c r="F5018" s="1"/>
    </row>
    <row r="5019" spans="3:6" x14ac:dyDescent="0.25">
      <c r="C5019" s="1"/>
      <c r="F5019" s="1"/>
    </row>
    <row r="5020" spans="3:6" x14ac:dyDescent="0.25">
      <c r="C5020" s="1"/>
      <c r="F5020" s="1"/>
    </row>
    <row r="5021" spans="3:6" x14ac:dyDescent="0.25">
      <c r="C5021" s="1"/>
      <c r="F5021" s="1"/>
    </row>
    <row r="5022" spans="3:6" x14ac:dyDescent="0.25">
      <c r="C5022" s="1"/>
      <c r="F5022" s="1"/>
    </row>
    <row r="5023" spans="3:6" x14ac:dyDescent="0.25">
      <c r="C5023" s="1"/>
      <c r="F5023" s="1"/>
    </row>
    <row r="5024" spans="3:6" x14ac:dyDescent="0.25">
      <c r="C5024" s="1"/>
      <c r="F5024" s="1"/>
    </row>
    <row r="5025" spans="3:6" x14ac:dyDescent="0.25">
      <c r="C5025" s="1"/>
      <c r="F5025" s="1"/>
    </row>
    <row r="5026" spans="3:6" x14ac:dyDescent="0.25">
      <c r="C5026" s="1"/>
      <c r="F5026" s="1"/>
    </row>
    <row r="5027" spans="3:6" x14ac:dyDescent="0.25">
      <c r="C5027" s="1"/>
      <c r="F5027" s="1"/>
    </row>
    <row r="5028" spans="3:6" x14ac:dyDescent="0.25">
      <c r="C5028" s="1"/>
      <c r="F5028" s="1"/>
    </row>
    <row r="5029" spans="3:6" x14ac:dyDescent="0.25">
      <c r="C5029" s="1"/>
      <c r="F5029" s="1"/>
    </row>
    <row r="5030" spans="3:6" x14ac:dyDescent="0.25">
      <c r="C5030" s="1"/>
      <c r="F5030" s="1"/>
    </row>
    <row r="5031" spans="3:6" x14ac:dyDescent="0.25">
      <c r="C5031" s="1"/>
      <c r="F5031" s="1"/>
    </row>
    <row r="5032" spans="3:6" x14ac:dyDescent="0.25">
      <c r="C5032" s="1"/>
      <c r="F5032" s="1"/>
    </row>
    <row r="5033" spans="3:6" x14ac:dyDescent="0.25">
      <c r="C5033" s="1"/>
      <c r="F5033" s="1"/>
    </row>
    <row r="5034" spans="3:6" x14ac:dyDescent="0.25">
      <c r="C5034" s="1"/>
      <c r="F5034" s="1"/>
    </row>
    <row r="5035" spans="3:6" x14ac:dyDescent="0.25">
      <c r="C5035" s="1"/>
      <c r="F5035" s="1"/>
    </row>
    <row r="5036" spans="3:6" x14ac:dyDescent="0.25">
      <c r="C5036" s="1"/>
      <c r="F5036" s="1"/>
    </row>
    <row r="5037" spans="3:6" x14ac:dyDescent="0.25">
      <c r="C5037" s="1"/>
      <c r="F5037" s="1"/>
    </row>
    <row r="5038" spans="3:6" x14ac:dyDescent="0.25">
      <c r="C5038" s="1"/>
      <c r="F5038" s="1"/>
    </row>
    <row r="5039" spans="3:6" x14ac:dyDescent="0.25">
      <c r="C5039" s="1"/>
      <c r="F5039" s="1"/>
    </row>
    <row r="5040" spans="3:6" x14ac:dyDescent="0.25">
      <c r="C5040" s="1"/>
      <c r="F5040" s="1"/>
    </row>
    <row r="5041" spans="3:6" x14ac:dyDescent="0.25">
      <c r="C5041" s="1"/>
      <c r="F5041" s="1"/>
    </row>
    <row r="5042" spans="3:6" x14ac:dyDescent="0.25">
      <c r="C5042" s="1"/>
      <c r="F5042" s="1"/>
    </row>
    <row r="5043" spans="3:6" x14ac:dyDescent="0.25">
      <c r="C5043" s="1"/>
      <c r="F5043" s="1"/>
    </row>
    <row r="5044" spans="3:6" x14ac:dyDescent="0.25">
      <c r="C5044" s="1"/>
      <c r="F5044" s="1"/>
    </row>
    <row r="5045" spans="3:6" x14ac:dyDescent="0.25">
      <c r="C5045" s="1"/>
      <c r="F5045" s="1"/>
    </row>
    <row r="5046" spans="3:6" x14ac:dyDescent="0.25">
      <c r="C5046" s="1"/>
      <c r="F5046" s="1"/>
    </row>
    <row r="5047" spans="3:6" x14ac:dyDescent="0.25">
      <c r="C5047" s="1"/>
      <c r="F5047" s="1"/>
    </row>
    <row r="5048" spans="3:6" x14ac:dyDescent="0.25">
      <c r="C5048" s="1"/>
      <c r="F5048" s="1"/>
    </row>
    <row r="5049" spans="3:6" x14ac:dyDescent="0.25">
      <c r="C5049" s="1"/>
      <c r="F5049" s="1"/>
    </row>
    <row r="5050" spans="3:6" x14ac:dyDescent="0.25">
      <c r="C5050" s="1"/>
      <c r="F5050" s="1"/>
    </row>
    <row r="5051" spans="3:6" x14ac:dyDescent="0.25">
      <c r="C5051" s="1"/>
      <c r="F5051" s="1"/>
    </row>
    <row r="5052" spans="3:6" x14ac:dyDescent="0.25">
      <c r="C5052" s="1"/>
      <c r="F5052" s="1"/>
    </row>
    <row r="5053" spans="3:6" x14ac:dyDescent="0.25">
      <c r="C5053" s="1"/>
      <c r="F5053" s="1"/>
    </row>
    <row r="5054" spans="3:6" x14ac:dyDescent="0.25">
      <c r="C5054" s="1"/>
      <c r="F5054" s="1"/>
    </row>
    <row r="5055" spans="3:6" x14ac:dyDescent="0.25">
      <c r="C5055" s="1"/>
      <c r="F5055" s="1"/>
    </row>
    <row r="5056" spans="3:6" x14ac:dyDescent="0.25">
      <c r="C5056" s="1"/>
      <c r="F5056" s="1"/>
    </row>
    <row r="5057" spans="3:6" x14ac:dyDescent="0.25">
      <c r="C5057" s="1"/>
      <c r="F5057" s="1"/>
    </row>
    <row r="5058" spans="3:6" x14ac:dyDescent="0.25">
      <c r="C5058" s="1"/>
      <c r="F5058" s="1"/>
    </row>
    <row r="5059" spans="3:6" x14ac:dyDescent="0.25">
      <c r="C5059" s="1"/>
      <c r="F5059" s="1"/>
    </row>
    <row r="5060" spans="3:6" x14ac:dyDescent="0.25">
      <c r="C5060" s="1"/>
      <c r="F5060" s="1"/>
    </row>
    <row r="5061" spans="3:6" x14ac:dyDescent="0.25">
      <c r="C5061" s="1"/>
      <c r="F5061" s="1"/>
    </row>
    <row r="5062" spans="3:6" x14ac:dyDescent="0.25">
      <c r="C5062" s="1"/>
      <c r="F5062" s="1"/>
    </row>
    <row r="5063" spans="3:6" x14ac:dyDescent="0.25">
      <c r="C5063" s="1"/>
      <c r="F5063" s="1"/>
    </row>
    <row r="5064" spans="3:6" x14ac:dyDescent="0.25">
      <c r="C5064" s="1"/>
      <c r="F5064" s="1"/>
    </row>
    <row r="5065" spans="3:6" x14ac:dyDescent="0.25">
      <c r="C5065" s="1"/>
      <c r="F5065" s="1"/>
    </row>
    <row r="5066" spans="3:6" x14ac:dyDescent="0.25">
      <c r="C5066" s="1"/>
      <c r="F5066" s="1"/>
    </row>
    <row r="5067" spans="3:6" x14ac:dyDescent="0.25">
      <c r="C5067" s="1"/>
      <c r="F5067" s="1"/>
    </row>
    <row r="5068" spans="3:6" x14ac:dyDescent="0.25">
      <c r="C5068" s="1"/>
      <c r="F5068" s="1"/>
    </row>
    <row r="5069" spans="3:6" x14ac:dyDescent="0.25">
      <c r="C5069" s="1"/>
      <c r="F5069" s="1"/>
    </row>
    <row r="5070" spans="3:6" x14ac:dyDescent="0.25">
      <c r="C5070" s="1"/>
      <c r="F5070" s="1"/>
    </row>
    <row r="5071" spans="3:6" x14ac:dyDescent="0.25">
      <c r="C5071" s="1"/>
      <c r="F5071" s="1"/>
    </row>
    <row r="5072" spans="3:6" x14ac:dyDescent="0.25">
      <c r="C5072" s="1"/>
      <c r="F5072" s="1"/>
    </row>
    <row r="5073" spans="3:6" x14ac:dyDescent="0.25">
      <c r="C5073" s="1"/>
      <c r="F5073" s="1"/>
    </row>
    <row r="5074" spans="3:6" x14ac:dyDescent="0.25">
      <c r="C5074" s="1"/>
      <c r="F5074" s="1"/>
    </row>
    <row r="5075" spans="3:6" x14ac:dyDescent="0.25">
      <c r="C5075" s="1"/>
      <c r="F5075" s="1"/>
    </row>
    <row r="5076" spans="3:6" x14ac:dyDescent="0.25">
      <c r="C5076" s="1"/>
      <c r="F5076" s="1"/>
    </row>
    <row r="5077" spans="3:6" x14ac:dyDescent="0.25">
      <c r="C5077" s="1"/>
      <c r="F5077" s="1"/>
    </row>
    <row r="5078" spans="3:6" x14ac:dyDescent="0.25">
      <c r="C5078" s="1"/>
      <c r="F5078" s="1"/>
    </row>
    <row r="5079" spans="3:6" x14ac:dyDescent="0.25">
      <c r="C5079" s="1"/>
      <c r="F5079" s="1"/>
    </row>
    <row r="5080" spans="3:6" x14ac:dyDescent="0.25">
      <c r="C5080" s="1"/>
      <c r="F5080" s="1"/>
    </row>
    <row r="5081" spans="3:6" x14ac:dyDescent="0.25">
      <c r="C5081" s="1"/>
      <c r="F5081" s="1"/>
    </row>
    <row r="5082" spans="3:6" x14ac:dyDescent="0.25">
      <c r="C5082" s="1"/>
      <c r="F5082" s="1"/>
    </row>
    <row r="5083" spans="3:6" x14ac:dyDescent="0.25">
      <c r="C5083" s="1"/>
      <c r="F5083" s="1"/>
    </row>
    <row r="5084" spans="3:6" x14ac:dyDescent="0.25">
      <c r="C5084" s="1"/>
      <c r="F5084" s="1"/>
    </row>
    <row r="5085" spans="3:6" x14ac:dyDescent="0.25">
      <c r="C5085" s="1"/>
      <c r="F5085" s="1"/>
    </row>
    <row r="5086" spans="3:6" x14ac:dyDescent="0.25">
      <c r="C5086" s="1"/>
      <c r="F5086" s="1"/>
    </row>
    <row r="5087" spans="3:6" x14ac:dyDescent="0.25">
      <c r="C5087" s="1"/>
      <c r="F5087" s="1"/>
    </row>
    <row r="5088" spans="3:6" x14ac:dyDescent="0.25">
      <c r="C5088" s="1"/>
      <c r="F5088" s="1"/>
    </row>
    <row r="5089" spans="3:6" x14ac:dyDescent="0.25">
      <c r="C5089" s="1"/>
      <c r="F5089" s="1"/>
    </row>
    <row r="5090" spans="3:6" x14ac:dyDescent="0.25">
      <c r="C5090" s="1"/>
      <c r="F5090" s="1"/>
    </row>
    <row r="5091" spans="3:6" x14ac:dyDescent="0.25">
      <c r="C5091" s="1"/>
      <c r="F5091" s="1"/>
    </row>
    <row r="5092" spans="3:6" x14ac:dyDescent="0.25">
      <c r="C5092" s="1"/>
      <c r="F5092" s="1"/>
    </row>
    <row r="5093" spans="3:6" x14ac:dyDescent="0.25">
      <c r="C5093" s="1"/>
      <c r="F5093" s="1"/>
    </row>
    <row r="5094" spans="3:6" x14ac:dyDescent="0.25">
      <c r="C5094" s="1"/>
      <c r="F5094" s="1"/>
    </row>
    <row r="5095" spans="3:6" x14ac:dyDescent="0.25">
      <c r="C5095" s="1"/>
      <c r="F5095" s="1"/>
    </row>
    <row r="5096" spans="3:6" x14ac:dyDescent="0.25">
      <c r="C5096" s="1"/>
      <c r="F5096" s="1"/>
    </row>
    <row r="5097" spans="3:6" x14ac:dyDescent="0.25">
      <c r="C5097" s="1"/>
      <c r="F5097" s="1"/>
    </row>
    <row r="5098" spans="3:6" x14ac:dyDescent="0.25">
      <c r="C5098" s="1"/>
      <c r="F5098" s="1"/>
    </row>
    <row r="5099" spans="3:6" x14ac:dyDescent="0.25">
      <c r="C5099" s="1"/>
      <c r="F5099" s="1"/>
    </row>
    <row r="5100" spans="3:6" x14ac:dyDescent="0.25">
      <c r="C5100" s="1"/>
      <c r="F5100" s="1"/>
    </row>
    <row r="5101" spans="3:6" x14ac:dyDescent="0.25">
      <c r="C5101" s="1"/>
      <c r="F5101" s="1"/>
    </row>
    <row r="5102" spans="3:6" x14ac:dyDescent="0.25">
      <c r="C5102" s="1"/>
      <c r="F5102" s="1"/>
    </row>
    <row r="5103" spans="3:6" x14ac:dyDescent="0.25">
      <c r="C5103" s="1"/>
      <c r="F5103" s="1"/>
    </row>
    <row r="5104" spans="3:6" x14ac:dyDescent="0.25">
      <c r="C5104" s="1"/>
      <c r="F5104" s="1"/>
    </row>
    <row r="5105" spans="3:6" x14ac:dyDescent="0.25">
      <c r="C5105" s="1"/>
      <c r="F5105" s="1"/>
    </row>
    <row r="5106" spans="3:6" x14ac:dyDescent="0.25">
      <c r="C5106" s="1"/>
      <c r="F5106" s="1"/>
    </row>
    <row r="5107" spans="3:6" x14ac:dyDescent="0.25">
      <c r="C5107" s="1"/>
      <c r="F5107" s="1"/>
    </row>
    <row r="5108" spans="3:6" x14ac:dyDescent="0.25">
      <c r="C5108" s="1"/>
      <c r="F5108" s="1"/>
    </row>
    <row r="5109" spans="3:6" x14ac:dyDescent="0.25">
      <c r="C5109" s="1"/>
      <c r="F5109" s="1"/>
    </row>
    <row r="5110" spans="3:6" x14ac:dyDescent="0.25">
      <c r="C5110" s="1"/>
      <c r="F5110" s="1"/>
    </row>
    <row r="5111" spans="3:6" x14ac:dyDescent="0.25">
      <c r="C5111" s="1"/>
      <c r="F5111" s="1"/>
    </row>
    <row r="5112" spans="3:6" x14ac:dyDescent="0.25">
      <c r="C5112" s="1"/>
      <c r="F5112" s="1"/>
    </row>
    <row r="5113" spans="3:6" x14ac:dyDescent="0.25">
      <c r="C5113" s="1"/>
      <c r="F5113" s="1"/>
    </row>
    <row r="5114" spans="3:6" x14ac:dyDescent="0.25">
      <c r="C5114" s="1"/>
      <c r="F5114" s="1"/>
    </row>
    <row r="5115" spans="3:6" x14ac:dyDescent="0.25">
      <c r="C5115" s="1"/>
      <c r="F5115" s="1"/>
    </row>
    <row r="5116" spans="3:6" x14ac:dyDescent="0.25">
      <c r="C5116" s="1"/>
      <c r="F5116" s="1"/>
    </row>
    <row r="5117" spans="3:6" x14ac:dyDescent="0.25">
      <c r="C5117" s="1"/>
      <c r="F5117" s="1"/>
    </row>
    <row r="5118" spans="3:6" x14ac:dyDescent="0.25">
      <c r="C5118" s="1"/>
      <c r="F5118" s="1"/>
    </row>
    <row r="5119" spans="3:6" x14ac:dyDescent="0.25">
      <c r="C5119" s="1"/>
      <c r="F5119" s="1"/>
    </row>
    <row r="5120" spans="3:6" x14ac:dyDescent="0.25">
      <c r="C5120" s="1"/>
      <c r="F5120" s="1"/>
    </row>
    <row r="5121" spans="3:6" x14ac:dyDescent="0.25">
      <c r="C5121" s="1"/>
      <c r="F5121" s="1"/>
    </row>
    <row r="5122" spans="3:6" x14ac:dyDescent="0.25">
      <c r="C5122" s="1"/>
      <c r="F5122" s="1"/>
    </row>
    <row r="5123" spans="3:6" x14ac:dyDescent="0.25">
      <c r="C5123" s="1"/>
      <c r="F5123" s="1"/>
    </row>
    <row r="5124" spans="3:6" x14ac:dyDescent="0.25">
      <c r="C5124" s="1"/>
      <c r="F5124" s="1"/>
    </row>
    <row r="5125" spans="3:6" x14ac:dyDescent="0.25">
      <c r="C5125" s="1"/>
      <c r="F5125" s="1"/>
    </row>
    <row r="5126" spans="3:6" x14ac:dyDescent="0.25">
      <c r="C5126" s="1"/>
      <c r="F5126" s="1"/>
    </row>
    <row r="5127" spans="3:6" x14ac:dyDescent="0.25">
      <c r="C5127" s="1"/>
      <c r="F5127" s="1"/>
    </row>
    <row r="5128" spans="3:6" x14ac:dyDescent="0.25">
      <c r="C5128" s="1"/>
      <c r="F5128" s="1"/>
    </row>
    <row r="5129" spans="3:6" x14ac:dyDescent="0.25">
      <c r="C5129" s="1"/>
      <c r="F5129" s="1"/>
    </row>
    <row r="5130" spans="3:6" x14ac:dyDescent="0.25">
      <c r="C5130" s="1"/>
      <c r="F5130" s="1"/>
    </row>
    <row r="5131" spans="3:6" x14ac:dyDescent="0.25">
      <c r="C5131" s="1"/>
      <c r="F5131" s="1"/>
    </row>
    <row r="5132" spans="3:6" x14ac:dyDescent="0.25">
      <c r="C5132" s="1"/>
      <c r="F5132" s="1"/>
    </row>
    <row r="5133" spans="3:6" x14ac:dyDescent="0.25">
      <c r="C5133" s="1"/>
      <c r="F5133" s="1"/>
    </row>
    <row r="5134" spans="3:6" x14ac:dyDescent="0.25">
      <c r="C5134" s="1"/>
      <c r="F5134" s="1"/>
    </row>
    <row r="5135" spans="3:6" x14ac:dyDescent="0.25">
      <c r="C5135" s="1"/>
      <c r="F5135" s="1"/>
    </row>
    <row r="5136" spans="3:6" x14ac:dyDescent="0.25">
      <c r="C5136" s="1"/>
      <c r="F5136" s="1"/>
    </row>
    <row r="5137" spans="3:6" x14ac:dyDescent="0.25">
      <c r="C5137" s="1"/>
      <c r="F5137" s="1"/>
    </row>
    <row r="5138" spans="3:6" x14ac:dyDescent="0.25">
      <c r="C5138" s="1"/>
      <c r="F5138" s="1"/>
    </row>
    <row r="5139" spans="3:6" x14ac:dyDescent="0.25">
      <c r="C5139" s="1"/>
      <c r="F5139" s="1"/>
    </row>
    <row r="5140" spans="3:6" x14ac:dyDescent="0.25">
      <c r="C5140" s="1"/>
      <c r="F5140" s="1"/>
    </row>
    <row r="5141" spans="3:6" x14ac:dyDescent="0.25">
      <c r="C5141" s="1"/>
      <c r="F5141" s="1"/>
    </row>
    <row r="5142" spans="3:6" x14ac:dyDescent="0.25">
      <c r="C5142" s="1"/>
      <c r="F5142" s="1"/>
    </row>
    <row r="5143" spans="3:6" x14ac:dyDescent="0.25">
      <c r="C5143" s="1"/>
      <c r="F5143" s="1"/>
    </row>
    <row r="5144" spans="3:6" x14ac:dyDescent="0.25">
      <c r="C5144" s="1"/>
      <c r="F5144" s="1"/>
    </row>
    <row r="5145" spans="3:6" x14ac:dyDescent="0.25">
      <c r="C5145" s="1"/>
      <c r="F5145" s="1"/>
    </row>
    <row r="5146" spans="3:6" x14ac:dyDescent="0.25">
      <c r="C5146" s="1"/>
      <c r="F5146" s="1"/>
    </row>
    <row r="5147" spans="3:6" x14ac:dyDescent="0.25">
      <c r="C5147" s="1"/>
      <c r="F5147" s="1"/>
    </row>
    <row r="5148" spans="3:6" x14ac:dyDescent="0.25">
      <c r="C5148" s="1"/>
      <c r="F5148" s="1"/>
    </row>
    <row r="5149" spans="3:6" x14ac:dyDescent="0.25">
      <c r="C5149" s="1"/>
      <c r="F5149" s="1"/>
    </row>
    <row r="5150" spans="3:6" x14ac:dyDescent="0.25">
      <c r="C5150" s="1"/>
      <c r="F5150" s="1"/>
    </row>
    <row r="5151" spans="3:6" x14ac:dyDescent="0.25">
      <c r="C5151" s="1"/>
      <c r="F5151" s="1"/>
    </row>
    <row r="5152" spans="3:6" x14ac:dyDescent="0.25">
      <c r="C5152" s="1"/>
      <c r="F5152" s="1"/>
    </row>
    <row r="5153" spans="3:6" x14ac:dyDescent="0.25">
      <c r="C5153" s="1"/>
      <c r="F5153" s="1"/>
    </row>
    <row r="5154" spans="3:6" x14ac:dyDescent="0.25">
      <c r="C5154" s="1"/>
      <c r="F5154" s="1"/>
    </row>
    <row r="5155" spans="3:6" x14ac:dyDescent="0.25">
      <c r="C5155" s="1"/>
      <c r="F5155" s="1"/>
    </row>
    <row r="5156" spans="3:6" x14ac:dyDescent="0.25">
      <c r="C5156" s="1"/>
      <c r="F5156" s="1"/>
    </row>
    <row r="5157" spans="3:6" x14ac:dyDescent="0.25">
      <c r="C5157" s="1"/>
      <c r="F5157" s="1"/>
    </row>
    <row r="5158" spans="3:6" x14ac:dyDescent="0.25">
      <c r="C5158" s="1"/>
      <c r="F5158" s="1"/>
    </row>
    <row r="5159" spans="3:6" x14ac:dyDescent="0.25">
      <c r="C5159" s="1"/>
      <c r="F5159" s="1"/>
    </row>
    <row r="5160" spans="3:6" x14ac:dyDescent="0.25">
      <c r="C5160" s="1"/>
      <c r="F5160" s="1"/>
    </row>
    <row r="5161" spans="3:6" x14ac:dyDescent="0.25">
      <c r="C5161" s="1"/>
      <c r="F5161" s="1"/>
    </row>
    <row r="5162" spans="3:6" x14ac:dyDescent="0.25">
      <c r="C5162" s="1"/>
      <c r="F5162" s="1"/>
    </row>
    <row r="5163" spans="3:6" x14ac:dyDescent="0.25">
      <c r="C5163" s="1"/>
      <c r="F5163" s="1"/>
    </row>
    <row r="5164" spans="3:6" x14ac:dyDescent="0.25">
      <c r="C5164" s="1"/>
      <c r="F5164" s="1"/>
    </row>
    <row r="5165" spans="3:6" x14ac:dyDescent="0.25">
      <c r="C5165" s="1"/>
      <c r="F5165" s="1"/>
    </row>
    <row r="5166" spans="3:6" x14ac:dyDescent="0.25">
      <c r="C5166" s="1"/>
      <c r="F5166" s="1"/>
    </row>
    <row r="5167" spans="3:6" x14ac:dyDescent="0.25">
      <c r="C5167" s="1"/>
      <c r="F5167" s="1"/>
    </row>
    <row r="5168" spans="3:6" x14ac:dyDescent="0.25">
      <c r="C5168" s="1"/>
      <c r="F5168" s="1"/>
    </row>
    <row r="5169" spans="3:6" x14ac:dyDescent="0.25">
      <c r="C5169" s="1"/>
      <c r="F5169" s="1"/>
    </row>
    <row r="5170" spans="3:6" x14ac:dyDescent="0.25">
      <c r="C5170" s="1"/>
      <c r="F5170" s="1"/>
    </row>
    <row r="5171" spans="3:6" x14ac:dyDescent="0.25">
      <c r="C5171" s="1"/>
      <c r="F5171" s="1"/>
    </row>
    <row r="5172" spans="3:6" x14ac:dyDescent="0.25">
      <c r="C5172" s="1"/>
      <c r="F5172" s="1"/>
    </row>
    <row r="5173" spans="3:6" x14ac:dyDescent="0.25">
      <c r="C5173" s="1"/>
      <c r="F5173" s="1"/>
    </row>
    <row r="5174" spans="3:6" x14ac:dyDescent="0.25">
      <c r="C5174" s="1"/>
      <c r="F5174" s="1"/>
    </row>
    <row r="5175" spans="3:6" x14ac:dyDescent="0.25">
      <c r="C5175" s="1"/>
      <c r="F5175" s="1"/>
    </row>
    <row r="5176" spans="3:6" x14ac:dyDescent="0.25">
      <c r="C5176" s="1"/>
      <c r="F5176" s="1"/>
    </row>
    <row r="5177" spans="3:6" x14ac:dyDescent="0.25">
      <c r="C5177" s="1"/>
      <c r="F5177" s="1"/>
    </row>
    <row r="5178" spans="3:6" x14ac:dyDescent="0.25">
      <c r="C5178" s="1"/>
      <c r="F5178" s="1"/>
    </row>
    <row r="5179" spans="3:6" x14ac:dyDescent="0.25">
      <c r="C5179" s="1"/>
      <c r="F5179" s="1"/>
    </row>
    <row r="5180" spans="3:6" x14ac:dyDescent="0.25">
      <c r="C5180" s="1"/>
      <c r="F5180" s="1"/>
    </row>
    <row r="5181" spans="3:6" x14ac:dyDescent="0.25">
      <c r="C5181" s="1"/>
      <c r="F5181" s="1"/>
    </row>
    <row r="5182" spans="3:6" x14ac:dyDescent="0.25">
      <c r="C5182" s="1"/>
      <c r="F5182" s="1"/>
    </row>
    <row r="5183" spans="3:6" x14ac:dyDescent="0.25">
      <c r="C5183" s="1"/>
      <c r="F5183" s="1"/>
    </row>
    <row r="5184" spans="3:6" x14ac:dyDescent="0.25">
      <c r="C5184" s="1"/>
      <c r="F5184" s="1"/>
    </row>
    <row r="5185" spans="3:6" x14ac:dyDescent="0.25">
      <c r="C5185" s="1"/>
      <c r="F5185" s="1"/>
    </row>
    <row r="5186" spans="3:6" x14ac:dyDescent="0.25">
      <c r="C5186" s="1"/>
      <c r="F5186" s="1"/>
    </row>
    <row r="5187" spans="3:6" x14ac:dyDescent="0.25">
      <c r="C5187" s="1"/>
      <c r="F5187" s="1"/>
    </row>
    <row r="5188" spans="3:6" x14ac:dyDescent="0.25">
      <c r="C5188" s="1"/>
      <c r="F5188" s="1"/>
    </row>
    <row r="5189" spans="3:6" x14ac:dyDescent="0.25">
      <c r="C5189" s="1"/>
      <c r="F5189" s="1"/>
    </row>
    <row r="5190" spans="3:6" x14ac:dyDescent="0.25">
      <c r="C5190" s="1"/>
      <c r="F5190" s="1"/>
    </row>
    <row r="5191" spans="3:6" x14ac:dyDescent="0.25">
      <c r="C5191" s="1"/>
      <c r="F5191" s="1"/>
    </row>
    <row r="5192" spans="3:6" x14ac:dyDescent="0.25">
      <c r="C5192" s="1"/>
      <c r="F5192" s="1"/>
    </row>
    <row r="5193" spans="3:6" x14ac:dyDescent="0.25">
      <c r="C5193" s="1"/>
      <c r="F5193" s="1"/>
    </row>
    <row r="5194" spans="3:6" x14ac:dyDescent="0.25">
      <c r="C5194" s="1"/>
      <c r="F5194" s="1"/>
    </row>
    <row r="5195" spans="3:6" x14ac:dyDescent="0.25">
      <c r="C5195" s="1"/>
      <c r="F5195" s="1"/>
    </row>
    <row r="5196" spans="3:6" x14ac:dyDescent="0.25">
      <c r="C5196" s="1"/>
      <c r="F5196" s="1"/>
    </row>
    <row r="5197" spans="3:6" x14ac:dyDescent="0.25">
      <c r="C5197" s="1"/>
      <c r="F5197" s="1"/>
    </row>
    <row r="5198" spans="3:6" x14ac:dyDescent="0.25">
      <c r="C5198" s="1"/>
      <c r="F5198" s="1"/>
    </row>
    <row r="5199" spans="3:6" x14ac:dyDescent="0.25">
      <c r="C5199" s="1"/>
      <c r="F5199" s="1"/>
    </row>
    <row r="5200" spans="3:6" x14ac:dyDescent="0.25">
      <c r="C5200" s="1"/>
      <c r="F5200" s="1"/>
    </row>
    <row r="5201" spans="3:6" x14ac:dyDescent="0.25">
      <c r="C5201" s="1"/>
      <c r="F5201" s="1"/>
    </row>
    <row r="5202" spans="3:6" x14ac:dyDescent="0.25">
      <c r="C5202" s="1"/>
      <c r="F5202" s="1"/>
    </row>
    <row r="5203" spans="3:6" x14ac:dyDescent="0.25">
      <c r="C5203" s="1"/>
      <c r="F5203" s="1"/>
    </row>
    <row r="5204" spans="3:6" x14ac:dyDescent="0.25">
      <c r="C5204" s="1"/>
      <c r="F5204" s="1"/>
    </row>
    <row r="5205" spans="3:6" x14ac:dyDescent="0.25">
      <c r="C5205" s="1"/>
      <c r="F5205" s="1"/>
    </row>
    <row r="5206" spans="3:6" x14ac:dyDescent="0.25">
      <c r="C5206" s="1"/>
      <c r="F5206" s="1"/>
    </row>
    <row r="5207" spans="3:6" x14ac:dyDescent="0.25">
      <c r="C5207" s="1"/>
      <c r="F5207" s="1"/>
    </row>
    <row r="5208" spans="3:6" x14ac:dyDescent="0.25">
      <c r="C5208" s="1"/>
      <c r="F5208" s="1"/>
    </row>
    <row r="5209" spans="3:6" x14ac:dyDescent="0.25">
      <c r="C5209" s="1"/>
      <c r="F5209" s="1"/>
    </row>
    <row r="5210" spans="3:6" x14ac:dyDescent="0.25">
      <c r="C5210" s="1"/>
      <c r="F5210" s="1"/>
    </row>
    <row r="5211" spans="3:6" x14ac:dyDescent="0.25">
      <c r="C5211" s="1"/>
      <c r="F5211" s="1"/>
    </row>
    <row r="5212" spans="3:6" x14ac:dyDescent="0.25">
      <c r="C5212" s="1"/>
      <c r="F5212" s="1"/>
    </row>
    <row r="5213" spans="3:6" x14ac:dyDescent="0.25">
      <c r="C5213" s="1"/>
      <c r="F5213" s="1"/>
    </row>
    <row r="5214" spans="3:6" x14ac:dyDescent="0.25">
      <c r="C5214" s="1"/>
      <c r="F5214" s="1"/>
    </row>
    <row r="5215" spans="3:6" x14ac:dyDescent="0.25">
      <c r="C5215" s="1"/>
      <c r="F5215" s="1"/>
    </row>
    <row r="5216" spans="3:6" x14ac:dyDescent="0.25">
      <c r="C5216" s="1"/>
      <c r="F5216" s="1"/>
    </row>
    <row r="5217" spans="3:6" x14ac:dyDescent="0.25">
      <c r="C5217" s="1"/>
      <c r="F5217" s="1"/>
    </row>
    <row r="5218" spans="3:6" x14ac:dyDescent="0.25">
      <c r="C5218" s="1"/>
      <c r="F5218" s="1"/>
    </row>
    <row r="5219" spans="3:6" x14ac:dyDescent="0.25">
      <c r="C5219" s="1"/>
      <c r="F5219" s="1"/>
    </row>
    <row r="5220" spans="3:6" x14ac:dyDescent="0.25">
      <c r="C5220" s="1"/>
      <c r="F5220" s="1"/>
    </row>
    <row r="5221" spans="3:6" x14ac:dyDescent="0.25">
      <c r="C5221" s="1"/>
      <c r="F5221" s="1"/>
    </row>
    <row r="5222" spans="3:6" x14ac:dyDescent="0.25">
      <c r="C5222" s="1"/>
      <c r="F5222" s="1"/>
    </row>
    <row r="5223" spans="3:6" x14ac:dyDescent="0.25">
      <c r="C5223" s="1"/>
      <c r="F5223" s="1"/>
    </row>
    <row r="5224" spans="3:6" x14ac:dyDescent="0.25">
      <c r="C5224" s="1"/>
      <c r="F5224" s="1"/>
    </row>
    <row r="5225" spans="3:6" x14ac:dyDescent="0.25">
      <c r="C5225" s="1"/>
      <c r="F5225" s="1"/>
    </row>
    <row r="5226" spans="3:6" x14ac:dyDescent="0.25">
      <c r="C5226" s="1"/>
      <c r="F5226" s="1"/>
    </row>
    <row r="5227" spans="3:6" x14ac:dyDescent="0.25">
      <c r="C5227" s="1"/>
      <c r="F5227" s="1"/>
    </row>
    <row r="5228" spans="3:6" x14ac:dyDescent="0.25">
      <c r="C5228" s="1"/>
      <c r="F5228" s="1"/>
    </row>
    <row r="5229" spans="3:6" x14ac:dyDescent="0.25">
      <c r="C5229" s="1"/>
      <c r="F5229" s="1"/>
    </row>
    <row r="5230" spans="3:6" x14ac:dyDescent="0.25">
      <c r="C5230" s="1"/>
      <c r="F5230" s="1"/>
    </row>
    <row r="5231" spans="3:6" x14ac:dyDescent="0.25">
      <c r="C5231" s="1"/>
      <c r="F5231" s="1"/>
    </row>
    <row r="5232" spans="3:6" x14ac:dyDescent="0.25">
      <c r="C5232" s="1"/>
      <c r="F5232" s="1"/>
    </row>
    <row r="5233" spans="3:6" x14ac:dyDescent="0.25">
      <c r="C5233" s="1"/>
      <c r="F5233" s="1"/>
    </row>
    <row r="5234" spans="3:6" x14ac:dyDescent="0.25">
      <c r="C5234" s="1"/>
      <c r="F5234" s="1"/>
    </row>
    <row r="5235" spans="3:6" x14ac:dyDescent="0.25">
      <c r="C5235" s="1"/>
      <c r="F5235" s="1"/>
    </row>
    <row r="5236" spans="3:6" x14ac:dyDescent="0.25">
      <c r="C5236" s="1"/>
      <c r="F5236" s="1"/>
    </row>
    <row r="5237" spans="3:6" x14ac:dyDescent="0.25">
      <c r="C5237" s="1"/>
      <c r="F5237" s="1"/>
    </row>
    <row r="5238" spans="3:6" x14ac:dyDescent="0.25">
      <c r="C5238" s="1"/>
      <c r="F5238" s="1"/>
    </row>
    <row r="5239" spans="3:6" x14ac:dyDescent="0.25">
      <c r="C5239" s="1"/>
      <c r="F5239" s="1"/>
    </row>
    <row r="5240" spans="3:6" x14ac:dyDescent="0.25">
      <c r="C5240" s="1"/>
      <c r="F5240" s="1"/>
    </row>
    <row r="5241" spans="3:6" x14ac:dyDescent="0.25">
      <c r="C5241" s="1"/>
      <c r="F5241" s="1"/>
    </row>
    <row r="5242" spans="3:6" x14ac:dyDescent="0.25">
      <c r="C5242" s="1"/>
      <c r="F5242" s="1"/>
    </row>
    <row r="5243" spans="3:6" x14ac:dyDescent="0.25">
      <c r="C5243" s="1"/>
      <c r="F5243" s="1"/>
    </row>
    <row r="5244" spans="3:6" x14ac:dyDescent="0.25">
      <c r="C5244" s="1"/>
      <c r="F5244" s="1"/>
    </row>
    <row r="5245" spans="3:6" x14ac:dyDescent="0.25">
      <c r="C5245" s="1"/>
      <c r="F5245" s="1"/>
    </row>
    <row r="5246" spans="3:6" x14ac:dyDescent="0.25">
      <c r="C5246" s="1"/>
      <c r="F5246" s="1"/>
    </row>
    <row r="5247" spans="3:6" x14ac:dyDescent="0.25">
      <c r="C5247" s="1"/>
      <c r="F5247" s="1"/>
    </row>
    <row r="5248" spans="3:6" x14ac:dyDescent="0.25">
      <c r="C5248" s="1"/>
      <c r="F5248" s="1"/>
    </row>
    <row r="5249" spans="3:6" x14ac:dyDescent="0.25">
      <c r="C5249" s="1"/>
      <c r="F5249" s="1"/>
    </row>
    <row r="5250" spans="3:6" x14ac:dyDescent="0.25">
      <c r="C5250" s="1"/>
      <c r="F5250" s="1"/>
    </row>
    <row r="5251" spans="3:6" x14ac:dyDescent="0.25">
      <c r="C5251" s="1"/>
      <c r="F5251" s="1"/>
    </row>
    <row r="5252" spans="3:6" x14ac:dyDescent="0.25">
      <c r="C5252" s="1"/>
      <c r="F5252" s="1"/>
    </row>
    <row r="5253" spans="3:6" x14ac:dyDescent="0.25">
      <c r="C5253" s="1"/>
      <c r="F5253" s="1"/>
    </row>
    <row r="5254" spans="3:6" x14ac:dyDescent="0.25">
      <c r="C5254" s="1"/>
      <c r="F5254" s="1"/>
    </row>
    <row r="5255" spans="3:6" x14ac:dyDescent="0.25">
      <c r="C5255" s="1"/>
      <c r="F5255" s="1"/>
    </row>
    <row r="5256" spans="3:6" x14ac:dyDescent="0.25">
      <c r="C5256" s="1"/>
      <c r="F5256" s="1"/>
    </row>
    <row r="5257" spans="3:6" x14ac:dyDescent="0.25">
      <c r="C5257" s="1"/>
      <c r="F5257" s="1"/>
    </row>
    <row r="5258" spans="3:6" x14ac:dyDescent="0.25">
      <c r="C5258" s="1"/>
      <c r="F5258" s="1"/>
    </row>
    <row r="5259" spans="3:6" x14ac:dyDescent="0.25">
      <c r="C5259" s="1"/>
      <c r="F5259" s="1"/>
    </row>
    <row r="5260" spans="3:6" x14ac:dyDescent="0.25">
      <c r="C5260" s="1"/>
      <c r="F5260" s="1"/>
    </row>
    <row r="5261" spans="3:6" x14ac:dyDescent="0.25">
      <c r="C5261" s="1"/>
      <c r="F5261" s="1"/>
    </row>
    <row r="5262" spans="3:6" x14ac:dyDescent="0.25">
      <c r="C5262" s="1"/>
      <c r="F5262" s="1"/>
    </row>
    <row r="5263" spans="3:6" x14ac:dyDescent="0.25">
      <c r="C5263" s="1"/>
      <c r="F5263" s="1"/>
    </row>
    <row r="5264" spans="3:6" x14ac:dyDescent="0.25">
      <c r="C5264" s="1"/>
      <c r="F5264" s="1"/>
    </row>
    <row r="5265" spans="3:6" x14ac:dyDescent="0.25">
      <c r="C5265" s="1"/>
      <c r="F5265" s="1"/>
    </row>
    <row r="5266" spans="3:6" x14ac:dyDescent="0.25">
      <c r="C5266" s="1"/>
      <c r="F5266" s="1"/>
    </row>
    <row r="5267" spans="3:6" x14ac:dyDescent="0.25">
      <c r="C5267" s="1"/>
      <c r="F5267" s="1"/>
    </row>
    <row r="5268" spans="3:6" x14ac:dyDescent="0.25">
      <c r="C5268" s="1"/>
      <c r="F5268" s="1"/>
    </row>
    <row r="5269" spans="3:6" x14ac:dyDescent="0.25">
      <c r="C5269" s="1"/>
      <c r="F5269" s="1"/>
    </row>
    <row r="5270" spans="3:6" x14ac:dyDescent="0.25">
      <c r="C5270" s="1"/>
      <c r="F5270" s="1"/>
    </row>
    <row r="5271" spans="3:6" x14ac:dyDescent="0.25">
      <c r="C5271" s="1"/>
      <c r="F5271" s="1"/>
    </row>
    <row r="5272" spans="3:6" x14ac:dyDescent="0.25">
      <c r="C5272" s="1"/>
      <c r="F5272" s="1"/>
    </row>
    <row r="5273" spans="3:6" x14ac:dyDescent="0.25">
      <c r="C5273" s="1"/>
      <c r="F5273" s="1"/>
    </row>
    <row r="5274" spans="3:6" x14ac:dyDescent="0.25">
      <c r="C5274" s="1"/>
      <c r="F5274" s="1"/>
    </row>
    <row r="5275" spans="3:6" x14ac:dyDescent="0.25">
      <c r="C5275" s="1"/>
      <c r="F5275" s="1"/>
    </row>
    <row r="5276" spans="3:6" x14ac:dyDescent="0.25">
      <c r="C5276" s="1"/>
      <c r="F5276" s="1"/>
    </row>
    <row r="5277" spans="3:6" x14ac:dyDescent="0.25">
      <c r="C5277" s="1"/>
      <c r="F5277" s="1"/>
    </row>
    <row r="5278" spans="3:6" x14ac:dyDescent="0.25">
      <c r="C5278" s="1"/>
      <c r="F5278" s="1"/>
    </row>
    <row r="5279" spans="3:6" x14ac:dyDescent="0.25">
      <c r="C5279" s="1"/>
      <c r="F5279" s="1"/>
    </row>
    <row r="5280" spans="3:6" x14ac:dyDescent="0.25">
      <c r="C5280" s="1"/>
      <c r="F5280" s="1"/>
    </row>
    <row r="5281" spans="3:6" x14ac:dyDescent="0.25">
      <c r="C5281" s="1"/>
      <c r="F5281" s="1"/>
    </row>
    <row r="5282" spans="3:6" x14ac:dyDescent="0.25">
      <c r="C5282" s="1"/>
      <c r="F5282" s="1"/>
    </row>
    <row r="5283" spans="3:6" x14ac:dyDescent="0.25">
      <c r="C5283" s="1"/>
      <c r="F5283" s="1"/>
    </row>
    <row r="5284" spans="3:6" x14ac:dyDescent="0.25">
      <c r="C5284" s="1"/>
      <c r="F5284" s="1"/>
    </row>
    <row r="5285" spans="3:6" x14ac:dyDescent="0.25">
      <c r="C5285" s="1"/>
      <c r="F5285" s="1"/>
    </row>
    <row r="5286" spans="3:6" x14ac:dyDescent="0.25">
      <c r="C5286" s="1"/>
      <c r="F5286" s="1"/>
    </row>
    <row r="5287" spans="3:6" x14ac:dyDescent="0.25">
      <c r="C5287" s="1"/>
      <c r="F5287" s="1"/>
    </row>
    <row r="5288" spans="3:6" x14ac:dyDescent="0.25">
      <c r="C5288" s="1"/>
      <c r="F5288" s="1"/>
    </row>
    <row r="5289" spans="3:6" x14ac:dyDescent="0.25">
      <c r="C5289" s="1"/>
      <c r="F5289" s="1"/>
    </row>
    <row r="5290" spans="3:6" x14ac:dyDescent="0.25">
      <c r="C5290" s="1"/>
      <c r="F5290" s="1"/>
    </row>
    <row r="5291" spans="3:6" x14ac:dyDescent="0.25">
      <c r="C5291" s="1"/>
      <c r="F5291" s="1"/>
    </row>
    <row r="5292" spans="3:6" x14ac:dyDescent="0.25">
      <c r="C5292" s="1"/>
      <c r="F5292" s="1"/>
    </row>
    <row r="5293" spans="3:6" x14ac:dyDescent="0.25">
      <c r="C5293" s="1"/>
      <c r="F5293" s="1"/>
    </row>
    <row r="5294" spans="3:6" x14ac:dyDescent="0.25">
      <c r="C5294" s="1"/>
      <c r="F5294" s="1"/>
    </row>
    <row r="5295" spans="3:6" x14ac:dyDescent="0.25">
      <c r="C5295" s="1"/>
      <c r="F5295" s="1"/>
    </row>
    <row r="5296" spans="3:6" x14ac:dyDescent="0.25">
      <c r="C5296" s="1"/>
      <c r="F5296" s="1"/>
    </row>
    <row r="5297" spans="3:6" x14ac:dyDescent="0.25">
      <c r="C5297" s="1"/>
      <c r="F5297" s="1"/>
    </row>
    <row r="5298" spans="3:6" x14ac:dyDescent="0.25">
      <c r="C5298" s="1"/>
      <c r="F5298" s="1"/>
    </row>
    <row r="5299" spans="3:6" x14ac:dyDescent="0.25">
      <c r="C5299" s="1"/>
      <c r="F5299" s="1"/>
    </row>
    <row r="5300" spans="3:6" x14ac:dyDescent="0.25">
      <c r="C5300" s="1"/>
      <c r="F5300" s="1"/>
    </row>
    <row r="5301" spans="3:6" x14ac:dyDescent="0.25">
      <c r="C5301" s="1"/>
      <c r="F5301" s="1"/>
    </row>
    <row r="5302" spans="3:6" x14ac:dyDescent="0.25">
      <c r="C5302" s="1"/>
      <c r="F5302" s="1"/>
    </row>
    <row r="5303" spans="3:6" x14ac:dyDescent="0.25">
      <c r="C5303" s="1"/>
      <c r="F5303" s="1"/>
    </row>
    <row r="5304" spans="3:6" x14ac:dyDescent="0.25">
      <c r="C5304" s="1"/>
      <c r="F5304" s="1"/>
    </row>
    <row r="5305" spans="3:6" x14ac:dyDescent="0.25">
      <c r="C5305" s="1"/>
      <c r="F5305" s="1"/>
    </row>
    <row r="5306" spans="3:6" x14ac:dyDescent="0.25">
      <c r="C5306" s="1"/>
      <c r="F5306" s="1"/>
    </row>
    <row r="5307" spans="3:6" x14ac:dyDescent="0.25">
      <c r="C5307" s="1"/>
      <c r="F5307" s="1"/>
    </row>
    <row r="5308" spans="3:6" x14ac:dyDescent="0.25">
      <c r="C5308" s="1"/>
      <c r="F5308" s="1"/>
    </row>
    <row r="5309" spans="3:6" x14ac:dyDescent="0.25">
      <c r="C5309" s="1"/>
      <c r="F5309" s="1"/>
    </row>
    <row r="5310" spans="3:6" x14ac:dyDescent="0.25">
      <c r="C5310" s="1"/>
      <c r="F5310" s="1"/>
    </row>
    <row r="5311" spans="3:6" x14ac:dyDescent="0.25">
      <c r="C5311" s="1"/>
      <c r="F5311" s="1"/>
    </row>
    <row r="5312" spans="3:6" x14ac:dyDescent="0.25">
      <c r="C5312" s="1"/>
      <c r="F5312" s="1"/>
    </row>
    <row r="5313" spans="3:6" x14ac:dyDescent="0.25">
      <c r="C5313" s="1"/>
      <c r="F5313" s="1"/>
    </row>
    <row r="5314" spans="3:6" x14ac:dyDescent="0.25">
      <c r="C5314" s="1"/>
      <c r="F5314" s="1"/>
    </row>
    <row r="5315" spans="3:6" x14ac:dyDescent="0.25">
      <c r="C5315" s="1"/>
      <c r="F5315" s="1"/>
    </row>
    <row r="5316" spans="3:6" x14ac:dyDescent="0.25">
      <c r="C5316" s="1"/>
      <c r="F5316" s="1"/>
    </row>
    <row r="5317" spans="3:6" x14ac:dyDescent="0.25">
      <c r="C5317" s="1"/>
      <c r="F5317" s="1"/>
    </row>
    <row r="5318" spans="3:6" x14ac:dyDescent="0.25">
      <c r="C5318" s="1"/>
      <c r="F5318" s="1"/>
    </row>
    <row r="5319" spans="3:6" x14ac:dyDescent="0.25">
      <c r="C5319" s="1"/>
      <c r="F5319" s="1"/>
    </row>
    <row r="5320" spans="3:6" x14ac:dyDescent="0.25">
      <c r="C5320" s="1"/>
      <c r="F5320" s="1"/>
    </row>
    <row r="5321" spans="3:6" x14ac:dyDescent="0.25">
      <c r="C5321" s="1"/>
      <c r="F5321" s="1"/>
    </row>
    <row r="5322" spans="3:6" x14ac:dyDescent="0.25">
      <c r="C5322" s="1"/>
      <c r="F5322" s="1"/>
    </row>
    <row r="5323" spans="3:6" x14ac:dyDescent="0.25">
      <c r="C5323" s="1"/>
      <c r="F5323" s="1"/>
    </row>
    <row r="5324" spans="3:6" x14ac:dyDescent="0.25">
      <c r="C5324" s="1"/>
      <c r="F5324" s="1"/>
    </row>
    <row r="5325" spans="3:6" x14ac:dyDescent="0.25">
      <c r="C5325" s="1"/>
      <c r="F5325" s="1"/>
    </row>
    <row r="5326" spans="3:6" x14ac:dyDescent="0.25">
      <c r="C5326" s="1"/>
      <c r="F5326" s="1"/>
    </row>
    <row r="5327" spans="3:6" x14ac:dyDescent="0.25">
      <c r="C5327" s="1"/>
      <c r="F5327" s="1"/>
    </row>
    <row r="5328" spans="3:6" x14ac:dyDescent="0.25">
      <c r="C5328" s="1"/>
      <c r="F5328" s="1"/>
    </row>
    <row r="5329" spans="3:6" x14ac:dyDescent="0.25">
      <c r="C5329" s="1"/>
      <c r="F5329" s="1"/>
    </row>
    <row r="5330" spans="3:6" x14ac:dyDescent="0.25">
      <c r="C5330" s="1"/>
      <c r="F5330" s="1"/>
    </row>
    <row r="5331" spans="3:6" x14ac:dyDescent="0.25">
      <c r="C5331" s="1"/>
      <c r="F5331" s="1"/>
    </row>
    <row r="5332" spans="3:6" x14ac:dyDescent="0.25">
      <c r="C5332" s="1"/>
      <c r="F5332" s="1"/>
    </row>
    <row r="5333" spans="3:6" x14ac:dyDescent="0.25">
      <c r="C5333" s="1"/>
      <c r="F5333" s="1"/>
    </row>
    <row r="5334" spans="3:6" x14ac:dyDescent="0.25">
      <c r="C5334" s="1"/>
      <c r="F5334" s="1"/>
    </row>
    <row r="5335" spans="3:6" x14ac:dyDescent="0.25">
      <c r="C5335" s="1"/>
      <c r="F5335" s="1"/>
    </row>
    <row r="5336" spans="3:6" x14ac:dyDescent="0.25">
      <c r="C5336" s="1"/>
      <c r="F5336" s="1"/>
    </row>
    <row r="5337" spans="3:6" x14ac:dyDescent="0.25">
      <c r="C5337" s="1"/>
      <c r="F5337" s="1"/>
    </row>
    <row r="5338" spans="3:6" x14ac:dyDescent="0.25">
      <c r="C5338" s="1"/>
      <c r="F5338" s="1"/>
    </row>
    <row r="5339" spans="3:6" x14ac:dyDescent="0.25">
      <c r="C5339" s="1"/>
      <c r="F5339" s="1"/>
    </row>
    <row r="5340" spans="3:6" x14ac:dyDescent="0.25">
      <c r="C5340" s="1"/>
      <c r="F5340" s="1"/>
    </row>
    <row r="5341" spans="3:6" x14ac:dyDescent="0.25">
      <c r="C5341" s="1"/>
      <c r="F5341" s="1"/>
    </row>
    <row r="5342" spans="3:6" x14ac:dyDescent="0.25">
      <c r="C5342" s="1"/>
      <c r="F5342" s="1"/>
    </row>
    <row r="5343" spans="3:6" x14ac:dyDescent="0.25">
      <c r="C5343" s="1"/>
      <c r="F5343" s="1"/>
    </row>
    <row r="5344" spans="3:6" x14ac:dyDescent="0.25">
      <c r="C5344" s="1"/>
      <c r="F5344" s="1"/>
    </row>
    <row r="5345" spans="3:6" x14ac:dyDescent="0.25">
      <c r="C5345" s="1"/>
      <c r="F5345" s="1"/>
    </row>
    <row r="5346" spans="3:6" x14ac:dyDescent="0.25">
      <c r="C5346" s="1"/>
      <c r="F5346" s="1"/>
    </row>
    <row r="5347" spans="3:6" x14ac:dyDescent="0.25">
      <c r="C5347" s="1"/>
      <c r="F5347" s="1"/>
    </row>
    <row r="5348" spans="3:6" x14ac:dyDescent="0.25">
      <c r="C5348" s="1"/>
      <c r="F5348" s="1"/>
    </row>
    <row r="5349" spans="3:6" x14ac:dyDescent="0.25">
      <c r="C5349" s="1"/>
      <c r="F5349" s="1"/>
    </row>
    <row r="5350" spans="3:6" x14ac:dyDescent="0.25">
      <c r="C5350" s="1"/>
      <c r="F5350" s="1"/>
    </row>
    <row r="5351" spans="3:6" x14ac:dyDescent="0.25">
      <c r="C5351" s="1"/>
      <c r="F5351" s="1"/>
    </row>
    <row r="5352" spans="3:6" x14ac:dyDescent="0.25">
      <c r="C5352" s="1"/>
      <c r="F5352" s="1"/>
    </row>
    <row r="5353" spans="3:6" x14ac:dyDescent="0.25">
      <c r="C5353" s="1"/>
      <c r="F5353" s="1"/>
    </row>
    <row r="5354" spans="3:6" x14ac:dyDescent="0.25">
      <c r="C5354" s="1"/>
      <c r="F5354" s="1"/>
    </row>
    <row r="5355" spans="3:6" x14ac:dyDescent="0.25">
      <c r="C5355" s="1"/>
      <c r="F5355" s="1"/>
    </row>
    <row r="5356" spans="3:6" x14ac:dyDescent="0.25">
      <c r="C5356" s="1"/>
      <c r="F5356" s="1"/>
    </row>
    <row r="5357" spans="3:6" x14ac:dyDescent="0.25">
      <c r="C5357" s="1"/>
      <c r="F5357" s="1"/>
    </row>
    <row r="5358" spans="3:6" x14ac:dyDescent="0.25">
      <c r="C5358" s="1"/>
      <c r="F5358" s="1"/>
    </row>
    <row r="5359" spans="3:6" x14ac:dyDescent="0.25">
      <c r="C5359" s="1"/>
      <c r="F5359" s="1"/>
    </row>
    <row r="5360" spans="3:6" x14ac:dyDescent="0.25">
      <c r="C5360" s="1"/>
      <c r="F5360" s="1"/>
    </row>
    <row r="5361" spans="3:6" x14ac:dyDescent="0.25">
      <c r="C5361" s="1"/>
      <c r="F5361" s="1"/>
    </row>
    <row r="5362" spans="3:6" x14ac:dyDescent="0.25">
      <c r="C5362" s="1"/>
      <c r="F5362" s="1"/>
    </row>
    <row r="5363" spans="3:6" x14ac:dyDescent="0.25">
      <c r="C5363" s="1"/>
      <c r="F5363" s="1"/>
    </row>
    <row r="5364" spans="3:6" x14ac:dyDescent="0.25">
      <c r="C5364" s="1"/>
      <c r="F5364" s="1"/>
    </row>
    <row r="5365" spans="3:6" x14ac:dyDescent="0.25">
      <c r="C5365" s="1"/>
      <c r="F5365" s="1"/>
    </row>
    <row r="5366" spans="3:6" x14ac:dyDescent="0.25">
      <c r="C5366" s="1"/>
      <c r="F5366" s="1"/>
    </row>
    <row r="5367" spans="3:6" x14ac:dyDescent="0.25">
      <c r="C5367" s="1"/>
      <c r="F5367" s="1"/>
    </row>
    <row r="5368" spans="3:6" x14ac:dyDescent="0.25">
      <c r="C5368" s="1"/>
      <c r="F5368" s="1"/>
    </row>
    <row r="5369" spans="3:6" x14ac:dyDescent="0.25">
      <c r="C5369" s="1"/>
      <c r="F5369" s="1"/>
    </row>
    <row r="5370" spans="3:6" x14ac:dyDescent="0.25">
      <c r="C5370" s="1"/>
      <c r="F5370" s="1"/>
    </row>
    <row r="5371" spans="3:6" x14ac:dyDescent="0.25">
      <c r="C5371" s="1"/>
      <c r="F5371" s="1"/>
    </row>
    <row r="5372" spans="3:6" x14ac:dyDescent="0.25">
      <c r="C5372" s="1"/>
      <c r="F5372" s="1"/>
    </row>
    <row r="5373" spans="3:6" x14ac:dyDescent="0.25">
      <c r="C5373" s="1"/>
      <c r="F5373" s="1"/>
    </row>
    <row r="5374" spans="3:6" x14ac:dyDescent="0.25">
      <c r="C5374" s="1"/>
      <c r="F5374" s="1"/>
    </row>
    <row r="5375" spans="3:6" x14ac:dyDescent="0.25">
      <c r="C5375" s="1"/>
      <c r="F5375" s="1"/>
    </row>
    <row r="5376" spans="3:6" x14ac:dyDescent="0.25">
      <c r="C5376" s="1"/>
      <c r="F5376" s="1"/>
    </row>
    <row r="5377" spans="3:6" x14ac:dyDescent="0.25">
      <c r="C5377" s="1"/>
      <c r="F5377" s="1"/>
    </row>
    <row r="5378" spans="3:6" x14ac:dyDescent="0.25">
      <c r="C5378" s="1"/>
      <c r="F5378" s="1"/>
    </row>
    <row r="5379" spans="3:6" x14ac:dyDescent="0.25">
      <c r="C5379" s="1"/>
      <c r="F5379" s="1"/>
    </row>
    <row r="5380" spans="3:6" x14ac:dyDescent="0.25">
      <c r="C5380" s="1"/>
      <c r="F5380" s="1"/>
    </row>
    <row r="5381" spans="3:6" x14ac:dyDescent="0.25">
      <c r="C5381" s="1"/>
      <c r="F5381" s="1"/>
    </row>
    <row r="5382" spans="3:6" x14ac:dyDescent="0.25">
      <c r="C5382" s="1"/>
      <c r="F5382" s="1"/>
    </row>
    <row r="5383" spans="3:6" x14ac:dyDescent="0.25">
      <c r="C5383" s="1"/>
      <c r="F5383" s="1"/>
    </row>
    <row r="5384" spans="3:6" x14ac:dyDescent="0.25">
      <c r="C5384" s="1"/>
      <c r="F5384" s="1"/>
    </row>
    <row r="5385" spans="3:6" x14ac:dyDescent="0.25">
      <c r="C5385" s="1"/>
      <c r="F5385" s="1"/>
    </row>
    <row r="5386" spans="3:6" x14ac:dyDescent="0.25">
      <c r="C5386" s="1"/>
      <c r="F5386" s="1"/>
    </row>
    <row r="5387" spans="3:6" x14ac:dyDescent="0.25">
      <c r="C5387" s="1"/>
      <c r="F5387" s="1"/>
    </row>
    <row r="5388" spans="3:6" x14ac:dyDescent="0.25">
      <c r="C5388" s="1"/>
      <c r="F5388" s="1"/>
    </row>
    <row r="5389" spans="3:6" x14ac:dyDescent="0.25">
      <c r="C5389" s="1"/>
      <c r="F5389" s="1"/>
    </row>
    <row r="5390" spans="3:6" x14ac:dyDescent="0.25">
      <c r="C5390" s="1"/>
      <c r="F5390" s="1"/>
    </row>
    <row r="5391" spans="3:6" x14ac:dyDescent="0.25">
      <c r="C5391" s="1"/>
      <c r="F5391" s="1"/>
    </row>
    <row r="5392" spans="3:6" x14ac:dyDescent="0.25">
      <c r="C5392" s="1"/>
      <c r="F5392" s="1"/>
    </row>
    <row r="5393" spans="3:6" x14ac:dyDescent="0.25">
      <c r="C5393" s="1"/>
      <c r="F5393" s="1"/>
    </row>
    <row r="5394" spans="3:6" x14ac:dyDescent="0.25">
      <c r="C5394" s="1"/>
      <c r="F5394" s="1"/>
    </row>
    <row r="5395" spans="3:6" x14ac:dyDescent="0.25">
      <c r="C5395" s="1"/>
      <c r="F5395" s="1"/>
    </row>
    <row r="5396" spans="3:6" x14ac:dyDescent="0.25">
      <c r="C5396" s="1"/>
      <c r="F5396" s="1"/>
    </row>
    <row r="5397" spans="3:6" x14ac:dyDescent="0.25">
      <c r="C5397" s="1"/>
      <c r="F5397" s="1"/>
    </row>
    <row r="5398" spans="3:6" x14ac:dyDescent="0.25">
      <c r="C5398" s="1"/>
      <c r="F5398" s="1"/>
    </row>
    <row r="5399" spans="3:6" x14ac:dyDescent="0.25">
      <c r="C5399" s="1"/>
      <c r="F5399" s="1"/>
    </row>
    <row r="5400" spans="3:6" x14ac:dyDescent="0.25">
      <c r="C5400" s="1"/>
      <c r="F5400" s="1"/>
    </row>
    <row r="5401" spans="3:6" x14ac:dyDescent="0.25">
      <c r="C5401" s="1"/>
      <c r="F5401" s="1"/>
    </row>
    <row r="5402" spans="3:6" x14ac:dyDescent="0.25">
      <c r="C5402" s="1"/>
      <c r="F5402" s="1"/>
    </row>
    <row r="5403" spans="3:6" x14ac:dyDescent="0.25">
      <c r="C5403" s="1"/>
      <c r="F5403" s="1"/>
    </row>
    <row r="5404" spans="3:6" x14ac:dyDescent="0.25">
      <c r="C5404" s="1"/>
      <c r="F5404" s="1"/>
    </row>
    <row r="5405" spans="3:6" x14ac:dyDescent="0.25">
      <c r="C5405" s="1"/>
      <c r="F5405" s="1"/>
    </row>
    <row r="5406" spans="3:6" x14ac:dyDescent="0.25">
      <c r="C5406" s="1"/>
      <c r="F5406" s="1"/>
    </row>
    <row r="5407" spans="3:6" x14ac:dyDescent="0.25">
      <c r="C5407" s="1"/>
      <c r="F5407" s="1"/>
    </row>
    <row r="5408" spans="3:6" x14ac:dyDescent="0.25">
      <c r="C5408" s="1"/>
      <c r="F5408" s="1"/>
    </row>
    <row r="5409" spans="3:6" x14ac:dyDescent="0.25">
      <c r="C5409" s="1"/>
      <c r="F5409" s="1"/>
    </row>
    <row r="5410" spans="3:6" x14ac:dyDescent="0.25">
      <c r="C5410" s="1"/>
      <c r="F5410" s="1"/>
    </row>
    <row r="5411" spans="3:6" x14ac:dyDescent="0.25">
      <c r="C5411" s="1"/>
      <c r="F5411" s="1"/>
    </row>
    <row r="5412" spans="3:6" x14ac:dyDescent="0.25">
      <c r="C5412" s="1"/>
      <c r="F5412" s="1"/>
    </row>
    <row r="5413" spans="3:6" x14ac:dyDescent="0.25">
      <c r="C5413" s="1"/>
      <c r="F5413" s="1"/>
    </row>
    <row r="5414" spans="3:6" x14ac:dyDescent="0.25">
      <c r="C5414" s="1"/>
      <c r="F5414" s="1"/>
    </row>
    <row r="5415" spans="3:6" x14ac:dyDescent="0.25">
      <c r="C5415" s="1"/>
      <c r="F5415" s="1"/>
    </row>
    <row r="5416" spans="3:6" x14ac:dyDescent="0.25">
      <c r="C5416" s="1"/>
      <c r="F5416" s="1"/>
    </row>
    <row r="5417" spans="3:6" x14ac:dyDescent="0.25">
      <c r="C5417" s="1"/>
      <c r="F5417" s="1"/>
    </row>
    <row r="5418" spans="3:6" x14ac:dyDescent="0.25">
      <c r="C5418" s="1"/>
      <c r="F5418" s="1"/>
    </row>
    <row r="5419" spans="3:6" x14ac:dyDescent="0.25">
      <c r="C5419" s="1"/>
      <c r="F5419" s="1"/>
    </row>
    <row r="5420" spans="3:6" x14ac:dyDescent="0.25">
      <c r="C5420" s="1"/>
      <c r="F5420" s="1"/>
    </row>
    <row r="5421" spans="3:6" x14ac:dyDescent="0.25">
      <c r="C5421" s="1"/>
      <c r="F5421" s="1"/>
    </row>
    <row r="5422" spans="3:6" x14ac:dyDescent="0.25">
      <c r="C5422" s="1"/>
      <c r="F5422" s="1"/>
    </row>
    <row r="5423" spans="3:6" x14ac:dyDescent="0.25">
      <c r="C5423" s="1"/>
      <c r="F5423" s="1"/>
    </row>
    <row r="5424" spans="3:6" x14ac:dyDescent="0.25">
      <c r="C5424" s="1"/>
      <c r="F5424" s="1"/>
    </row>
    <row r="5425" spans="3:6" x14ac:dyDescent="0.25">
      <c r="C5425" s="1"/>
      <c r="F5425" s="1"/>
    </row>
    <row r="5426" spans="3:6" x14ac:dyDescent="0.25">
      <c r="C5426" s="1"/>
      <c r="F5426" s="1"/>
    </row>
    <row r="5427" spans="3:6" x14ac:dyDescent="0.25">
      <c r="C5427" s="1"/>
      <c r="F5427" s="1"/>
    </row>
    <row r="5428" spans="3:6" x14ac:dyDescent="0.25">
      <c r="C5428" s="1"/>
      <c r="F5428" s="1"/>
    </row>
    <row r="5429" spans="3:6" x14ac:dyDescent="0.25">
      <c r="C5429" s="1"/>
      <c r="F5429" s="1"/>
    </row>
    <row r="5430" spans="3:6" x14ac:dyDescent="0.25">
      <c r="C5430" s="1"/>
      <c r="F5430" s="1"/>
    </row>
    <row r="5431" spans="3:6" x14ac:dyDescent="0.25">
      <c r="C5431" s="1"/>
      <c r="F5431" s="1"/>
    </row>
    <row r="5432" spans="3:6" x14ac:dyDescent="0.25">
      <c r="C5432" s="1"/>
      <c r="F5432" s="1"/>
    </row>
    <row r="5433" spans="3:6" x14ac:dyDescent="0.25">
      <c r="C5433" s="1"/>
      <c r="F5433" s="1"/>
    </row>
    <row r="5434" spans="3:6" x14ac:dyDescent="0.25">
      <c r="C5434" s="1"/>
      <c r="F5434" s="1"/>
    </row>
    <row r="5435" spans="3:6" x14ac:dyDescent="0.25">
      <c r="C5435" s="1"/>
      <c r="F5435" s="1"/>
    </row>
    <row r="5436" spans="3:6" x14ac:dyDescent="0.25">
      <c r="C5436" s="1"/>
      <c r="F5436" s="1"/>
    </row>
    <row r="5437" spans="3:6" x14ac:dyDescent="0.25">
      <c r="C5437" s="1"/>
      <c r="F5437" s="1"/>
    </row>
    <row r="5438" spans="3:6" x14ac:dyDescent="0.25">
      <c r="C5438" s="1"/>
      <c r="F5438" s="1"/>
    </row>
    <row r="5439" spans="3:6" x14ac:dyDescent="0.25">
      <c r="C5439" s="1"/>
      <c r="F5439" s="1"/>
    </row>
    <row r="5440" spans="3:6" x14ac:dyDescent="0.25">
      <c r="C5440" s="1"/>
      <c r="F5440" s="1"/>
    </row>
    <row r="5441" spans="3:6" x14ac:dyDescent="0.25">
      <c r="C5441" s="1"/>
      <c r="F5441" s="1"/>
    </row>
    <row r="5442" spans="3:6" x14ac:dyDescent="0.25">
      <c r="C5442" s="1"/>
      <c r="F5442" s="1"/>
    </row>
    <row r="5443" spans="3:6" x14ac:dyDescent="0.25">
      <c r="C5443" s="1"/>
      <c r="F5443" s="1"/>
    </row>
    <row r="5444" spans="3:6" x14ac:dyDescent="0.25">
      <c r="C5444" s="1"/>
      <c r="F5444" s="1"/>
    </row>
    <row r="5445" spans="3:6" x14ac:dyDescent="0.25">
      <c r="C5445" s="1"/>
      <c r="F5445" s="1"/>
    </row>
    <row r="5446" spans="3:6" x14ac:dyDescent="0.25">
      <c r="C5446" s="1"/>
      <c r="F5446" s="1"/>
    </row>
    <row r="5447" spans="3:6" x14ac:dyDescent="0.25">
      <c r="C5447" s="1"/>
      <c r="F5447" s="1"/>
    </row>
    <row r="5448" spans="3:6" x14ac:dyDescent="0.25">
      <c r="C5448" s="1"/>
      <c r="F5448" s="1"/>
    </row>
    <row r="5449" spans="3:6" x14ac:dyDescent="0.25">
      <c r="C5449" s="1"/>
      <c r="F5449" s="1"/>
    </row>
    <row r="5450" spans="3:6" x14ac:dyDescent="0.25">
      <c r="C5450" s="1"/>
      <c r="F5450" s="1"/>
    </row>
    <row r="5451" spans="3:6" x14ac:dyDescent="0.25">
      <c r="C5451" s="1"/>
      <c r="F5451" s="1"/>
    </row>
    <row r="5452" spans="3:6" x14ac:dyDescent="0.25">
      <c r="C5452" s="1"/>
      <c r="F5452" s="1"/>
    </row>
    <row r="5453" spans="3:6" x14ac:dyDescent="0.25">
      <c r="C5453" s="1"/>
      <c r="F5453" s="1"/>
    </row>
    <row r="5454" spans="3:6" x14ac:dyDescent="0.25">
      <c r="C5454" s="1"/>
      <c r="F5454" s="1"/>
    </row>
    <row r="5455" spans="3:6" x14ac:dyDescent="0.25">
      <c r="C5455" s="1"/>
      <c r="F5455" s="1"/>
    </row>
    <row r="5456" spans="3:6" x14ac:dyDescent="0.25">
      <c r="C5456" s="1"/>
      <c r="F5456" s="1"/>
    </row>
    <row r="5457" spans="3:6" x14ac:dyDescent="0.25">
      <c r="C5457" s="1"/>
      <c r="F5457" s="1"/>
    </row>
    <row r="5458" spans="3:6" x14ac:dyDescent="0.25">
      <c r="C5458" s="1"/>
      <c r="F5458" s="1"/>
    </row>
    <row r="5459" spans="3:6" x14ac:dyDescent="0.25">
      <c r="C5459" s="1"/>
      <c r="F5459" s="1"/>
    </row>
    <row r="5460" spans="3:6" x14ac:dyDescent="0.25">
      <c r="C5460" s="1"/>
      <c r="F5460" s="1"/>
    </row>
    <row r="5461" spans="3:6" x14ac:dyDescent="0.25">
      <c r="C5461" s="1"/>
      <c r="F5461" s="1"/>
    </row>
    <row r="5462" spans="3:6" x14ac:dyDescent="0.25">
      <c r="C5462" s="1"/>
      <c r="F5462" s="1"/>
    </row>
    <row r="5463" spans="3:6" x14ac:dyDescent="0.25">
      <c r="C5463" s="1"/>
      <c r="F5463" s="1"/>
    </row>
    <row r="5464" spans="3:6" x14ac:dyDescent="0.25">
      <c r="C5464" s="1"/>
      <c r="F5464" s="1"/>
    </row>
    <row r="5465" spans="3:6" x14ac:dyDescent="0.25">
      <c r="C5465" s="1"/>
      <c r="F5465" s="1"/>
    </row>
    <row r="5466" spans="3:6" x14ac:dyDescent="0.25">
      <c r="C5466" s="1"/>
      <c r="F5466" s="1"/>
    </row>
    <row r="5467" spans="3:6" x14ac:dyDescent="0.25">
      <c r="C5467" s="1"/>
      <c r="F5467" s="1"/>
    </row>
    <row r="5468" spans="3:6" x14ac:dyDescent="0.25">
      <c r="C5468" s="1"/>
      <c r="F5468" s="1"/>
    </row>
    <row r="5469" spans="3:6" x14ac:dyDescent="0.25">
      <c r="C5469" s="1"/>
      <c r="F5469" s="1"/>
    </row>
    <row r="5470" spans="3:6" x14ac:dyDescent="0.25">
      <c r="C5470" s="1"/>
      <c r="F5470" s="1"/>
    </row>
    <row r="5471" spans="3:6" x14ac:dyDescent="0.25">
      <c r="C5471" s="1"/>
      <c r="F5471" s="1"/>
    </row>
    <row r="5472" spans="3:6" x14ac:dyDescent="0.25">
      <c r="C5472" s="1"/>
      <c r="F5472" s="1"/>
    </row>
    <row r="5473" spans="3:6" x14ac:dyDescent="0.25">
      <c r="C5473" s="1"/>
      <c r="F5473" s="1"/>
    </row>
    <row r="5474" spans="3:6" x14ac:dyDescent="0.25">
      <c r="C5474" s="1"/>
      <c r="F5474" s="1"/>
    </row>
    <row r="5475" spans="3:6" x14ac:dyDescent="0.25">
      <c r="C5475" s="1"/>
      <c r="F5475" s="1"/>
    </row>
    <row r="5476" spans="3:6" x14ac:dyDescent="0.25">
      <c r="C5476" s="1"/>
      <c r="F5476" s="1"/>
    </row>
    <row r="5477" spans="3:6" x14ac:dyDescent="0.25">
      <c r="C5477" s="1"/>
      <c r="F5477" s="1"/>
    </row>
    <row r="5478" spans="3:6" x14ac:dyDescent="0.25">
      <c r="C5478" s="1"/>
      <c r="F5478" s="1"/>
    </row>
    <row r="5479" spans="3:6" x14ac:dyDescent="0.25">
      <c r="C5479" s="1"/>
      <c r="F5479" s="1"/>
    </row>
    <row r="5480" spans="3:6" x14ac:dyDescent="0.25">
      <c r="C5480" s="1"/>
      <c r="F5480" s="1"/>
    </row>
    <row r="5481" spans="3:6" x14ac:dyDescent="0.25">
      <c r="C5481" s="1"/>
      <c r="F5481" s="1"/>
    </row>
    <row r="5482" spans="3:6" x14ac:dyDescent="0.25">
      <c r="C5482" s="1"/>
      <c r="F5482" s="1"/>
    </row>
    <row r="5483" spans="3:6" x14ac:dyDescent="0.25">
      <c r="C5483" s="1"/>
      <c r="F5483" s="1"/>
    </row>
    <row r="5484" spans="3:6" x14ac:dyDescent="0.25">
      <c r="C5484" s="1"/>
      <c r="F5484" s="1"/>
    </row>
    <row r="5485" spans="3:6" x14ac:dyDescent="0.25">
      <c r="C5485" s="1"/>
      <c r="F5485" s="1"/>
    </row>
    <row r="5486" spans="3:6" x14ac:dyDescent="0.25">
      <c r="C5486" s="1"/>
      <c r="F5486" s="1"/>
    </row>
    <row r="5487" spans="3:6" x14ac:dyDescent="0.25">
      <c r="C5487" s="1"/>
      <c r="F5487" s="1"/>
    </row>
    <row r="5488" spans="3:6" x14ac:dyDescent="0.25">
      <c r="C5488" s="1"/>
      <c r="F5488" s="1"/>
    </row>
    <row r="5489" spans="3:6" x14ac:dyDescent="0.25">
      <c r="C5489" s="1"/>
      <c r="F5489" s="1"/>
    </row>
    <row r="5490" spans="3:6" x14ac:dyDescent="0.25">
      <c r="C5490" s="1"/>
      <c r="F5490" s="1"/>
    </row>
    <row r="5491" spans="3:6" x14ac:dyDescent="0.25">
      <c r="C5491" s="1"/>
      <c r="F5491" s="1"/>
    </row>
    <row r="5492" spans="3:6" x14ac:dyDescent="0.25">
      <c r="C5492" s="1"/>
      <c r="F5492" s="1"/>
    </row>
    <row r="5493" spans="3:6" x14ac:dyDescent="0.25">
      <c r="C5493" s="1"/>
      <c r="F5493" s="1"/>
    </row>
    <row r="5494" spans="3:6" x14ac:dyDescent="0.25">
      <c r="C5494" s="1"/>
      <c r="F5494" s="1"/>
    </row>
    <row r="5495" spans="3:6" x14ac:dyDescent="0.25">
      <c r="C5495" s="1"/>
      <c r="F5495" s="1"/>
    </row>
    <row r="5496" spans="3:6" x14ac:dyDescent="0.25">
      <c r="C5496" s="1"/>
      <c r="F5496" s="1"/>
    </row>
    <row r="5497" spans="3:6" x14ac:dyDescent="0.25">
      <c r="C5497" s="1"/>
      <c r="F5497" s="1"/>
    </row>
    <row r="5498" spans="3:6" x14ac:dyDescent="0.25">
      <c r="C5498" s="1"/>
      <c r="F5498" s="1"/>
    </row>
    <row r="5499" spans="3:6" x14ac:dyDescent="0.25">
      <c r="C5499" s="1"/>
      <c r="F5499" s="1"/>
    </row>
    <row r="5500" spans="3:6" x14ac:dyDescent="0.25">
      <c r="C5500" s="1"/>
      <c r="F5500" s="1"/>
    </row>
    <row r="5501" spans="3:6" x14ac:dyDescent="0.25">
      <c r="C5501" s="1"/>
      <c r="F5501" s="1"/>
    </row>
    <row r="5502" spans="3:6" x14ac:dyDescent="0.25">
      <c r="C5502" s="1"/>
      <c r="F5502" s="1"/>
    </row>
    <row r="5503" spans="3:6" x14ac:dyDescent="0.25">
      <c r="C5503" s="1"/>
      <c r="F5503" s="1"/>
    </row>
    <row r="5504" spans="3:6" x14ac:dyDescent="0.25">
      <c r="C5504" s="1"/>
      <c r="F5504" s="1"/>
    </row>
    <row r="5505" spans="3:6" x14ac:dyDescent="0.25">
      <c r="C5505" s="1"/>
      <c r="F5505" s="1"/>
    </row>
    <row r="5506" spans="3:6" x14ac:dyDescent="0.25">
      <c r="C5506" s="1"/>
      <c r="F5506" s="1"/>
    </row>
    <row r="5507" spans="3:6" x14ac:dyDescent="0.25">
      <c r="C5507" s="1"/>
      <c r="F5507" s="1"/>
    </row>
    <row r="5508" spans="3:6" x14ac:dyDescent="0.25">
      <c r="C5508" s="1"/>
      <c r="F5508" s="1"/>
    </row>
    <row r="5509" spans="3:6" x14ac:dyDescent="0.25">
      <c r="C5509" s="1"/>
      <c r="F5509" s="1"/>
    </row>
    <row r="5510" spans="3:6" x14ac:dyDescent="0.25">
      <c r="C5510" s="1"/>
      <c r="F5510" s="1"/>
    </row>
    <row r="5511" spans="3:6" x14ac:dyDescent="0.25">
      <c r="C5511" s="1"/>
      <c r="F5511" s="1"/>
    </row>
    <row r="5512" spans="3:6" x14ac:dyDescent="0.25">
      <c r="C5512" s="1"/>
      <c r="F5512" s="1"/>
    </row>
    <row r="5513" spans="3:6" x14ac:dyDescent="0.25">
      <c r="C5513" s="1"/>
      <c r="F5513" s="1"/>
    </row>
    <row r="5514" spans="3:6" x14ac:dyDescent="0.25">
      <c r="C5514" s="1"/>
      <c r="F5514" s="1"/>
    </row>
    <row r="5515" spans="3:6" x14ac:dyDescent="0.25">
      <c r="C5515" s="1"/>
      <c r="F5515" s="1"/>
    </row>
    <row r="5516" spans="3:6" x14ac:dyDescent="0.25">
      <c r="C5516" s="1"/>
      <c r="F5516" s="1"/>
    </row>
    <row r="5517" spans="3:6" x14ac:dyDescent="0.25">
      <c r="C5517" s="1"/>
      <c r="F5517" s="1"/>
    </row>
    <row r="5518" spans="3:6" x14ac:dyDescent="0.25">
      <c r="C5518" s="1"/>
      <c r="F5518" s="1"/>
    </row>
    <row r="5519" spans="3:6" x14ac:dyDescent="0.25">
      <c r="C5519" s="1"/>
      <c r="F5519" s="1"/>
    </row>
    <row r="5520" spans="3:6" x14ac:dyDescent="0.25">
      <c r="C5520" s="1"/>
      <c r="F5520" s="1"/>
    </row>
    <row r="5521" spans="3:6" x14ac:dyDescent="0.25">
      <c r="C5521" s="1"/>
      <c r="F5521" s="1"/>
    </row>
    <row r="5522" spans="3:6" x14ac:dyDescent="0.25">
      <c r="C5522" s="1"/>
      <c r="F5522" s="1"/>
    </row>
    <row r="5523" spans="3:6" x14ac:dyDescent="0.25">
      <c r="C5523" s="1"/>
      <c r="F5523" s="1"/>
    </row>
    <row r="5524" spans="3:6" x14ac:dyDescent="0.25">
      <c r="C5524" s="1"/>
      <c r="F5524" s="1"/>
    </row>
    <row r="5525" spans="3:6" x14ac:dyDescent="0.25">
      <c r="C5525" s="1"/>
      <c r="F5525" s="1"/>
    </row>
    <row r="5526" spans="3:6" x14ac:dyDescent="0.25">
      <c r="C5526" s="1"/>
      <c r="F5526" s="1"/>
    </row>
    <row r="5527" spans="3:6" x14ac:dyDescent="0.25">
      <c r="C5527" s="1"/>
      <c r="F5527" s="1"/>
    </row>
    <row r="5528" spans="3:6" x14ac:dyDescent="0.25">
      <c r="C5528" s="1"/>
      <c r="F5528" s="1"/>
    </row>
    <row r="5529" spans="3:6" x14ac:dyDescent="0.25">
      <c r="C5529" s="1"/>
      <c r="F5529" s="1"/>
    </row>
    <row r="5530" spans="3:6" x14ac:dyDescent="0.25">
      <c r="C5530" s="1"/>
      <c r="F5530" s="1"/>
    </row>
    <row r="5531" spans="3:6" x14ac:dyDescent="0.25">
      <c r="C5531" s="1"/>
      <c r="F5531" s="1"/>
    </row>
    <row r="5532" spans="3:6" x14ac:dyDescent="0.25">
      <c r="C5532" s="1"/>
      <c r="F5532" s="1"/>
    </row>
    <row r="5533" spans="3:6" x14ac:dyDescent="0.25">
      <c r="C5533" s="1"/>
      <c r="F5533" s="1"/>
    </row>
    <row r="5534" spans="3:6" x14ac:dyDescent="0.25">
      <c r="C5534" s="1"/>
      <c r="F5534" s="1"/>
    </row>
    <row r="5535" spans="3:6" x14ac:dyDescent="0.25">
      <c r="C5535" s="1"/>
      <c r="F5535" s="1"/>
    </row>
    <row r="5536" spans="3:6" x14ac:dyDescent="0.25">
      <c r="C5536" s="1"/>
      <c r="F5536" s="1"/>
    </row>
    <row r="5537" spans="3:6" x14ac:dyDescent="0.25">
      <c r="C5537" s="1"/>
      <c r="F5537" s="1"/>
    </row>
    <row r="5538" spans="3:6" x14ac:dyDescent="0.25">
      <c r="C5538" s="1"/>
      <c r="F5538" s="1"/>
    </row>
    <row r="5539" spans="3:6" x14ac:dyDescent="0.25">
      <c r="C5539" s="1"/>
      <c r="F5539" s="1"/>
    </row>
    <row r="5540" spans="3:6" x14ac:dyDescent="0.25">
      <c r="C5540" s="1"/>
      <c r="F5540" s="1"/>
    </row>
    <row r="5541" spans="3:6" x14ac:dyDescent="0.25">
      <c r="C5541" s="1"/>
      <c r="F5541" s="1"/>
    </row>
    <row r="5542" spans="3:6" x14ac:dyDescent="0.25">
      <c r="C5542" s="1"/>
      <c r="F5542" s="1"/>
    </row>
    <row r="5543" spans="3:6" x14ac:dyDescent="0.25">
      <c r="C5543" s="1"/>
      <c r="F5543" s="1"/>
    </row>
    <row r="5544" spans="3:6" x14ac:dyDescent="0.25">
      <c r="C5544" s="1"/>
      <c r="F5544" s="1"/>
    </row>
    <row r="5545" spans="3:6" x14ac:dyDescent="0.25">
      <c r="C5545" s="1"/>
      <c r="F5545" s="1"/>
    </row>
    <row r="5546" spans="3:6" x14ac:dyDescent="0.25">
      <c r="C5546" s="1"/>
      <c r="F5546" s="1"/>
    </row>
    <row r="5547" spans="3:6" x14ac:dyDescent="0.25">
      <c r="C5547" s="1"/>
      <c r="F5547" s="1"/>
    </row>
    <row r="5548" spans="3:6" x14ac:dyDescent="0.25">
      <c r="C5548" s="1"/>
      <c r="F5548" s="1"/>
    </row>
    <row r="5549" spans="3:6" x14ac:dyDescent="0.25">
      <c r="C5549" s="1"/>
      <c r="F5549" s="1"/>
    </row>
    <row r="5550" spans="3:6" x14ac:dyDescent="0.25">
      <c r="C5550" s="1"/>
      <c r="F5550" s="1"/>
    </row>
    <row r="5551" spans="3:6" x14ac:dyDescent="0.25">
      <c r="C5551" s="1"/>
      <c r="F5551" s="1"/>
    </row>
    <row r="5552" spans="3:6" x14ac:dyDescent="0.25">
      <c r="C5552" s="1"/>
      <c r="F5552" s="1"/>
    </row>
    <row r="5553" spans="3:6" x14ac:dyDescent="0.25">
      <c r="C5553" s="1"/>
      <c r="F5553" s="1"/>
    </row>
    <row r="5554" spans="3:6" x14ac:dyDescent="0.25">
      <c r="C5554" s="1"/>
      <c r="F5554" s="1"/>
    </row>
    <row r="5555" spans="3:6" x14ac:dyDescent="0.25">
      <c r="C5555" s="1"/>
      <c r="F5555" s="1"/>
    </row>
    <row r="5556" spans="3:6" x14ac:dyDescent="0.25">
      <c r="C5556" s="1"/>
      <c r="F5556" s="1"/>
    </row>
    <row r="5557" spans="3:6" x14ac:dyDescent="0.25">
      <c r="C5557" s="1"/>
      <c r="F5557" s="1"/>
    </row>
    <row r="5558" spans="3:6" x14ac:dyDescent="0.25">
      <c r="C5558" s="1"/>
      <c r="F5558" s="1"/>
    </row>
    <row r="5559" spans="3:6" x14ac:dyDescent="0.25">
      <c r="C5559" s="1"/>
      <c r="F5559" s="1"/>
    </row>
    <row r="5560" spans="3:6" x14ac:dyDescent="0.25">
      <c r="C5560" s="1"/>
      <c r="F5560" s="1"/>
    </row>
    <row r="5561" spans="3:6" x14ac:dyDescent="0.25">
      <c r="C5561" s="1"/>
      <c r="F5561" s="1"/>
    </row>
    <row r="5562" spans="3:6" x14ac:dyDescent="0.25">
      <c r="C5562" s="1"/>
      <c r="F5562" s="1"/>
    </row>
    <row r="5563" spans="3:6" x14ac:dyDescent="0.25">
      <c r="C5563" s="1"/>
      <c r="F5563" s="1"/>
    </row>
    <row r="5564" spans="3:6" x14ac:dyDescent="0.25">
      <c r="C5564" s="1"/>
      <c r="F5564" s="1"/>
    </row>
    <row r="5565" spans="3:6" x14ac:dyDescent="0.25">
      <c r="C5565" s="1"/>
      <c r="F5565" s="1"/>
    </row>
    <row r="5566" spans="3:6" x14ac:dyDescent="0.25">
      <c r="C5566" s="1"/>
      <c r="F5566" s="1"/>
    </row>
    <row r="5567" spans="3:6" x14ac:dyDescent="0.25">
      <c r="C5567" s="1"/>
      <c r="F5567" s="1"/>
    </row>
    <row r="5568" spans="3:6" x14ac:dyDescent="0.25">
      <c r="C5568" s="1"/>
      <c r="F5568" s="1"/>
    </row>
    <row r="5569" spans="3:6" x14ac:dyDescent="0.25">
      <c r="C5569" s="1"/>
      <c r="F5569" s="1"/>
    </row>
    <row r="5570" spans="3:6" x14ac:dyDescent="0.25">
      <c r="C5570" s="1"/>
      <c r="F5570" s="1"/>
    </row>
    <row r="5571" spans="3:6" x14ac:dyDescent="0.25">
      <c r="C5571" s="1"/>
      <c r="F5571" s="1"/>
    </row>
    <row r="5572" spans="3:6" x14ac:dyDescent="0.25">
      <c r="C5572" s="1"/>
      <c r="F5572" s="1"/>
    </row>
    <row r="5573" spans="3:6" x14ac:dyDescent="0.25">
      <c r="C5573" s="1"/>
      <c r="F5573" s="1"/>
    </row>
    <row r="5574" spans="3:6" x14ac:dyDescent="0.25">
      <c r="C5574" s="1"/>
      <c r="F5574" s="1"/>
    </row>
    <row r="5575" spans="3:6" x14ac:dyDescent="0.25">
      <c r="C5575" s="1"/>
      <c r="F5575" s="1"/>
    </row>
    <row r="5576" spans="3:6" x14ac:dyDescent="0.25">
      <c r="C5576" s="1"/>
      <c r="F5576" s="1"/>
    </row>
    <row r="5577" spans="3:6" x14ac:dyDescent="0.25">
      <c r="C5577" s="1"/>
      <c r="F5577" s="1"/>
    </row>
    <row r="5578" spans="3:6" x14ac:dyDescent="0.25">
      <c r="C5578" s="1"/>
      <c r="F5578" s="1"/>
    </row>
    <row r="5579" spans="3:6" x14ac:dyDescent="0.25">
      <c r="C5579" s="1"/>
      <c r="F5579" s="1"/>
    </row>
    <row r="5580" spans="3:6" x14ac:dyDescent="0.25">
      <c r="C5580" s="1"/>
      <c r="F5580" s="1"/>
    </row>
    <row r="5581" spans="3:6" x14ac:dyDescent="0.25">
      <c r="C5581" s="1"/>
      <c r="F5581" s="1"/>
    </row>
    <row r="5582" spans="3:6" x14ac:dyDescent="0.25">
      <c r="C5582" s="1"/>
      <c r="F5582" s="1"/>
    </row>
    <row r="5583" spans="3:6" x14ac:dyDescent="0.25">
      <c r="C5583" s="1"/>
      <c r="F5583" s="1"/>
    </row>
    <row r="5584" spans="3:6" x14ac:dyDescent="0.25">
      <c r="C5584" s="1"/>
      <c r="F5584" s="1"/>
    </row>
    <row r="5585" spans="3:6" x14ac:dyDescent="0.25">
      <c r="C5585" s="1"/>
      <c r="F5585" s="1"/>
    </row>
    <row r="5586" spans="3:6" x14ac:dyDescent="0.25">
      <c r="C5586" s="1"/>
      <c r="F5586" s="1"/>
    </row>
    <row r="5587" spans="3:6" x14ac:dyDescent="0.25">
      <c r="C5587" s="1"/>
      <c r="F5587" s="1"/>
    </row>
    <row r="5588" spans="3:6" x14ac:dyDescent="0.25">
      <c r="C5588" s="1"/>
      <c r="F5588" s="1"/>
    </row>
    <row r="5589" spans="3:6" x14ac:dyDescent="0.25">
      <c r="C5589" s="1"/>
      <c r="F5589" s="1"/>
    </row>
    <row r="5590" spans="3:6" x14ac:dyDescent="0.25">
      <c r="C5590" s="1"/>
      <c r="F5590" s="1"/>
    </row>
    <row r="5591" spans="3:6" x14ac:dyDescent="0.25">
      <c r="C5591" s="1"/>
      <c r="F5591" s="1"/>
    </row>
    <row r="5592" spans="3:6" x14ac:dyDescent="0.25">
      <c r="C5592" s="1"/>
      <c r="F5592" s="1"/>
    </row>
    <row r="5593" spans="3:6" x14ac:dyDescent="0.25">
      <c r="C5593" s="1"/>
      <c r="F5593" s="1"/>
    </row>
    <row r="5594" spans="3:6" x14ac:dyDescent="0.25">
      <c r="C5594" s="1"/>
      <c r="F5594" s="1"/>
    </row>
    <row r="5595" spans="3:6" x14ac:dyDescent="0.25">
      <c r="C5595" s="1"/>
      <c r="F5595" s="1"/>
    </row>
    <row r="5596" spans="3:6" x14ac:dyDescent="0.25">
      <c r="C5596" s="1"/>
      <c r="F5596" s="1"/>
    </row>
    <row r="5597" spans="3:6" x14ac:dyDescent="0.25">
      <c r="C5597" s="1"/>
      <c r="F5597" s="1"/>
    </row>
    <row r="5598" spans="3:6" x14ac:dyDescent="0.25">
      <c r="C5598" s="1"/>
      <c r="F5598" s="1"/>
    </row>
    <row r="5599" spans="3:6" x14ac:dyDescent="0.25">
      <c r="C5599" s="1"/>
      <c r="F5599" s="1"/>
    </row>
    <row r="5600" spans="3:6" x14ac:dyDescent="0.25">
      <c r="C5600" s="1"/>
      <c r="F5600" s="1"/>
    </row>
    <row r="5601" spans="3:6" x14ac:dyDescent="0.25">
      <c r="C5601" s="1"/>
      <c r="F5601" s="1"/>
    </row>
    <row r="5602" spans="3:6" x14ac:dyDescent="0.25">
      <c r="C5602" s="1"/>
      <c r="F5602" s="1"/>
    </row>
    <row r="5603" spans="3:6" x14ac:dyDescent="0.25">
      <c r="C5603" s="1"/>
      <c r="F5603" s="1"/>
    </row>
    <row r="5604" spans="3:6" x14ac:dyDescent="0.25">
      <c r="C5604" s="1"/>
      <c r="F5604" s="1"/>
    </row>
    <row r="5605" spans="3:6" x14ac:dyDescent="0.25">
      <c r="C5605" s="1"/>
      <c r="F5605" s="1"/>
    </row>
    <row r="5606" spans="3:6" x14ac:dyDescent="0.25">
      <c r="C5606" s="1"/>
      <c r="F5606" s="1"/>
    </row>
    <row r="5607" spans="3:6" x14ac:dyDescent="0.25">
      <c r="C5607" s="1"/>
      <c r="F5607" s="1"/>
    </row>
    <row r="5608" spans="3:6" x14ac:dyDescent="0.25">
      <c r="C5608" s="1"/>
      <c r="F5608" s="1"/>
    </row>
    <row r="5609" spans="3:6" x14ac:dyDescent="0.25">
      <c r="C5609" s="1"/>
      <c r="F5609" s="1"/>
    </row>
    <row r="5610" spans="3:6" x14ac:dyDescent="0.25">
      <c r="C5610" s="1"/>
      <c r="F5610" s="1"/>
    </row>
    <row r="5611" spans="3:6" x14ac:dyDescent="0.25">
      <c r="C5611" s="1"/>
      <c r="F5611" s="1"/>
    </row>
    <row r="5612" spans="3:6" x14ac:dyDescent="0.25">
      <c r="C5612" s="1"/>
      <c r="F5612" s="1"/>
    </row>
    <row r="5613" spans="3:6" x14ac:dyDescent="0.25">
      <c r="C5613" s="1"/>
      <c r="F5613" s="1"/>
    </row>
    <row r="5614" spans="3:6" x14ac:dyDescent="0.25">
      <c r="C5614" s="1"/>
      <c r="F5614" s="1"/>
    </row>
    <row r="5615" spans="3:6" x14ac:dyDescent="0.25">
      <c r="C5615" s="1"/>
      <c r="F5615" s="1"/>
    </row>
    <row r="5616" spans="3:6" x14ac:dyDescent="0.25">
      <c r="C5616" s="1"/>
      <c r="F5616" s="1"/>
    </row>
    <row r="5617" spans="3:6" x14ac:dyDescent="0.25">
      <c r="C5617" s="1"/>
      <c r="F5617" s="1"/>
    </row>
    <row r="5618" spans="3:6" x14ac:dyDescent="0.25">
      <c r="C5618" s="1"/>
      <c r="F5618" s="1"/>
    </row>
    <row r="5619" spans="3:6" x14ac:dyDescent="0.25">
      <c r="C5619" s="1"/>
      <c r="F5619" s="1"/>
    </row>
    <row r="5620" spans="3:6" x14ac:dyDescent="0.25">
      <c r="C5620" s="1"/>
      <c r="F5620" s="1"/>
    </row>
    <row r="5621" spans="3:6" x14ac:dyDescent="0.25">
      <c r="C5621" s="1"/>
      <c r="F5621" s="1"/>
    </row>
    <row r="5622" spans="3:6" x14ac:dyDescent="0.25">
      <c r="C5622" s="1"/>
      <c r="F5622" s="1"/>
    </row>
    <row r="5623" spans="3:6" x14ac:dyDescent="0.25">
      <c r="C5623" s="1"/>
      <c r="F5623" s="1"/>
    </row>
    <row r="5624" spans="3:6" x14ac:dyDescent="0.25">
      <c r="C5624" s="1"/>
      <c r="F5624" s="1"/>
    </row>
    <row r="5625" spans="3:6" x14ac:dyDescent="0.25">
      <c r="C5625" s="1"/>
      <c r="F5625" s="1"/>
    </row>
    <row r="5626" spans="3:6" x14ac:dyDescent="0.25">
      <c r="C5626" s="1"/>
      <c r="F5626" s="1"/>
    </row>
    <row r="5627" spans="3:6" x14ac:dyDescent="0.25">
      <c r="C5627" s="1"/>
      <c r="F5627" s="1"/>
    </row>
    <row r="5628" spans="3:6" x14ac:dyDescent="0.25">
      <c r="C5628" s="1"/>
      <c r="F5628" s="1"/>
    </row>
    <row r="5629" spans="3:6" x14ac:dyDescent="0.25">
      <c r="C5629" s="1"/>
      <c r="F5629" s="1"/>
    </row>
    <row r="5630" spans="3:6" x14ac:dyDescent="0.25">
      <c r="C5630" s="1"/>
      <c r="F5630" s="1"/>
    </row>
    <row r="5631" spans="3:6" x14ac:dyDescent="0.25">
      <c r="C5631" s="1"/>
      <c r="F5631" s="1"/>
    </row>
    <row r="5632" spans="3:6" x14ac:dyDescent="0.25">
      <c r="C5632" s="1"/>
      <c r="F5632" s="1"/>
    </row>
    <row r="5633" spans="3:6" x14ac:dyDescent="0.25">
      <c r="C5633" s="1"/>
      <c r="F5633" s="1"/>
    </row>
    <row r="5634" spans="3:6" x14ac:dyDescent="0.25">
      <c r="C5634" s="1"/>
      <c r="F5634" s="1"/>
    </row>
    <row r="5635" spans="3:6" x14ac:dyDescent="0.25">
      <c r="C5635" s="1"/>
      <c r="F5635" s="1"/>
    </row>
    <row r="5636" spans="3:6" x14ac:dyDescent="0.25">
      <c r="C5636" s="1"/>
      <c r="F5636" s="1"/>
    </row>
    <row r="5637" spans="3:6" x14ac:dyDescent="0.25">
      <c r="C5637" s="1"/>
      <c r="F5637" s="1"/>
    </row>
    <row r="5638" spans="3:6" x14ac:dyDescent="0.25">
      <c r="C5638" s="1"/>
      <c r="F5638" s="1"/>
    </row>
    <row r="5639" spans="3:6" x14ac:dyDescent="0.25">
      <c r="C5639" s="1"/>
      <c r="F5639" s="1"/>
    </row>
    <row r="5640" spans="3:6" x14ac:dyDescent="0.25">
      <c r="C5640" s="1"/>
      <c r="F5640" s="1"/>
    </row>
    <row r="5641" spans="3:6" x14ac:dyDescent="0.25">
      <c r="C5641" s="1"/>
      <c r="F5641" s="1"/>
    </row>
    <row r="5642" spans="3:6" x14ac:dyDescent="0.25">
      <c r="C5642" s="1"/>
      <c r="F5642" s="1"/>
    </row>
    <row r="5643" spans="3:6" x14ac:dyDescent="0.25">
      <c r="C5643" s="1"/>
      <c r="F5643" s="1"/>
    </row>
    <row r="5644" spans="3:6" x14ac:dyDescent="0.25">
      <c r="C5644" s="1"/>
      <c r="F5644" s="1"/>
    </row>
    <row r="5645" spans="3:6" x14ac:dyDescent="0.25">
      <c r="C5645" s="1"/>
      <c r="F5645" s="1"/>
    </row>
    <row r="5646" spans="3:6" x14ac:dyDescent="0.25">
      <c r="C5646" s="1"/>
      <c r="F5646" s="1"/>
    </row>
    <row r="5647" spans="3:6" x14ac:dyDescent="0.25">
      <c r="C5647" s="1"/>
      <c r="F5647" s="1"/>
    </row>
    <row r="5648" spans="3:6" x14ac:dyDescent="0.25">
      <c r="C5648" s="1"/>
      <c r="F5648" s="1"/>
    </row>
    <row r="5649" spans="3:6" x14ac:dyDescent="0.25">
      <c r="C5649" s="1"/>
      <c r="F5649" s="1"/>
    </row>
    <row r="5650" spans="3:6" x14ac:dyDescent="0.25">
      <c r="C5650" s="1"/>
      <c r="F5650" s="1"/>
    </row>
    <row r="5651" spans="3:6" x14ac:dyDescent="0.25">
      <c r="C5651" s="1"/>
      <c r="F5651" s="1"/>
    </row>
    <row r="5652" spans="3:6" x14ac:dyDescent="0.25">
      <c r="C5652" s="1"/>
      <c r="F5652" s="1"/>
    </row>
    <row r="5653" spans="3:6" x14ac:dyDescent="0.25">
      <c r="C5653" s="1"/>
      <c r="F5653" s="1"/>
    </row>
    <row r="5654" spans="3:6" x14ac:dyDescent="0.25">
      <c r="C5654" s="1"/>
      <c r="F5654" s="1"/>
    </row>
    <row r="5655" spans="3:6" x14ac:dyDescent="0.25">
      <c r="C5655" s="1"/>
      <c r="F5655" s="1"/>
    </row>
    <row r="5656" spans="3:6" x14ac:dyDescent="0.25">
      <c r="C5656" s="1"/>
      <c r="F5656" s="1"/>
    </row>
    <row r="5657" spans="3:6" x14ac:dyDescent="0.25">
      <c r="C5657" s="1"/>
      <c r="F5657" s="1"/>
    </row>
    <row r="5658" spans="3:6" x14ac:dyDescent="0.25">
      <c r="C5658" s="1"/>
      <c r="F5658" s="1"/>
    </row>
    <row r="5659" spans="3:6" x14ac:dyDescent="0.25">
      <c r="C5659" s="1"/>
      <c r="F5659" s="1"/>
    </row>
    <row r="5660" spans="3:6" x14ac:dyDescent="0.25">
      <c r="C5660" s="1"/>
      <c r="F5660" s="1"/>
    </row>
    <row r="5661" spans="3:6" x14ac:dyDescent="0.25">
      <c r="C5661" s="1"/>
      <c r="F5661" s="1"/>
    </row>
    <row r="5662" spans="3:6" x14ac:dyDescent="0.25">
      <c r="C5662" s="1"/>
      <c r="F5662" s="1"/>
    </row>
    <row r="5663" spans="3:6" x14ac:dyDescent="0.25">
      <c r="C5663" s="1"/>
      <c r="F5663" s="1"/>
    </row>
    <row r="5664" spans="3:6" x14ac:dyDescent="0.25">
      <c r="C5664" s="1"/>
      <c r="F5664" s="1"/>
    </row>
    <row r="5665" spans="3:6" x14ac:dyDescent="0.25">
      <c r="C5665" s="1"/>
      <c r="F5665" s="1"/>
    </row>
    <row r="5666" spans="3:6" x14ac:dyDescent="0.25">
      <c r="C5666" s="1"/>
      <c r="F5666" s="1"/>
    </row>
    <row r="5667" spans="3:6" x14ac:dyDescent="0.25">
      <c r="C5667" s="1"/>
      <c r="F5667" s="1"/>
    </row>
    <row r="5668" spans="3:6" x14ac:dyDescent="0.25">
      <c r="C5668" s="1"/>
      <c r="F5668" s="1"/>
    </row>
    <row r="5669" spans="3:6" x14ac:dyDescent="0.25">
      <c r="C5669" s="1"/>
      <c r="F5669" s="1"/>
    </row>
    <row r="5670" spans="3:6" x14ac:dyDescent="0.25">
      <c r="C5670" s="1"/>
      <c r="F5670" s="1"/>
    </row>
    <row r="5671" spans="3:6" x14ac:dyDescent="0.25">
      <c r="C5671" s="1"/>
      <c r="F5671" s="1"/>
    </row>
    <row r="5672" spans="3:6" x14ac:dyDescent="0.25">
      <c r="C5672" s="1"/>
      <c r="F5672" s="1"/>
    </row>
    <row r="5673" spans="3:6" x14ac:dyDescent="0.25">
      <c r="C5673" s="1"/>
      <c r="F5673" s="1"/>
    </row>
    <row r="5674" spans="3:6" x14ac:dyDescent="0.25">
      <c r="C5674" s="1"/>
      <c r="F5674" s="1"/>
    </row>
    <row r="5675" spans="3:6" x14ac:dyDescent="0.25">
      <c r="C5675" s="1"/>
      <c r="F5675" s="1"/>
    </row>
    <row r="5676" spans="3:6" x14ac:dyDescent="0.25">
      <c r="C5676" s="1"/>
      <c r="F5676" s="1"/>
    </row>
    <row r="5677" spans="3:6" x14ac:dyDescent="0.25">
      <c r="C5677" s="1"/>
      <c r="F5677" s="1"/>
    </row>
    <row r="5678" spans="3:6" x14ac:dyDescent="0.25">
      <c r="C5678" s="1"/>
      <c r="F5678" s="1"/>
    </row>
    <row r="5679" spans="3:6" x14ac:dyDescent="0.25">
      <c r="C5679" s="1"/>
      <c r="F5679" s="1"/>
    </row>
    <row r="5680" spans="3:6" x14ac:dyDescent="0.25">
      <c r="C5680" s="1"/>
      <c r="F5680" s="1"/>
    </row>
    <row r="5681" spans="3:6" x14ac:dyDescent="0.25">
      <c r="C5681" s="1"/>
      <c r="F5681" s="1"/>
    </row>
    <row r="5682" spans="3:6" x14ac:dyDescent="0.25">
      <c r="C5682" s="1"/>
      <c r="F5682" s="1"/>
    </row>
    <row r="5683" spans="3:6" x14ac:dyDescent="0.25">
      <c r="C5683" s="1"/>
      <c r="F5683" s="1"/>
    </row>
    <row r="5684" spans="3:6" x14ac:dyDescent="0.25">
      <c r="C5684" s="1"/>
      <c r="F5684" s="1"/>
    </row>
    <row r="5685" spans="3:6" x14ac:dyDescent="0.25">
      <c r="C5685" s="1"/>
      <c r="F5685" s="1"/>
    </row>
    <row r="5686" spans="3:6" x14ac:dyDescent="0.25">
      <c r="C5686" s="1"/>
      <c r="F5686" s="1"/>
    </row>
    <row r="5687" spans="3:6" x14ac:dyDescent="0.25">
      <c r="C5687" s="1"/>
      <c r="F5687" s="1"/>
    </row>
    <row r="5688" spans="3:6" x14ac:dyDescent="0.25">
      <c r="C5688" s="1"/>
      <c r="F5688" s="1"/>
    </row>
    <row r="5689" spans="3:6" x14ac:dyDescent="0.25">
      <c r="C5689" s="1"/>
      <c r="F5689" s="1"/>
    </row>
    <row r="5690" spans="3:6" x14ac:dyDescent="0.25">
      <c r="C5690" s="1"/>
      <c r="F5690" s="1"/>
    </row>
    <row r="5691" spans="3:6" x14ac:dyDescent="0.25">
      <c r="C5691" s="1"/>
      <c r="F5691" s="1"/>
    </row>
    <row r="5692" spans="3:6" x14ac:dyDescent="0.25">
      <c r="C5692" s="1"/>
      <c r="F5692" s="1"/>
    </row>
    <row r="5693" spans="3:6" x14ac:dyDescent="0.25">
      <c r="C5693" s="1"/>
      <c r="F5693" s="1"/>
    </row>
    <row r="5694" spans="3:6" x14ac:dyDescent="0.25">
      <c r="C5694" s="1"/>
      <c r="F5694" s="1"/>
    </row>
    <row r="5695" spans="3:6" x14ac:dyDescent="0.25">
      <c r="C5695" s="1"/>
      <c r="F5695" s="1"/>
    </row>
    <row r="5696" spans="3:6" x14ac:dyDescent="0.25">
      <c r="C5696" s="1"/>
      <c r="F5696" s="1"/>
    </row>
    <row r="5697" spans="3:6" x14ac:dyDescent="0.25">
      <c r="C5697" s="1"/>
      <c r="F5697" s="1"/>
    </row>
    <row r="5698" spans="3:6" x14ac:dyDescent="0.25">
      <c r="C5698" s="1"/>
      <c r="F5698" s="1"/>
    </row>
    <row r="5699" spans="3:6" x14ac:dyDescent="0.25">
      <c r="C5699" s="1"/>
      <c r="F5699" s="1"/>
    </row>
    <row r="5700" spans="3:6" x14ac:dyDescent="0.25">
      <c r="C5700" s="1"/>
      <c r="F5700" s="1"/>
    </row>
    <row r="5701" spans="3:6" x14ac:dyDescent="0.25">
      <c r="C5701" s="1"/>
      <c r="F5701" s="1"/>
    </row>
    <row r="5702" spans="3:6" x14ac:dyDescent="0.25">
      <c r="C5702" s="1"/>
      <c r="F5702" s="1"/>
    </row>
    <row r="5703" spans="3:6" x14ac:dyDescent="0.25">
      <c r="C5703" s="1"/>
      <c r="F5703" s="1"/>
    </row>
    <row r="5704" spans="3:6" x14ac:dyDescent="0.25">
      <c r="C5704" s="1"/>
      <c r="F5704" s="1"/>
    </row>
    <row r="5705" spans="3:6" x14ac:dyDescent="0.25">
      <c r="C5705" s="1"/>
      <c r="F5705" s="1"/>
    </row>
    <row r="5706" spans="3:6" x14ac:dyDescent="0.25">
      <c r="C5706" s="1"/>
      <c r="F5706" s="1"/>
    </row>
    <row r="5707" spans="3:6" x14ac:dyDescent="0.25">
      <c r="C5707" s="1"/>
      <c r="F5707" s="1"/>
    </row>
    <row r="5708" spans="3:6" x14ac:dyDescent="0.25">
      <c r="C5708" s="1"/>
      <c r="F5708" s="1"/>
    </row>
    <row r="5709" spans="3:6" x14ac:dyDescent="0.25">
      <c r="C5709" s="1"/>
      <c r="F5709" s="1"/>
    </row>
    <row r="5710" spans="3:6" x14ac:dyDescent="0.25">
      <c r="C5710" s="1"/>
      <c r="F5710" s="1"/>
    </row>
    <row r="5711" spans="3:6" x14ac:dyDescent="0.25">
      <c r="C5711" s="1"/>
      <c r="F5711" s="1"/>
    </row>
    <row r="5712" spans="3:6" x14ac:dyDescent="0.25">
      <c r="C5712" s="1"/>
      <c r="F5712" s="1"/>
    </row>
    <row r="5713" spans="3:6" x14ac:dyDescent="0.25">
      <c r="C5713" s="1"/>
      <c r="F5713" s="1"/>
    </row>
    <row r="5714" spans="3:6" x14ac:dyDescent="0.25">
      <c r="C5714" s="1"/>
      <c r="F5714" s="1"/>
    </row>
    <row r="5715" spans="3:6" x14ac:dyDescent="0.25">
      <c r="C5715" s="1"/>
      <c r="F5715" s="1"/>
    </row>
    <row r="5716" spans="3:6" x14ac:dyDescent="0.25">
      <c r="C5716" s="1"/>
      <c r="F5716" s="1"/>
    </row>
    <row r="5717" spans="3:6" x14ac:dyDescent="0.25">
      <c r="C5717" s="1"/>
      <c r="F5717" s="1"/>
    </row>
    <row r="5718" spans="3:6" x14ac:dyDescent="0.25">
      <c r="C5718" s="1"/>
      <c r="F5718" s="1"/>
    </row>
    <row r="5719" spans="3:6" x14ac:dyDescent="0.25">
      <c r="C5719" s="1"/>
      <c r="F5719" s="1"/>
    </row>
    <row r="5720" spans="3:6" x14ac:dyDescent="0.25">
      <c r="C5720" s="1"/>
      <c r="F5720" s="1"/>
    </row>
    <row r="5721" spans="3:6" x14ac:dyDescent="0.25">
      <c r="C5721" s="1"/>
      <c r="F5721" s="1"/>
    </row>
    <row r="5722" spans="3:6" x14ac:dyDescent="0.25">
      <c r="C5722" s="1"/>
      <c r="F5722" s="1"/>
    </row>
    <row r="5723" spans="3:6" x14ac:dyDescent="0.25">
      <c r="C5723" s="1"/>
      <c r="F5723" s="1"/>
    </row>
    <row r="5724" spans="3:6" x14ac:dyDescent="0.25">
      <c r="C5724" s="1"/>
      <c r="F5724" s="1"/>
    </row>
    <row r="5725" spans="3:6" x14ac:dyDescent="0.25">
      <c r="C5725" s="1"/>
      <c r="F5725" s="1"/>
    </row>
    <row r="5726" spans="3:6" x14ac:dyDescent="0.25">
      <c r="C5726" s="1"/>
      <c r="F5726" s="1"/>
    </row>
    <row r="5727" spans="3:6" x14ac:dyDescent="0.25">
      <c r="C5727" s="1"/>
      <c r="F5727" s="1"/>
    </row>
    <row r="5728" spans="3:6" x14ac:dyDescent="0.25">
      <c r="C5728" s="1"/>
      <c r="F5728" s="1"/>
    </row>
    <row r="5729" spans="3:6" x14ac:dyDescent="0.25">
      <c r="C5729" s="1"/>
      <c r="F5729" s="1"/>
    </row>
    <row r="5730" spans="3:6" x14ac:dyDescent="0.25">
      <c r="C5730" s="1"/>
      <c r="F5730" s="1"/>
    </row>
    <row r="5731" spans="3:6" x14ac:dyDescent="0.25">
      <c r="C5731" s="1"/>
      <c r="F5731" s="1"/>
    </row>
    <row r="5732" spans="3:6" x14ac:dyDescent="0.25">
      <c r="C5732" s="1"/>
      <c r="F5732" s="1"/>
    </row>
    <row r="5733" spans="3:6" x14ac:dyDescent="0.25">
      <c r="C5733" s="1"/>
      <c r="F5733" s="1"/>
    </row>
    <row r="5734" spans="3:6" x14ac:dyDescent="0.25">
      <c r="C5734" s="1"/>
      <c r="F5734" s="1"/>
    </row>
    <row r="5735" spans="3:6" x14ac:dyDescent="0.25">
      <c r="C5735" s="1"/>
      <c r="F5735" s="1"/>
    </row>
    <row r="5736" spans="3:6" x14ac:dyDescent="0.25">
      <c r="C5736" s="1"/>
      <c r="F5736" s="1"/>
    </row>
    <row r="5737" spans="3:6" x14ac:dyDescent="0.25">
      <c r="C5737" s="1"/>
      <c r="F5737" s="1"/>
    </row>
    <row r="5738" spans="3:6" x14ac:dyDescent="0.25">
      <c r="C5738" s="1"/>
      <c r="F5738" s="1"/>
    </row>
    <row r="5739" spans="3:6" x14ac:dyDescent="0.25">
      <c r="C5739" s="1"/>
      <c r="F5739" s="1"/>
    </row>
    <row r="5740" spans="3:6" x14ac:dyDescent="0.25">
      <c r="C5740" s="1"/>
      <c r="F5740" s="1"/>
    </row>
    <row r="5741" spans="3:6" x14ac:dyDescent="0.25">
      <c r="C5741" s="1"/>
      <c r="F5741" s="1"/>
    </row>
    <row r="5742" spans="3:6" x14ac:dyDescent="0.25">
      <c r="C5742" s="1"/>
      <c r="F5742" s="1"/>
    </row>
    <row r="5743" spans="3:6" x14ac:dyDescent="0.25">
      <c r="C5743" s="1"/>
      <c r="F5743" s="1"/>
    </row>
    <row r="5744" spans="3:6" x14ac:dyDescent="0.25">
      <c r="C5744" s="1"/>
      <c r="F5744" s="1"/>
    </row>
    <row r="5745" spans="3:6" x14ac:dyDescent="0.25">
      <c r="C5745" s="1"/>
      <c r="F5745" s="1"/>
    </row>
    <row r="5746" spans="3:6" x14ac:dyDescent="0.25">
      <c r="C5746" s="1"/>
      <c r="F5746" s="1"/>
    </row>
    <row r="5747" spans="3:6" x14ac:dyDescent="0.25">
      <c r="C5747" s="1"/>
      <c r="F5747" s="1"/>
    </row>
    <row r="5748" spans="3:6" x14ac:dyDescent="0.25">
      <c r="C5748" s="1"/>
      <c r="F5748" s="1"/>
    </row>
    <row r="5749" spans="3:6" x14ac:dyDescent="0.25">
      <c r="C5749" s="1"/>
      <c r="F5749" s="1"/>
    </row>
    <row r="5750" spans="3:6" x14ac:dyDescent="0.25">
      <c r="C5750" s="1"/>
      <c r="F5750" s="1"/>
    </row>
    <row r="5751" spans="3:6" x14ac:dyDescent="0.25">
      <c r="C5751" s="1"/>
      <c r="F5751" s="1"/>
    </row>
    <row r="5752" spans="3:6" x14ac:dyDescent="0.25">
      <c r="C5752" s="1"/>
      <c r="F5752" s="1"/>
    </row>
    <row r="5753" spans="3:6" x14ac:dyDescent="0.25">
      <c r="C5753" s="1"/>
      <c r="F5753" s="1"/>
    </row>
    <row r="5754" spans="3:6" x14ac:dyDescent="0.25">
      <c r="C5754" s="1"/>
      <c r="F5754" s="1"/>
    </row>
    <row r="5755" spans="3:6" x14ac:dyDescent="0.25">
      <c r="C5755" s="1"/>
      <c r="F5755" s="1"/>
    </row>
    <row r="5756" spans="3:6" x14ac:dyDescent="0.25">
      <c r="C5756" s="1"/>
      <c r="F5756" s="1"/>
    </row>
    <row r="5757" spans="3:6" x14ac:dyDescent="0.25">
      <c r="C5757" s="1"/>
      <c r="F5757" s="1"/>
    </row>
    <row r="5758" spans="3:6" x14ac:dyDescent="0.25">
      <c r="C5758" s="1"/>
      <c r="F5758" s="1"/>
    </row>
    <row r="5759" spans="3:6" x14ac:dyDescent="0.25">
      <c r="C5759" s="1"/>
      <c r="F5759" s="1"/>
    </row>
    <row r="5760" spans="3:6" x14ac:dyDescent="0.25">
      <c r="C5760" s="1"/>
      <c r="F5760" s="1"/>
    </row>
    <row r="5761" spans="3:6" x14ac:dyDescent="0.25">
      <c r="C5761" s="1"/>
      <c r="F5761" s="1"/>
    </row>
    <row r="5762" spans="3:6" x14ac:dyDescent="0.25">
      <c r="C5762" s="1"/>
      <c r="F5762" s="1"/>
    </row>
    <row r="5763" spans="3:6" x14ac:dyDescent="0.25">
      <c r="C5763" s="1"/>
      <c r="F5763" s="1"/>
    </row>
    <row r="5764" spans="3:6" x14ac:dyDescent="0.25">
      <c r="C5764" s="1"/>
      <c r="F5764" s="1"/>
    </row>
    <row r="5765" spans="3:6" x14ac:dyDescent="0.25">
      <c r="C5765" s="1"/>
      <c r="F5765" s="1"/>
    </row>
    <row r="5766" spans="3:6" x14ac:dyDescent="0.25">
      <c r="C5766" s="1"/>
      <c r="F5766" s="1"/>
    </row>
    <row r="5767" spans="3:6" x14ac:dyDescent="0.25">
      <c r="C5767" s="1"/>
      <c r="F5767" s="1"/>
    </row>
    <row r="5768" spans="3:6" x14ac:dyDescent="0.25">
      <c r="C5768" s="1"/>
      <c r="F5768" s="1"/>
    </row>
    <row r="5769" spans="3:6" x14ac:dyDescent="0.25">
      <c r="C5769" s="1"/>
      <c r="F5769" s="1"/>
    </row>
    <row r="5770" spans="3:6" x14ac:dyDescent="0.25">
      <c r="C5770" s="1"/>
      <c r="F5770" s="1"/>
    </row>
    <row r="5771" spans="3:6" x14ac:dyDescent="0.25">
      <c r="C5771" s="1"/>
      <c r="F5771" s="1"/>
    </row>
    <row r="5772" spans="3:6" x14ac:dyDescent="0.25">
      <c r="C5772" s="1"/>
      <c r="F5772" s="1"/>
    </row>
    <row r="5773" spans="3:6" x14ac:dyDescent="0.25">
      <c r="C5773" s="1"/>
      <c r="F5773" s="1"/>
    </row>
    <row r="5774" spans="3:6" x14ac:dyDescent="0.25">
      <c r="C5774" s="1"/>
      <c r="F5774" s="1"/>
    </row>
    <row r="5775" spans="3:6" x14ac:dyDescent="0.25">
      <c r="C5775" s="1"/>
      <c r="F5775" s="1"/>
    </row>
    <row r="5776" spans="3:6" x14ac:dyDescent="0.25">
      <c r="C5776" s="1"/>
      <c r="F5776" s="1"/>
    </row>
    <row r="5777" spans="3:6" x14ac:dyDescent="0.25">
      <c r="C5777" s="1"/>
      <c r="F5777" s="1"/>
    </row>
    <row r="5778" spans="3:6" x14ac:dyDescent="0.25">
      <c r="C5778" s="1"/>
      <c r="F5778" s="1"/>
    </row>
    <row r="5779" spans="3:6" x14ac:dyDescent="0.25">
      <c r="C5779" s="1"/>
      <c r="F5779" s="1"/>
    </row>
    <row r="5780" spans="3:6" x14ac:dyDescent="0.25">
      <c r="C5780" s="1"/>
      <c r="F5780" s="1"/>
    </row>
    <row r="5781" spans="3:6" x14ac:dyDescent="0.25">
      <c r="C5781" s="1"/>
      <c r="F5781" s="1"/>
    </row>
    <row r="5782" spans="3:6" x14ac:dyDescent="0.25">
      <c r="C5782" s="1"/>
      <c r="F5782" s="1"/>
    </row>
    <row r="5783" spans="3:6" x14ac:dyDescent="0.25">
      <c r="C5783" s="1"/>
      <c r="F5783" s="1"/>
    </row>
    <row r="5784" spans="3:6" x14ac:dyDescent="0.25">
      <c r="C5784" s="1"/>
      <c r="F5784" s="1"/>
    </row>
    <row r="5785" spans="3:6" x14ac:dyDescent="0.25">
      <c r="C5785" s="1"/>
      <c r="F5785" s="1"/>
    </row>
    <row r="5786" spans="3:6" x14ac:dyDescent="0.25">
      <c r="C5786" s="1"/>
      <c r="F5786" s="1"/>
    </row>
    <row r="5787" spans="3:6" x14ac:dyDescent="0.25">
      <c r="C5787" s="1"/>
      <c r="F5787" s="1"/>
    </row>
    <row r="5788" spans="3:6" x14ac:dyDescent="0.25">
      <c r="C5788" s="1"/>
      <c r="F5788" s="1"/>
    </row>
    <row r="5789" spans="3:6" x14ac:dyDescent="0.25">
      <c r="C5789" s="1"/>
      <c r="F5789" s="1"/>
    </row>
    <row r="5790" spans="3:6" x14ac:dyDescent="0.25">
      <c r="C5790" s="1"/>
      <c r="F5790" s="1"/>
    </row>
    <row r="5791" spans="3:6" x14ac:dyDescent="0.25">
      <c r="C5791" s="1"/>
      <c r="F5791" s="1"/>
    </row>
    <row r="5792" spans="3:6" x14ac:dyDescent="0.25">
      <c r="C5792" s="1"/>
      <c r="F5792" s="1"/>
    </row>
    <row r="5793" spans="3:6" x14ac:dyDescent="0.25">
      <c r="C5793" s="1"/>
      <c r="F5793" s="1"/>
    </row>
    <row r="5794" spans="3:6" x14ac:dyDescent="0.25">
      <c r="C5794" s="1"/>
      <c r="F5794" s="1"/>
    </row>
    <row r="5795" spans="3:6" x14ac:dyDescent="0.25">
      <c r="C5795" s="1"/>
      <c r="F5795" s="1"/>
    </row>
    <row r="5796" spans="3:6" x14ac:dyDescent="0.25">
      <c r="C5796" s="1"/>
      <c r="F5796" s="1"/>
    </row>
    <row r="5797" spans="3:6" x14ac:dyDescent="0.25">
      <c r="C5797" s="1"/>
      <c r="F5797" s="1"/>
    </row>
    <row r="5798" spans="3:6" x14ac:dyDescent="0.25">
      <c r="C5798" s="1"/>
      <c r="F5798" s="1"/>
    </row>
    <row r="5799" spans="3:6" x14ac:dyDescent="0.25">
      <c r="C5799" s="1"/>
      <c r="F5799" s="1"/>
    </row>
    <row r="5800" spans="3:6" x14ac:dyDescent="0.25">
      <c r="C5800" s="1"/>
      <c r="F5800" s="1"/>
    </row>
    <row r="5801" spans="3:6" x14ac:dyDescent="0.25">
      <c r="C5801" s="1"/>
      <c r="F5801" s="1"/>
    </row>
    <row r="5802" spans="3:6" x14ac:dyDescent="0.25">
      <c r="C5802" s="1"/>
      <c r="F5802" s="1"/>
    </row>
    <row r="5803" spans="3:6" x14ac:dyDescent="0.25">
      <c r="C5803" s="1"/>
      <c r="F5803" s="1"/>
    </row>
    <row r="5804" spans="3:6" x14ac:dyDescent="0.25">
      <c r="C5804" s="1"/>
      <c r="F5804" s="1"/>
    </row>
    <row r="5805" spans="3:6" x14ac:dyDescent="0.25">
      <c r="C5805" s="1"/>
      <c r="F5805" s="1"/>
    </row>
    <row r="5806" spans="3:6" x14ac:dyDescent="0.25">
      <c r="C5806" s="1"/>
      <c r="F5806" s="1"/>
    </row>
    <row r="5807" spans="3:6" x14ac:dyDescent="0.25">
      <c r="C5807" s="1"/>
      <c r="F5807" s="1"/>
    </row>
    <row r="5808" spans="3:6" x14ac:dyDescent="0.25">
      <c r="C5808" s="1"/>
      <c r="F5808" s="1"/>
    </row>
    <row r="5809" spans="3:6" x14ac:dyDescent="0.25">
      <c r="C5809" s="1"/>
      <c r="F5809" s="1"/>
    </row>
    <row r="5810" spans="3:6" x14ac:dyDescent="0.25">
      <c r="C5810" s="1"/>
      <c r="F5810" s="1"/>
    </row>
    <row r="5811" spans="3:6" x14ac:dyDescent="0.25">
      <c r="C5811" s="1"/>
      <c r="F5811" s="1"/>
    </row>
    <row r="5812" spans="3:6" x14ac:dyDescent="0.25">
      <c r="C5812" s="1"/>
      <c r="F5812" s="1"/>
    </row>
    <row r="5813" spans="3:6" x14ac:dyDescent="0.25">
      <c r="C5813" s="1"/>
      <c r="F5813" s="1"/>
    </row>
    <row r="5814" spans="3:6" x14ac:dyDescent="0.25">
      <c r="C5814" s="1"/>
      <c r="F5814" s="1"/>
    </row>
    <row r="5815" spans="3:6" x14ac:dyDescent="0.25">
      <c r="C5815" s="1"/>
      <c r="F5815" s="1"/>
    </row>
    <row r="5816" spans="3:6" x14ac:dyDescent="0.25">
      <c r="C5816" s="1"/>
      <c r="F5816" s="1"/>
    </row>
    <row r="5817" spans="3:6" x14ac:dyDescent="0.25">
      <c r="C5817" s="1"/>
      <c r="F5817" s="1"/>
    </row>
    <row r="5818" spans="3:6" x14ac:dyDescent="0.25">
      <c r="C5818" s="1"/>
      <c r="F5818" s="1"/>
    </row>
    <row r="5819" spans="3:6" x14ac:dyDescent="0.25">
      <c r="C5819" s="1"/>
      <c r="F5819" s="1"/>
    </row>
    <row r="5820" spans="3:6" x14ac:dyDescent="0.25">
      <c r="C5820" s="1"/>
      <c r="F5820" s="1"/>
    </row>
    <row r="5821" spans="3:6" x14ac:dyDescent="0.25">
      <c r="C5821" s="1"/>
      <c r="F5821" s="1"/>
    </row>
    <row r="5822" spans="3:6" x14ac:dyDescent="0.25">
      <c r="C5822" s="1"/>
      <c r="F5822" s="1"/>
    </row>
    <row r="5823" spans="3:6" x14ac:dyDescent="0.25">
      <c r="C5823" s="1"/>
      <c r="F5823" s="1"/>
    </row>
    <row r="5824" spans="3:6" x14ac:dyDescent="0.25">
      <c r="C5824" s="1"/>
      <c r="F5824" s="1"/>
    </row>
    <row r="5825" spans="3:6" x14ac:dyDescent="0.25">
      <c r="C5825" s="1"/>
      <c r="F5825" s="1"/>
    </row>
    <row r="5826" spans="3:6" x14ac:dyDescent="0.25">
      <c r="C5826" s="1"/>
      <c r="F5826" s="1"/>
    </row>
    <row r="5827" spans="3:6" x14ac:dyDescent="0.25">
      <c r="C5827" s="1"/>
      <c r="F5827" s="1"/>
    </row>
    <row r="5828" spans="3:6" x14ac:dyDescent="0.25">
      <c r="C5828" s="1"/>
      <c r="F5828" s="1"/>
    </row>
    <row r="5829" spans="3:6" x14ac:dyDescent="0.25">
      <c r="C5829" s="1"/>
      <c r="F5829" s="1"/>
    </row>
    <row r="5830" spans="3:6" x14ac:dyDescent="0.25">
      <c r="C5830" s="1"/>
      <c r="F5830" s="1"/>
    </row>
    <row r="5831" spans="3:6" x14ac:dyDescent="0.25">
      <c r="C5831" s="1"/>
      <c r="F5831" s="1"/>
    </row>
    <row r="5832" spans="3:6" x14ac:dyDescent="0.25">
      <c r="C5832" s="1"/>
      <c r="F5832" s="1"/>
    </row>
    <row r="5833" spans="3:6" x14ac:dyDescent="0.25">
      <c r="C5833" s="1"/>
      <c r="F5833" s="1"/>
    </row>
    <row r="5834" spans="3:6" x14ac:dyDescent="0.25">
      <c r="C5834" s="1"/>
      <c r="F5834" s="1"/>
    </row>
    <row r="5835" spans="3:6" x14ac:dyDescent="0.25">
      <c r="C5835" s="1"/>
      <c r="F5835" s="1"/>
    </row>
    <row r="5836" spans="3:6" x14ac:dyDescent="0.25">
      <c r="C5836" s="1"/>
      <c r="F5836" s="1"/>
    </row>
    <row r="5837" spans="3:6" x14ac:dyDescent="0.25">
      <c r="C5837" s="1"/>
      <c r="F5837" s="1"/>
    </row>
    <row r="5838" spans="3:6" x14ac:dyDescent="0.25">
      <c r="C5838" s="1"/>
      <c r="F5838" s="1"/>
    </row>
    <row r="5839" spans="3:6" x14ac:dyDescent="0.25">
      <c r="C5839" s="1"/>
      <c r="F5839" s="1"/>
    </row>
    <row r="5840" spans="3:6" x14ac:dyDescent="0.25">
      <c r="C5840" s="1"/>
      <c r="F5840" s="1"/>
    </row>
    <row r="5841" spans="3:6" x14ac:dyDescent="0.25">
      <c r="C5841" s="1"/>
      <c r="F5841" s="1"/>
    </row>
    <row r="5842" spans="3:6" x14ac:dyDescent="0.25">
      <c r="C5842" s="1"/>
      <c r="F5842" s="1"/>
    </row>
    <row r="5843" spans="3:6" x14ac:dyDescent="0.25">
      <c r="C5843" s="1"/>
      <c r="F5843" s="1"/>
    </row>
    <row r="5844" spans="3:6" x14ac:dyDescent="0.25">
      <c r="C5844" s="1"/>
      <c r="F5844" s="1"/>
    </row>
    <row r="5845" spans="3:6" x14ac:dyDescent="0.25">
      <c r="C5845" s="1"/>
      <c r="F5845" s="1"/>
    </row>
    <row r="5846" spans="3:6" x14ac:dyDescent="0.25">
      <c r="C5846" s="1"/>
      <c r="F5846" s="1"/>
    </row>
    <row r="5847" spans="3:6" x14ac:dyDescent="0.25">
      <c r="C5847" s="1"/>
      <c r="F5847" s="1"/>
    </row>
    <row r="5848" spans="3:6" x14ac:dyDescent="0.25">
      <c r="C5848" s="1"/>
      <c r="F5848" s="1"/>
    </row>
    <row r="5849" spans="3:6" x14ac:dyDescent="0.25">
      <c r="C5849" s="1"/>
      <c r="F5849" s="1"/>
    </row>
    <row r="5850" spans="3:6" x14ac:dyDescent="0.25">
      <c r="C5850" s="1"/>
      <c r="F5850" s="1"/>
    </row>
    <row r="5851" spans="3:6" x14ac:dyDescent="0.25">
      <c r="C5851" s="1"/>
      <c r="F5851" s="1"/>
    </row>
    <row r="5852" spans="3:6" x14ac:dyDescent="0.25">
      <c r="C5852" s="1"/>
      <c r="F5852" s="1"/>
    </row>
    <row r="5853" spans="3:6" x14ac:dyDescent="0.25">
      <c r="C5853" s="1"/>
      <c r="F5853" s="1"/>
    </row>
    <row r="5854" spans="3:6" x14ac:dyDescent="0.25">
      <c r="C5854" s="1"/>
      <c r="F5854" s="1"/>
    </row>
    <row r="5855" spans="3:6" x14ac:dyDescent="0.25">
      <c r="C5855" s="1"/>
      <c r="F5855" s="1"/>
    </row>
    <row r="5856" spans="3:6" x14ac:dyDescent="0.25">
      <c r="C5856" s="1"/>
      <c r="F5856" s="1"/>
    </row>
    <row r="5857" spans="3:6" x14ac:dyDescent="0.25">
      <c r="C5857" s="1"/>
      <c r="F5857" s="1"/>
    </row>
    <row r="5858" spans="3:6" x14ac:dyDescent="0.25">
      <c r="C5858" s="1"/>
      <c r="F5858" s="1"/>
    </row>
    <row r="5859" spans="3:6" x14ac:dyDescent="0.25">
      <c r="C5859" s="1"/>
      <c r="F5859" s="1"/>
    </row>
    <row r="5860" spans="3:6" x14ac:dyDescent="0.25">
      <c r="C5860" s="1"/>
      <c r="F5860" s="1"/>
    </row>
    <row r="5861" spans="3:6" x14ac:dyDescent="0.25">
      <c r="C5861" s="1"/>
      <c r="F5861" s="1"/>
    </row>
    <row r="5862" spans="3:6" x14ac:dyDescent="0.25">
      <c r="C5862" s="1"/>
      <c r="F5862" s="1"/>
    </row>
    <row r="5863" spans="3:6" x14ac:dyDescent="0.25">
      <c r="C5863" s="1"/>
      <c r="F5863" s="1"/>
    </row>
    <row r="5864" spans="3:6" x14ac:dyDescent="0.25">
      <c r="C5864" s="1"/>
      <c r="F5864" s="1"/>
    </row>
    <row r="5865" spans="3:6" x14ac:dyDescent="0.25">
      <c r="C5865" s="1"/>
      <c r="F5865" s="1"/>
    </row>
    <row r="5866" spans="3:6" x14ac:dyDescent="0.25">
      <c r="C5866" s="1"/>
      <c r="F5866" s="1"/>
    </row>
    <row r="5867" spans="3:6" x14ac:dyDescent="0.25">
      <c r="C5867" s="1"/>
      <c r="F5867" s="1"/>
    </row>
    <row r="5868" spans="3:6" x14ac:dyDescent="0.25">
      <c r="C5868" s="1"/>
      <c r="F5868" s="1"/>
    </row>
    <row r="5869" spans="3:6" x14ac:dyDescent="0.25">
      <c r="C5869" s="1"/>
      <c r="F5869" s="1"/>
    </row>
    <row r="5870" spans="3:6" x14ac:dyDescent="0.25">
      <c r="C5870" s="1"/>
      <c r="F5870" s="1"/>
    </row>
    <row r="5871" spans="3:6" x14ac:dyDescent="0.25">
      <c r="C5871" s="1"/>
      <c r="F5871" s="1"/>
    </row>
    <row r="5872" spans="3:6" x14ac:dyDescent="0.25">
      <c r="C5872" s="1"/>
      <c r="F5872" s="1"/>
    </row>
    <row r="5873" spans="3:6" x14ac:dyDescent="0.25">
      <c r="C5873" s="1"/>
      <c r="F5873" s="1"/>
    </row>
    <row r="5874" spans="3:6" x14ac:dyDescent="0.25">
      <c r="C5874" s="1"/>
      <c r="F5874" s="1"/>
    </row>
    <row r="5875" spans="3:6" x14ac:dyDescent="0.25">
      <c r="C5875" s="1"/>
      <c r="F5875" s="1"/>
    </row>
    <row r="5876" spans="3:6" x14ac:dyDescent="0.25">
      <c r="C5876" s="1"/>
      <c r="F5876" s="1"/>
    </row>
    <row r="5877" spans="3:6" x14ac:dyDescent="0.25">
      <c r="C5877" s="1"/>
      <c r="F5877" s="1"/>
    </row>
    <row r="5878" spans="3:6" x14ac:dyDescent="0.25">
      <c r="C5878" s="1"/>
      <c r="F5878" s="1"/>
    </row>
    <row r="5879" spans="3:6" x14ac:dyDescent="0.25">
      <c r="C5879" s="1"/>
      <c r="F5879" s="1"/>
    </row>
    <row r="5880" spans="3:6" x14ac:dyDescent="0.25">
      <c r="C5880" s="1"/>
      <c r="F5880" s="1"/>
    </row>
    <row r="5881" spans="3:6" x14ac:dyDescent="0.25">
      <c r="C5881" s="1"/>
      <c r="F5881" s="1"/>
    </row>
    <row r="5882" spans="3:6" x14ac:dyDescent="0.25">
      <c r="C5882" s="1"/>
      <c r="F5882" s="1"/>
    </row>
    <row r="5883" spans="3:6" x14ac:dyDescent="0.25">
      <c r="C5883" s="1"/>
      <c r="F5883" s="1"/>
    </row>
    <row r="5884" spans="3:6" x14ac:dyDescent="0.25">
      <c r="C5884" s="1"/>
      <c r="F5884" s="1"/>
    </row>
    <row r="5885" spans="3:6" x14ac:dyDescent="0.25">
      <c r="C5885" s="1"/>
      <c r="F5885" s="1"/>
    </row>
    <row r="5886" spans="3:6" x14ac:dyDescent="0.25">
      <c r="C5886" s="1"/>
      <c r="F5886" s="1"/>
    </row>
    <row r="5887" spans="3:6" x14ac:dyDescent="0.25">
      <c r="C5887" s="1"/>
      <c r="F5887" s="1"/>
    </row>
    <row r="5888" spans="3:6" x14ac:dyDescent="0.25">
      <c r="C5888" s="1"/>
      <c r="F5888" s="1"/>
    </row>
    <row r="5889" spans="3:6" x14ac:dyDescent="0.25">
      <c r="C5889" s="1"/>
      <c r="F5889" s="1"/>
    </row>
    <row r="5890" spans="3:6" x14ac:dyDescent="0.25">
      <c r="C5890" s="1"/>
      <c r="F5890" s="1"/>
    </row>
    <row r="5891" spans="3:6" x14ac:dyDescent="0.25">
      <c r="C5891" s="1"/>
      <c r="F5891" s="1"/>
    </row>
    <row r="5892" spans="3:6" x14ac:dyDescent="0.25">
      <c r="C5892" s="1"/>
      <c r="F5892" s="1"/>
    </row>
    <row r="5893" spans="3:6" x14ac:dyDescent="0.25">
      <c r="C5893" s="1"/>
      <c r="F5893" s="1"/>
    </row>
    <row r="5894" spans="3:6" x14ac:dyDescent="0.25">
      <c r="C5894" s="1"/>
      <c r="F5894" s="1"/>
    </row>
    <row r="5895" spans="3:6" x14ac:dyDescent="0.25">
      <c r="C5895" s="1"/>
      <c r="F5895" s="1"/>
    </row>
    <row r="5896" spans="3:6" x14ac:dyDescent="0.25">
      <c r="C5896" s="1"/>
      <c r="F5896" s="1"/>
    </row>
    <row r="5897" spans="3:6" x14ac:dyDescent="0.25">
      <c r="C5897" s="1"/>
      <c r="F5897" s="1"/>
    </row>
    <row r="5898" spans="3:6" x14ac:dyDescent="0.25">
      <c r="C5898" s="1"/>
      <c r="F5898" s="1"/>
    </row>
    <row r="5899" spans="3:6" x14ac:dyDescent="0.25">
      <c r="C5899" s="1"/>
      <c r="F5899" s="1"/>
    </row>
    <row r="5900" spans="3:6" x14ac:dyDescent="0.25">
      <c r="C5900" s="1"/>
      <c r="F5900" s="1"/>
    </row>
    <row r="5901" spans="3:6" x14ac:dyDescent="0.25">
      <c r="C5901" s="1"/>
      <c r="F5901" s="1"/>
    </row>
    <row r="5902" spans="3:6" x14ac:dyDescent="0.25">
      <c r="C5902" s="1"/>
      <c r="F5902" s="1"/>
    </row>
    <row r="5903" spans="3:6" x14ac:dyDescent="0.25">
      <c r="C5903" s="1"/>
      <c r="F5903" s="1"/>
    </row>
    <row r="5904" spans="3:6" x14ac:dyDescent="0.25">
      <c r="C5904" s="1"/>
      <c r="F5904" s="1"/>
    </row>
    <row r="5905" spans="3:6" x14ac:dyDescent="0.25">
      <c r="C5905" s="1"/>
      <c r="F5905" s="1"/>
    </row>
    <row r="5906" spans="3:6" x14ac:dyDescent="0.25">
      <c r="C5906" s="1"/>
      <c r="F5906" s="1"/>
    </row>
    <row r="5907" spans="3:6" x14ac:dyDescent="0.25">
      <c r="C5907" s="1"/>
      <c r="F5907" s="1"/>
    </row>
    <row r="5908" spans="3:6" x14ac:dyDescent="0.25">
      <c r="C5908" s="1"/>
      <c r="F5908" s="1"/>
    </row>
    <row r="5909" spans="3:6" x14ac:dyDescent="0.25">
      <c r="C5909" s="1"/>
      <c r="F5909" s="1"/>
    </row>
    <row r="5910" spans="3:6" x14ac:dyDescent="0.25">
      <c r="C5910" s="1"/>
      <c r="F5910" s="1"/>
    </row>
    <row r="5911" spans="3:6" x14ac:dyDescent="0.25">
      <c r="C5911" s="1"/>
      <c r="F5911" s="1"/>
    </row>
    <row r="5912" spans="3:6" x14ac:dyDescent="0.25">
      <c r="C5912" s="1"/>
      <c r="F5912" s="1"/>
    </row>
    <row r="5913" spans="3:6" x14ac:dyDescent="0.25">
      <c r="C5913" s="1"/>
      <c r="F5913" s="1"/>
    </row>
    <row r="5914" spans="3:6" x14ac:dyDescent="0.25">
      <c r="C5914" s="1"/>
      <c r="F5914" s="1"/>
    </row>
    <row r="5915" spans="3:6" x14ac:dyDescent="0.25">
      <c r="C5915" s="1"/>
      <c r="F5915" s="1"/>
    </row>
    <row r="5916" spans="3:6" x14ac:dyDescent="0.25">
      <c r="C5916" s="1"/>
      <c r="F5916" s="1"/>
    </row>
    <row r="5917" spans="3:6" x14ac:dyDescent="0.25">
      <c r="C5917" s="1"/>
      <c r="F5917" s="1"/>
    </row>
    <row r="5918" spans="3:6" x14ac:dyDescent="0.25">
      <c r="C5918" s="1"/>
      <c r="F5918" s="1"/>
    </row>
    <row r="5919" spans="3:6" x14ac:dyDescent="0.25">
      <c r="C5919" s="1"/>
      <c r="F5919" s="1"/>
    </row>
    <row r="5920" spans="3:6" x14ac:dyDescent="0.25">
      <c r="C5920" s="1"/>
      <c r="F5920" s="1"/>
    </row>
    <row r="5921" spans="3:6" x14ac:dyDescent="0.25">
      <c r="C5921" s="1"/>
      <c r="F5921" s="1"/>
    </row>
    <row r="5922" spans="3:6" x14ac:dyDescent="0.25">
      <c r="C5922" s="1"/>
      <c r="F5922" s="1"/>
    </row>
    <row r="5923" spans="3:6" x14ac:dyDescent="0.25">
      <c r="C5923" s="1"/>
      <c r="F5923" s="1"/>
    </row>
    <row r="5924" spans="3:6" x14ac:dyDescent="0.25">
      <c r="C5924" s="1"/>
      <c r="F5924" s="1"/>
    </row>
    <row r="5925" spans="3:6" x14ac:dyDescent="0.25">
      <c r="C5925" s="1"/>
      <c r="F5925" s="1"/>
    </row>
    <row r="5926" spans="3:6" x14ac:dyDescent="0.25">
      <c r="C5926" s="1"/>
      <c r="F5926" s="1"/>
    </row>
    <row r="5927" spans="3:6" x14ac:dyDescent="0.25">
      <c r="C5927" s="1"/>
      <c r="F5927" s="1"/>
    </row>
    <row r="5928" spans="3:6" x14ac:dyDescent="0.25">
      <c r="C5928" s="1"/>
      <c r="F5928" s="1"/>
    </row>
    <row r="5929" spans="3:6" x14ac:dyDescent="0.25">
      <c r="C5929" s="1"/>
      <c r="F5929" s="1"/>
    </row>
    <row r="5930" spans="3:6" x14ac:dyDescent="0.25">
      <c r="C5930" s="1"/>
      <c r="F5930" s="1"/>
    </row>
    <row r="5931" spans="3:6" x14ac:dyDescent="0.25">
      <c r="C5931" s="1"/>
      <c r="F5931" s="1"/>
    </row>
    <row r="5932" spans="3:6" x14ac:dyDescent="0.25">
      <c r="C5932" s="1"/>
      <c r="F5932" s="1"/>
    </row>
    <row r="5933" spans="3:6" x14ac:dyDescent="0.25">
      <c r="C5933" s="1"/>
      <c r="F5933" s="1"/>
    </row>
    <row r="5934" spans="3:6" x14ac:dyDescent="0.25">
      <c r="C5934" s="1"/>
      <c r="F5934" s="1"/>
    </row>
    <row r="5935" spans="3:6" x14ac:dyDescent="0.25">
      <c r="C5935" s="1"/>
      <c r="F5935" s="1"/>
    </row>
    <row r="5936" spans="3:6" x14ac:dyDescent="0.25">
      <c r="C5936" s="1"/>
      <c r="F5936" s="1"/>
    </row>
    <row r="5937" spans="3:6" x14ac:dyDescent="0.25">
      <c r="C5937" s="1"/>
      <c r="F5937" s="1"/>
    </row>
    <row r="5938" spans="3:6" x14ac:dyDescent="0.25">
      <c r="C5938" s="1"/>
      <c r="F5938" s="1"/>
    </row>
    <row r="5939" spans="3:6" x14ac:dyDescent="0.25">
      <c r="C5939" s="1"/>
      <c r="F5939" s="1"/>
    </row>
    <row r="5940" spans="3:6" x14ac:dyDescent="0.25">
      <c r="C5940" s="1"/>
      <c r="F5940" s="1"/>
    </row>
    <row r="5941" spans="3:6" x14ac:dyDescent="0.25">
      <c r="C5941" s="1"/>
      <c r="F5941" s="1"/>
    </row>
    <row r="5942" spans="3:6" x14ac:dyDescent="0.25">
      <c r="C5942" s="1"/>
      <c r="F5942" s="1"/>
    </row>
    <row r="5943" spans="3:6" x14ac:dyDescent="0.25">
      <c r="C5943" s="1"/>
      <c r="F5943" s="1"/>
    </row>
    <row r="5944" spans="3:6" x14ac:dyDescent="0.25">
      <c r="C5944" s="1"/>
      <c r="F5944" s="1"/>
    </row>
    <row r="5945" spans="3:6" x14ac:dyDescent="0.25">
      <c r="C5945" s="1"/>
      <c r="F5945" s="1"/>
    </row>
    <row r="5946" spans="3:6" x14ac:dyDescent="0.25">
      <c r="C5946" s="1"/>
      <c r="F5946" s="1"/>
    </row>
    <row r="5947" spans="3:6" x14ac:dyDescent="0.25">
      <c r="C5947" s="1"/>
      <c r="F5947" s="1"/>
    </row>
    <row r="5948" spans="3:6" x14ac:dyDescent="0.25">
      <c r="C5948" s="1"/>
      <c r="F5948" s="1"/>
    </row>
    <row r="5949" spans="3:6" x14ac:dyDescent="0.25">
      <c r="C5949" s="1"/>
      <c r="F5949" s="1"/>
    </row>
    <row r="5950" spans="3:6" x14ac:dyDescent="0.25">
      <c r="C5950" s="1"/>
      <c r="F5950" s="1"/>
    </row>
    <row r="5951" spans="3:6" x14ac:dyDescent="0.25">
      <c r="C5951" s="1"/>
      <c r="F5951" s="1"/>
    </row>
    <row r="5952" spans="3:6" x14ac:dyDescent="0.25">
      <c r="C5952" s="1"/>
      <c r="F5952" s="1"/>
    </row>
    <row r="5953" spans="3:6" x14ac:dyDescent="0.25">
      <c r="C5953" s="1"/>
      <c r="F5953" s="1"/>
    </row>
    <row r="5954" spans="3:6" x14ac:dyDescent="0.25">
      <c r="C5954" s="1"/>
      <c r="F5954" s="1"/>
    </row>
    <row r="5955" spans="3:6" x14ac:dyDescent="0.25">
      <c r="C5955" s="1"/>
      <c r="F5955" s="1"/>
    </row>
    <row r="5956" spans="3:6" x14ac:dyDescent="0.25">
      <c r="C5956" s="1"/>
      <c r="F5956" s="1"/>
    </row>
    <row r="5957" spans="3:6" x14ac:dyDescent="0.25">
      <c r="C5957" s="1"/>
      <c r="F5957" s="1"/>
    </row>
    <row r="5958" spans="3:6" x14ac:dyDescent="0.25">
      <c r="C5958" s="1"/>
      <c r="F5958" s="1"/>
    </row>
    <row r="5959" spans="3:6" x14ac:dyDescent="0.25">
      <c r="C5959" s="1"/>
      <c r="F5959" s="1"/>
    </row>
    <row r="5960" spans="3:6" x14ac:dyDescent="0.25">
      <c r="C5960" s="1"/>
      <c r="F5960" s="1"/>
    </row>
    <row r="5961" spans="3:6" x14ac:dyDescent="0.25">
      <c r="C5961" s="1"/>
      <c r="F5961" s="1"/>
    </row>
    <row r="5962" spans="3:6" x14ac:dyDescent="0.25">
      <c r="C5962" s="1"/>
      <c r="F5962" s="1"/>
    </row>
    <row r="5963" spans="3:6" x14ac:dyDescent="0.25">
      <c r="C5963" s="1"/>
      <c r="F5963" s="1"/>
    </row>
    <row r="5964" spans="3:6" x14ac:dyDescent="0.25">
      <c r="C5964" s="1"/>
      <c r="F5964" s="1"/>
    </row>
    <row r="5965" spans="3:6" x14ac:dyDescent="0.25">
      <c r="C5965" s="1"/>
      <c r="F5965" s="1"/>
    </row>
    <row r="5966" spans="3:6" x14ac:dyDescent="0.25">
      <c r="C5966" s="1"/>
      <c r="F5966" s="1"/>
    </row>
    <row r="5967" spans="3:6" x14ac:dyDescent="0.25">
      <c r="C5967" s="1"/>
      <c r="F5967" s="1"/>
    </row>
    <row r="5968" spans="3:6" x14ac:dyDescent="0.25">
      <c r="C5968" s="1"/>
      <c r="F5968" s="1"/>
    </row>
    <row r="5969" spans="3:6" x14ac:dyDescent="0.25">
      <c r="C5969" s="1"/>
      <c r="F5969" s="1"/>
    </row>
    <row r="5970" spans="3:6" x14ac:dyDescent="0.25">
      <c r="C5970" s="1"/>
      <c r="F5970" s="1"/>
    </row>
    <row r="5971" spans="3:6" x14ac:dyDescent="0.25">
      <c r="C5971" s="1"/>
      <c r="F5971" s="1"/>
    </row>
    <row r="5972" spans="3:6" x14ac:dyDescent="0.25">
      <c r="C5972" s="1"/>
      <c r="F5972" s="1"/>
    </row>
    <row r="5973" spans="3:6" x14ac:dyDescent="0.25">
      <c r="C5973" s="1"/>
      <c r="F5973" s="1"/>
    </row>
    <row r="5974" spans="3:6" x14ac:dyDescent="0.25">
      <c r="C5974" s="1"/>
      <c r="F5974" s="1"/>
    </row>
    <row r="5975" spans="3:6" x14ac:dyDescent="0.25">
      <c r="C5975" s="1"/>
      <c r="F5975" s="1"/>
    </row>
    <row r="5976" spans="3:6" x14ac:dyDescent="0.25">
      <c r="C5976" s="1"/>
      <c r="F5976" s="1"/>
    </row>
    <row r="5977" spans="3:6" x14ac:dyDescent="0.25">
      <c r="C5977" s="1"/>
      <c r="F5977" s="1"/>
    </row>
    <row r="5978" spans="3:6" x14ac:dyDescent="0.25">
      <c r="C5978" s="1"/>
      <c r="F5978" s="1"/>
    </row>
    <row r="5979" spans="3:6" x14ac:dyDescent="0.25">
      <c r="C5979" s="1"/>
      <c r="F5979" s="1"/>
    </row>
    <row r="5980" spans="3:6" x14ac:dyDescent="0.25">
      <c r="C5980" s="1"/>
      <c r="F5980" s="1"/>
    </row>
    <row r="5981" spans="3:6" x14ac:dyDescent="0.25">
      <c r="C5981" s="1"/>
      <c r="F5981" s="1"/>
    </row>
    <row r="5982" spans="3:6" x14ac:dyDescent="0.25">
      <c r="C5982" s="1"/>
      <c r="F5982" s="1"/>
    </row>
    <row r="5983" spans="3:6" x14ac:dyDescent="0.25">
      <c r="C5983" s="1"/>
      <c r="F5983" s="1"/>
    </row>
    <row r="5984" spans="3:6" x14ac:dyDescent="0.25">
      <c r="C5984" s="1"/>
      <c r="F5984" s="1"/>
    </row>
    <row r="5985" spans="3:6" x14ac:dyDescent="0.25">
      <c r="C5985" s="1"/>
      <c r="F5985" s="1"/>
    </row>
    <row r="5986" spans="3:6" x14ac:dyDescent="0.25">
      <c r="C5986" s="1"/>
      <c r="F5986" s="1"/>
    </row>
    <row r="5987" spans="3:6" x14ac:dyDescent="0.25">
      <c r="C5987" s="1"/>
      <c r="F5987" s="1"/>
    </row>
    <row r="5988" spans="3:6" x14ac:dyDescent="0.25">
      <c r="C5988" s="1"/>
      <c r="F5988" s="1"/>
    </row>
    <row r="5989" spans="3:6" x14ac:dyDescent="0.25">
      <c r="C5989" s="1"/>
      <c r="F5989" s="1"/>
    </row>
    <row r="5990" spans="3:6" x14ac:dyDescent="0.25">
      <c r="C5990" s="1"/>
      <c r="F5990" s="1"/>
    </row>
    <row r="5991" spans="3:6" x14ac:dyDescent="0.25">
      <c r="C5991" s="1"/>
      <c r="F5991" s="1"/>
    </row>
    <row r="5992" spans="3:6" x14ac:dyDescent="0.25">
      <c r="C5992" s="1"/>
      <c r="F5992" s="1"/>
    </row>
    <row r="5993" spans="3:6" x14ac:dyDescent="0.25">
      <c r="C5993" s="1"/>
      <c r="F5993" s="1"/>
    </row>
    <row r="5994" spans="3:6" x14ac:dyDescent="0.25">
      <c r="C5994" s="1"/>
      <c r="F5994" s="1"/>
    </row>
    <row r="5995" spans="3:6" x14ac:dyDescent="0.25">
      <c r="C5995" s="1"/>
      <c r="F5995" s="1"/>
    </row>
    <row r="5996" spans="3:6" x14ac:dyDescent="0.25">
      <c r="C5996" s="1"/>
      <c r="F5996" s="1"/>
    </row>
    <row r="5997" spans="3:6" x14ac:dyDescent="0.25">
      <c r="C5997" s="1"/>
      <c r="F5997" s="1"/>
    </row>
    <row r="5998" spans="3:6" x14ac:dyDescent="0.25">
      <c r="C5998" s="1"/>
      <c r="F5998" s="1"/>
    </row>
    <row r="5999" spans="3:6" x14ac:dyDescent="0.25">
      <c r="C5999" s="1"/>
      <c r="F5999" s="1"/>
    </row>
    <row r="6000" spans="3:6" x14ac:dyDescent="0.25">
      <c r="C6000" s="1"/>
      <c r="F6000" s="1"/>
    </row>
    <row r="6001" spans="3:6" x14ac:dyDescent="0.25">
      <c r="C6001" s="1"/>
      <c r="F6001" s="1"/>
    </row>
    <row r="6002" spans="3:6" x14ac:dyDescent="0.25">
      <c r="C6002" s="1"/>
      <c r="F6002" s="1"/>
    </row>
    <row r="6003" spans="3:6" x14ac:dyDescent="0.25">
      <c r="C6003" s="1"/>
      <c r="F6003" s="1"/>
    </row>
    <row r="6004" spans="3:6" x14ac:dyDescent="0.25">
      <c r="C6004" s="1"/>
      <c r="F6004" s="1"/>
    </row>
    <row r="6005" spans="3:6" x14ac:dyDescent="0.25">
      <c r="C6005" s="1"/>
      <c r="F6005" s="1"/>
    </row>
    <row r="6006" spans="3:6" x14ac:dyDescent="0.25">
      <c r="C6006" s="1"/>
      <c r="F6006" s="1"/>
    </row>
    <row r="6007" spans="3:6" x14ac:dyDescent="0.25">
      <c r="C6007" s="1"/>
      <c r="F6007" s="1"/>
    </row>
    <row r="6008" spans="3:6" x14ac:dyDescent="0.25">
      <c r="C6008" s="1"/>
      <c r="F6008" s="1"/>
    </row>
    <row r="6009" spans="3:6" x14ac:dyDescent="0.25">
      <c r="C6009" s="1"/>
      <c r="F6009" s="1"/>
    </row>
    <row r="6010" spans="3:6" x14ac:dyDescent="0.25">
      <c r="C6010" s="1"/>
      <c r="F6010" s="1"/>
    </row>
    <row r="6011" spans="3:6" x14ac:dyDescent="0.25">
      <c r="C6011" s="1"/>
      <c r="F6011" s="1"/>
    </row>
    <row r="6012" spans="3:6" x14ac:dyDescent="0.25">
      <c r="C6012" s="1"/>
      <c r="F6012" s="1"/>
    </row>
    <row r="6013" spans="3:6" x14ac:dyDescent="0.25">
      <c r="C6013" s="1"/>
      <c r="F6013" s="1"/>
    </row>
    <row r="6014" spans="3:6" x14ac:dyDescent="0.25">
      <c r="C6014" s="1"/>
      <c r="F6014" s="1"/>
    </row>
    <row r="6015" spans="3:6" x14ac:dyDescent="0.25">
      <c r="C6015" s="1"/>
      <c r="F6015" s="1"/>
    </row>
    <row r="6016" spans="3:6" x14ac:dyDescent="0.25">
      <c r="C6016" s="1"/>
      <c r="F6016" s="1"/>
    </row>
    <row r="6017" spans="3:6" x14ac:dyDescent="0.25">
      <c r="C6017" s="1"/>
      <c r="F6017" s="1"/>
    </row>
    <row r="6018" spans="3:6" x14ac:dyDescent="0.25">
      <c r="C6018" s="1"/>
      <c r="F6018" s="1"/>
    </row>
    <row r="6019" spans="3:6" x14ac:dyDescent="0.25">
      <c r="C6019" s="1"/>
      <c r="F6019" s="1"/>
    </row>
    <row r="6020" spans="3:6" x14ac:dyDescent="0.25">
      <c r="C6020" s="1"/>
      <c r="F6020" s="1"/>
    </row>
    <row r="6021" spans="3:6" x14ac:dyDescent="0.25">
      <c r="C6021" s="1"/>
      <c r="F6021" s="1"/>
    </row>
    <row r="6022" spans="3:6" x14ac:dyDescent="0.25">
      <c r="C6022" s="1"/>
      <c r="F6022" s="1"/>
    </row>
    <row r="6023" spans="3:6" x14ac:dyDescent="0.25">
      <c r="C6023" s="1"/>
      <c r="F6023" s="1"/>
    </row>
    <row r="6024" spans="3:6" x14ac:dyDescent="0.25">
      <c r="C6024" s="1"/>
      <c r="F6024" s="1"/>
    </row>
    <row r="6025" spans="3:6" x14ac:dyDescent="0.25">
      <c r="C6025" s="1"/>
      <c r="F6025" s="1"/>
    </row>
    <row r="6026" spans="3:6" x14ac:dyDescent="0.25">
      <c r="C6026" s="1"/>
      <c r="F6026" s="1"/>
    </row>
    <row r="6027" spans="3:6" x14ac:dyDescent="0.25">
      <c r="C6027" s="1"/>
      <c r="F6027" s="1"/>
    </row>
    <row r="6028" spans="3:6" x14ac:dyDescent="0.25">
      <c r="C6028" s="1"/>
      <c r="F6028" s="1"/>
    </row>
    <row r="6029" spans="3:6" x14ac:dyDescent="0.25">
      <c r="C6029" s="1"/>
      <c r="F6029" s="1"/>
    </row>
    <row r="6030" spans="3:6" x14ac:dyDescent="0.25">
      <c r="C6030" s="1"/>
      <c r="F6030" s="1"/>
    </row>
    <row r="6031" spans="3:6" x14ac:dyDescent="0.25">
      <c r="C6031" s="1"/>
      <c r="F6031" s="1"/>
    </row>
    <row r="6032" spans="3:6" x14ac:dyDescent="0.25">
      <c r="C6032" s="1"/>
      <c r="F6032" s="1"/>
    </row>
    <row r="6033" spans="3:6" x14ac:dyDescent="0.25">
      <c r="C6033" s="1"/>
      <c r="F6033" s="1"/>
    </row>
    <row r="6034" spans="3:6" x14ac:dyDescent="0.25">
      <c r="C6034" s="1"/>
      <c r="F6034" s="1"/>
    </row>
    <row r="6035" spans="3:6" x14ac:dyDescent="0.25">
      <c r="C6035" s="1"/>
      <c r="F6035" s="1"/>
    </row>
    <row r="6036" spans="3:6" x14ac:dyDescent="0.25">
      <c r="C6036" s="1"/>
      <c r="F6036" s="1"/>
    </row>
    <row r="6037" spans="3:6" x14ac:dyDescent="0.25">
      <c r="C6037" s="1"/>
      <c r="F6037" s="1"/>
    </row>
    <row r="6038" spans="3:6" x14ac:dyDescent="0.25">
      <c r="C6038" s="1"/>
      <c r="F6038" s="1"/>
    </row>
    <row r="6039" spans="3:6" x14ac:dyDescent="0.25">
      <c r="C6039" s="1"/>
      <c r="F6039" s="1"/>
    </row>
    <row r="6040" spans="3:6" x14ac:dyDescent="0.25">
      <c r="C6040" s="1"/>
      <c r="F6040" s="1"/>
    </row>
    <row r="6041" spans="3:6" x14ac:dyDescent="0.25">
      <c r="C6041" s="1"/>
      <c r="F6041" s="1"/>
    </row>
    <row r="6042" spans="3:6" x14ac:dyDescent="0.25">
      <c r="C6042" s="1"/>
      <c r="F6042" s="1"/>
    </row>
    <row r="6043" spans="3:6" x14ac:dyDescent="0.25">
      <c r="C6043" s="1"/>
      <c r="F6043" s="1"/>
    </row>
    <row r="6044" spans="3:6" x14ac:dyDescent="0.25">
      <c r="C6044" s="1"/>
      <c r="F6044" s="1"/>
    </row>
    <row r="6045" spans="3:6" x14ac:dyDescent="0.25">
      <c r="C6045" s="1"/>
      <c r="F6045" s="1"/>
    </row>
    <row r="6046" spans="3:6" x14ac:dyDescent="0.25">
      <c r="C6046" s="1"/>
      <c r="F6046" s="1"/>
    </row>
    <row r="6047" spans="3:6" x14ac:dyDescent="0.25">
      <c r="C6047" s="1"/>
      <c r="F6047" s="1"/>
    </row>
    <row r="6048" spans="3:6" x14ac:dyDescent="0.25">
      <c r="C6048" s="1"/>
      <c r="F6048" s="1"/>
    </row>
    <row r="6049" spans="3:6" x14ac:dyDescent="0.25">
      <c r="C6049" s="1"/>
      <c r="F6049" s="1"/>
    </row>
    <row r="6050" spans="3:6" x14ac:dyDescent="0.25">
      <c r="C6050" s="1"/>
      <c r="F6050" s="1"/>
    </row>
    <row r="6051" spans="3:6" x14ac:dyDescent="0.25">
      <c r="C6051" s="1"/>
      <c r="F6051" s="1"/>
    </row>
    <row r="6052" spans="3:6" x14ac:dyDescent="0.25">
      <c r="C6052" s="1"/>
      <c r="F6052" s="1"/>
    </row>
    <row r="6053" spans="3:6" x14ac:dyDescent="0.25">
      <c r="C6053" s="1"/>
      <c r="F6053" s="1"/>
    </row>
    <row r="6054" spans="3:6" x14ac:dyDescent="0.25">
      <c r="C6054" s="1"/>
      <c r="F6054" s="1"/>
    </row>
    <row r="6055" spans="3:6" x14ac:dyDescent="0.25">
      <c r="C6055" s="1"/>
      <c r="F6055" s="1"/>
    </row>
    <row r="6056" spans="3:6" x14ac:dyDescent="0.25">
      <c r="C6056" s="1"/>
      <c r="F6056" s="1"/>
    </row>
    <row r="6057" spans="3:6" x14ac:dyDescent="0.25">
      <c r="C6057" s="1"/>
      <c r="F6057" s="1"/>
    </row>
    <row r="6058" spans="3:6" x14ac:dyDescent="0.25">
      <c r="C6058" s="1"/>
      <c r="F6058" s="1"/>
    </row>
    <row r="6059" spans="3:6" x14ac:dyDescent="0.25">
      <c r="C6059" s="1"/>
      <c r="F6059" s="1"/>
    </row>
    <row r="6060" spans="3:6" x14ac:dyDescent="0.25">
      <c r="C6060" s="1"/>
      <c r="F6060" s="1"/>
    </row>
    <row r="6061" spans="3:6" x14ac:dyDescent="0.25">
      <c r="C6061" s="1"/>
      <c r="F6061" s="1"/>
    </row>
    <row r="6062" spans="3:6" x14ac:dyDescent="0.25">
      <c r="C6062" s="1"/>
      <c r="F6062" s="1"/>
    </row>
    <row r="6063" spans="3:6" x14ac:dyDescent="0.25">
      <c r="C6063" s="1"/>
      <c r="F6063" s="1"/>
    </row>
    <row r="6064" spans="3:6" x14ac:dyDescent="0.25">
      <c r="C6064" s="1"/>
      <c r="F6064" s="1"/>
    </row>
    <row r="6065" spans="3:6" x14ac:dyDescent="0.25">
      <c r="C6065" s="1"/>
      <c r="F6065" s="1"/>
    </row>
    <row r="6066" spans="3:6" x14ac:dyDescent="0.25">
      <c r="C6066" s="1"/>
      <c r="F6066" s="1"/>
    </row>
    <row r="6067" spans="3:6" x14ac:dyDescent="0.25">
      <c r="C6067" s="1"/>
      <c r="F6067" s="1"/>
    </row>
    <row r="6068" spans="3:6" x14ac:dyDescent="0.25">
      <c r="C6068" s="1"/>
      <c r="F6068" s="1"/>
    </row>
    <row r="6069" spans="3:6" x14ac:dyDescent="0.25">
      <c r="C6069" s="1"/>
      <c r="F6069" s="1"/>
    </row>
    <row r="6070" spans="3:6" x14ac:dyDescent="0.25">
      <c r="C6070" s="1"/>
      <c r="F6070" s="1"/>
    </row>
    <row r="6071" spans="3:6" x14ac:dyDescent="0.25">
      <c r="C6071" s="1"/>
      <c r="F6071" s="1"/>
    </row>
    <row r="6072" spans="3:6" x14ac:dyDescent="0.25">
      <c r="C6072" s="1"/>
      <c r="F6072" s="1"/>
    </row>
    <row r="6073" spans="3:6" x14ac:dyDescent="0.25">
      <c r="C6073" s="1"/>
      <c r="F6073" s="1"/>
    </row>
    <row r="6074" spans="3:6" x14ac:dyDescent="0.25">
      <c r="C6074" s="1"/>
      <c r="F6074" s="1"/>
    </row>
    <row r="6075" spans="3:6" x14ac:dyDescent="0.25">
      <c r="C6075" s="1"/>
      <c r="F6075" s="1"/>
    </row>
    <row r="6076" spans="3:6" x14ac:dyDescent="0.25">
      <c r="C6076" s="1"/>
      <c r="F6076" s="1"/>
    </row>
    <row r="6077" spans="3:6" x14ac:dyDescent="0.25">
      <c r="C6077" s="1"/>
      <c r="F6077" s="1"/>
    </row>
    <row r="6078" spans="3:6" x14ac:dyDescent="0.25">
      <c r="C6078" s="1"/>
      <c r="F6078" s="1"/>
    </row>
    <row r="6079" spans="3:6" x14ac:dyDescent="0.25">
      <c r="C6079" s="1"/>
      <c r="F6079" s="1"/>
    </row>
    <row r="6080" spans="3:6" x14ac:dyDescent="0.25">
      <c r="C6080" s="1"/>
      <c r="F6080" s="1"/>
    </row>
    <row r="6081" spans="3:6" x14ac:dyDescent="0.25">
      <c r="C6081" s="1"/>
      <c r="F6081" s="1"/>
    </row>
    <row r="6082" spans="3:6" x14ac:dyDescent="0.25">
      <c r="C6082" s="1"/>
      <c r="F6082" s="1"/>
    </row>
    <row r="6083" spans="3:6" x14ac:dyDescent="0.25">
      <c r="C6083" s="1"/>
      <c r="F6083" s="1"/>
    </row>
    <row r="6084" spans="3:6" x14ac:dyDescent="0.25">
      <c r="C6084" s="1"/>
      <c r="F6084" s="1"/>
    </row>
    <row r="6085" spans="3:6" x14ac:dyDescent="0.25">
      <c r="C6085" s="1"/>
      <c r="F6085" s="1"/>
    </row>
    <row r="6086" spans="3:6" x14ac:dyDescent="0.25">
      <c r="C6086" s="1"/>
      <c r="F6086" s="1"/>
    </row>
    <row r="6087" spans="3:6" x14ac:dyDescent="0.25">
      <c r="C6087" s="1"/>
      <c r="F6087" s="1"/>
    </row>
    <row r="6088" spans="3:6" x14ac:dyDescent="0.25">
      <c r="C6088" s="1"/>
      <c r="F6088" s="1"/>
    </row>
    <row r="6089" spans="3:6" x14ac:dyDescent="0.25">
      <c r="C6089" s="1"/>
      <c r="F6089" s="1"/>
    </row>
    <row r="6090" spans="3:6" x14ac:dyDescent="0.25">
      <c r="C6090" s="1"/>
      <c r="F6090" s="1"/>
    </row>
    <row r="6091" spans="3:6" x14ac:dyDescent="0.25">
      <c r="C6091" s="1"/>
      <c r="F6091" s="1"/>
    </row>
    <row r="6092" spans="3:6" x14ac:dyDescent="0.25">
      <c r="C6092" s="1"/>
      <c r="F6092" s="1"/>
    </row>
    <row r="6093" spans="3:6" x14ac:dyDescent="0.25">
      <c r="C6093" s="1"/>
      <c r="F6093" s="1"/>
    </row>
    <row r="6094" spans="3:6" x14ac:dyDescent="0.25">
      <c r="C6094" s="1"/>
      <c r="F6094" s="1"/>
    </row>
    <row r="6095" spans="3:6" x14ac:dyDescent="0.25">
      <c r="C6095" s="1"/>
      <c r="F6095" s="1"/>
    </row>
    <row r="6096" spans="3:6" x14ac:dyDescent="0.25">
      <c r="C6096" s="1"/>
      <c r="F6096" s="1"/>
    </row>
    <row r="6097" spans="3:6" x14ac:dyDescent="0.25">
      <c r="C6097" s="1"/>
      <c r="F6097" s="1"/>
    </row>
    <row r="6098" spans="3:6" x14ac:dyDescent="0.25">
      <c r="C6098" s="1"/>
      <c r="F6098" s="1"/>
    </row>
    <row r="6099" spans="3:6" x14ac:dyDescent="0.25">
      <c r="C6099" s="1"/>
      <c r="F6099" s="1"/>
    </row>
    <row r="6100" spans="3:6" x14ac:dyDescent="0.25">
      <c r="C6100" s="1"/>
      <c r="F6100" s="1"/>
    </row>
    <row r="6101" spans="3:6" x14ac:dyDescent="0.25">
      <c r="C6101" s="1"/>
      <c r="F6101" s="1"/>
    </row>
    <row r="6102" spans="3:6" x14ac:dyDescent="0.25">
      <c r="C6102" s="1"/>
      <c r="F6102" s="1"/>
    </row>
    <row r="6103" spans="3:6" x14ac:dyDescent="0.25">
      <c r="C6103" s="1"/>
      <c r="F6103" s="1"/>
    </row>
    <row r="6104" spans="3:6" x14ac:dyDescent="0.25">
      <c r="C6104" s="1"/>
      <c r="F6104" s="1"/>
    </row>
    <row r="6105" spans="3:6" x14ac:dyDescent="0.25">
      <c r="C6105" s="1"/>
      <c r="F6105" s="1"/>
    </row>
    <row r="6106" spans="3:6" x14ac:dyDescent="0.25">
      <c r="C6106" s="1"/>
      <c r="F6106" s="1"/>
    </row>
    <row r="6107" spans="3:6" x14ac:dyDescent="0.25">
      <c r="C6107" s="1"/>
      <c r="F6107" s="1"/>
    </row>
    <row r="6108" spans="3:6" x14ac:dyDescent="0.25">
      <c r="C6108" s="1"/>
      <c r="F6108" s="1"/>
    </row>
    <row r="6109" spans="3:6" x14ac:dyDescent="0.25">
      <c r="C6109" s="1"/>
      <c r="F6109" s="1"/>
    </row>
    <row r="6110" spans="3:6" x14ac:dyDescent="0.25">
      <c r="C6110" s="1"/>
      <c r="F6110" s="1"/>
    </row>
    <row r="6111" spans="3:6" x14ac:dyDescent="0.25">
      <c r="C6111" s="1"/>
      <c r="F6111" s="1"/>
    </row>
    <row r="6112" spans="3:6" x14ac:dyDescent="0.25">
      <c r="C6112" s="1"/>
      <c r="F6112" s="1"/>
    </row>
    <row r="6113" spans="3:6" x14ac:dyDescent="0.25">
      <c r="C6113" s="1"/>
      <c r="F6113" s="1"/>
    </row>
    <row r="6114" spans="3:6" x14ac:dyDescent="0.25">
      <c r="C6114" s="1"/>
      <c r="F6114" s="1"/>
    </row>
    <row r="6115" spans="3:6" x14ac:dyDescent="0.25">
      <c r="C6115" s="1"/>
      <c r="F6115" s="1"/>
    </row>
    <row r="6116" spans="3:6" x14ac:dyDescent="0.25">
      <c r="C6116" s="1"/>
      <c r="F6116" s="1"/>
    </row>
    <row r="6117" spans="3:6" x14ac:dyDescent="0.25">
      <c r="C6117" s="1"/>
      <c r="F6117" s="1"/>
    </row>
    <row r="6118" spans="3:6" x14ac:dyDescent="0.25">
      <c r="C6118" s="1"/>
      <c r="F6118" s="1"/>
    </row>
    <row r="6119" spans="3:6" x14ac:dyDescent="0.25">
      <c r="C6119" s="1"/>
      <c r="F6119" s="1"/>
    </row>
    <row r="6120" spans="3:6" x14ac:dyDescent="0.25">
      <c r="C6120" s="1"/>
      <c r="F6120" s="1"/>
    </row>
    <row r="6121" spans="3:6" x14ac:dyDescent="0.25">
      <c r="C6121" s="1"/>
      <c r="F6121" s="1"/>
    </row>
    <row r="6122" spans="3:6" x14ac:dyDescent="0.25">
      <c r="C6122" s="1"/>
      <c r="F6122" s="1"/>
    </row>
    <row r="6123" spans="3:6" x14ac:dyDescent="0.25">
      <c r="C6123" s="1"/>
      <c r="F6123" s="1"/>
    </row>
    <row r="6124" spans="3:6" x14ac:dyDescent="0.25">
      <c r="C6124" s="1"/>
      <c r="F6124" s="1"/>
    </row>
    <row r="6125" spans="3:6" x14ac:dyDescent="0.25">
      <c r="C6125" s="1"/>
      <c r="F6125" s="1"/>
    </row>
    <row r="6126" spans="3:6" x14ac:dyDescent="0.25">
      <c r="C6126" s="1"/>
      <c r="F6126" s="1"/>
    </row>
    <row r="6127" spans="3:6" x14ac:dyDescent="0.25">
      <c r="C6127" s="1"/>
      <c r="F6127" s="1"/>
    </row>
    <row r="6128" spans="3:6" x14ac:dyDescent="0.25">
      <c r="C6128" s="1"/>
      <c r="F6128" s="1"/>
    </row>
    <row r="6129" spans="3:6" x14ac:dyDescent="0.25">
      <c r="C6129" s="1"/>
      <c r="F6129" s="1"/>
    </row>
    <row r="6130" spans="3:6" x14ac:dyDescent="0.25">
      <c r="C6130" s="1"/>
      <c r="F6130" s="1"/>
    </row>
    <row r="6131" spans="3:6" x14ac:dyDescent="0.25">
      <c r="C6131" s="1"/>
      <c r="F6131" s="1"/>
    </row>
    <row r="6132" spans="3:6" x14ac:dyDescent="0.25">
      <c r="C6132" s="1"/>
      <c r="F6132" s="1"/>
    </row>
    <row r="6133" spans="3:6" x14ac:dyDescent="0.25">
      <c r="C6133" s="1"/>
      <c r="F6133" s="1"/>
    </row>
    <row r="6134" spans="3:6" x14ac:dyDescent="0.25">
      <c r="C6134" s="1"/>
      <c r="F6134" s="1"/>
    </row>
    <row r="6135" spans="3:6" x14ac:dyDescent="0.25">
      <c r="C6135" s="1"/>
      <c r="F6135" s="1"/>
    </row>
    <row r="6136" spans="3:6" x14ac:dyDescent="0.25">
      <c r="C6136" s="1"/>
      <c r="F6136" s="1"/>
    </row>
    <row r="6137" spans="3:6" x14ac:dyDescent="0.25">
      <c r="C6137" s="1"/>
      <c r="F6137" s="1"/>
    </row>
    <row r="6138" spans="3:6" x14ac:dyDescent="0.25">
      <c r="C6138" s="1"/>
      <c r="F6138" s="1"/>
    </row>
    <row r="6139" spans="3:6" x14ac:dyDescent="0.25">
      <c r="C6139" s="1"/>
      <c r="F6139" s="1"/>
    </row>
    <row r="6140" spans="3:6" x14ac:dyDescent="0.25">
      <c r="C6140" s="1"/>
      <c r="F6140" s="1"/>
    </row>
    <row r="6141" spans="3:6" x14ac:dyDescent="0.25">
      <c r="C6141" s="1"/>
      <c r="F6141" s="1"/>
    </row>
    <row r="6142" spans="3:6" x14ac:dyDescent="0.25">
      <c r="C6142" s="1"/>
      <c r="F6142" s="1"/>
    </row>
    <row r="6143" spans="3:6" x14ac:dyDescent="0.25">
      <c r="C6143" s="1"/>
      <c r="F6143" s="1"/>
    </row>
    <row r="6144" spans="3:6" x14ac:dyDescent="0.25">
      <c r="C6144" s="1"/>
      <c r="F6144" s="1"/>
    </row>
    <row r="6145" spans="3:6" x14ac:dyDescent="0.25">
      <c r="C6145" s="1"/>
      <c r="F6145" s="1"/>
    </row>
    <row r="6146" spans="3:6" x14ac:dyDescent="0.25">
      <c r="C6146" s="1"/>
      <c r="F6146" s="1"/>
    </row>
    <row r="6147" spans="3:6" x14ac:dyDescent="0.25">
      <c r="C6147" s="1"/>
      <c r="F6147" s="1"/>
    </row>
    <row r="6148" spans="3:6" x14ac:dyDescent="0.25">
      <c r="C6148" s="1"/>
      <c r="F6148" s="1"/>
    </row>
    <row r="6149" spans="3:6" x14ac:dyDescent="0.25">
      <c r="C6149" s="1"/>
      <c r="F6149" s="1"/>
    </row>
    <row r="6150" spans="3:6" x14ac:dyDescent="0.25">
      <c r="C6150" s="1"/>
      <c r="F6150" s="1"/>
    </row>
    <row r="6151" spans="3:6" x14ac:dyDescent="0.25">
      <c r="C6151" s="1"/>
      <c r="F6151" s="1"/>
    </row>
    <row r="6152" spans="3:6" x14ac:dyDescent="0.25">
      <c r="C6152" s="1"/>
      <c r="F6152" s="1"/>
    </row>
    <row r="6153" spans="3:6" x14ac:dyDescent="0.25">
      <c r="C6153" s="1"/>
      <c r="F6153" s="1"/>
    </row>
    <row r="6154" spans="3:6" x14ac:dyDescent="0.25">
      <c r="C6154" s="1"/>
      <c r="F6154" s="1"/>
    </row>
    <row r="6155" spans="3:6" x14ac:dyDescent="0.25">
      <c r="C6155" s="1"/>
      <c r="F6155" s="1"/>
    </row>
    <row r="6156" spans="3:6" x14ac:dyDescent="0.25">
      <c r="C6156" s="1"/>
      <c r="F6156" s="1"/>
    </row>
    <row r="6157" spans="3:6" x14ac:dyDescent="0.25">
      <c r="C6157" s="1"/>
      <c r="F6157" s="1"/>
    </row>
    <row r="6158" spans="3:6" x14ac:dyDescent="0.25">
      <c r="C6158" s="1"/>
      <c r="F6158" s="1"/>
    </row>
    <row r="6159" spans="3:6" x14ac:dyDescent="0.25">
      <c r="C6159" s="1"/>
      <c r="F6159" s="1"/>
    </row>
    <row r="6160" spans="3:6" x14ac:dyDescent="0.25">
      <c r="C6160" s="1"/>
      <c r="F6160" s="1"/>
    </row>
    <row r="6161" spans="3:6" x14ac:dyDescent="0.25">
      <c r="C6161" s="1"/>
      <c r="F6161" s="1"/>
    </row>
    <row r="6162" spans="3:6" x14ac:dyDescent="0.25">
      <c r="C6162" s="1"/>
      <c r="F6162" s="1"/>
    </row>
    <row r="6163" spans="3:6" x14ac:dyDescent="0.25">
      <c r="C6163" s="1"/>
      <c r="F6163" s="1"/>
    </row>
    <row r="6164" spans="3:6" x14ac:dyDescent="0.25">
      <c r="C6164" s="1"/>
      <c r="F6164" s="1"/>
    </row>
    <row r="6165" spans="3:6" x14ac:dyDescent="0.25">
      <c r="C6165" s="1"/>
      <c r="F6165" s="1"/>
    </row>
    <row r="6166" spans="3:6" x14ac:dyDescent="0.25">
      <c r="C6166" s="1"/>
      <c r="F6166" s="1"/>
    </row>
    <row r="6167" spans="3:6" x14ac:dyDescent="0.25">
      <c r="C6167" s="1"/>
      <c r="F6167" s="1"/>
    </row>
    <row r="6168" spans="3:6" x14ac:dyDescent="0.25">
      <c r="C6168" s="1"/>
      <c r="F6168" s="1"/>
    </row>
    <row r="6169" spans="3:6" x14ac:dyDescent="0.25">
      <c r="C6169" s="1"/>
      <c r="F6169" s="1"/>
    </row>
    <row r="6170" spans="3:6" x14ac:dyDescent="0.25">
      <c r="C6170" s="1"/>
      <c r="F6170" s="1"/>
    </row>
    <row r="6171" spans="3:6" x14ac:dyDescent="0.25">
      <c r="C6171" s="1"/>
      <c r="F6171" s="1"/>
    </row>
    <row r="6172" spans="3:6" x14ac:dyDescent="0.25">
      <c r="C6172" s="1"/>
      <c r="F6172" s="1"/>
    </row>
    <row r="6173" spans="3:6" x14ac:dyDescent="0.25">
      <c r="C6173" s="1"/>
      <c r="F6173" s="1"/>
    </row>
    <row r="6174" spans="3:6" x14ac:dyDescent="0.25">
      <c r="C6174" s="1"/>
      <c r="F6174" s="1"/>
    </row>
    <row r="6175" spans="3:6" x14ac:dyDescent="0.25">
      <c r="C6175" s="1"/>
      <c r="F6175" s="1"/>
    </row>
    <row r="6176" spans="3:6" x14ac:dyDescent="0.25">
      <c r="C6176" s="1"/>
      <c r="F6176" s="1"/>
    </row>
    <row r="6177" spans="3:6" x14ac:dyDescent="0.25">
      <c r="C6177" s="1"/>
      <c r="F6177" s="1"/>
    </row>
    <row r="6178" spans="3:6" x14ac:dyDescent="0.25">
      <c r="C6178" s="1"/>
      <c r="F6178" s="1"/>
    </row>
    <row r="6179" spans="3:6" x14ac:dyDescent="0.25">
      <c r="C6179" s="1"/>
      <c r="F6179" s="1"/>
    </row>
    <row r="6180" spans="3:6" x14ac:dyDescent="0.25">
      <c r="C6180" s="1"/>
      <c r="F6180" s="1"/>
    </row>
    <row r="6181" spans="3:6" x14ac:dyDescent="0.25">
      <c r="C6181" s="1"/>
      <c r="F6181" s="1"/>
    </row>
    <row r="6182" spans="3:6" x14ac:dyDescent="0.25">
      <c r="C6182" s="1"/>
      <c r="F6182" s="1"/>
    </row>
    <row r="6183" spans="3:6" x14ac:dyDescent="0.25">
      <c r="C6183" s="1"/>
      <c r="F6183" s="1"/>
    </row>
    <row r="6184" spans="3:6" x14ac:dyDescent="0.25">
      <c r="C6184" s="1"/>
      <c r="F6184" s="1"/>
    </row>
    <row r="6185" spans="3:6" x14ac:dyDescent="0.25">
      <c r="C6185" s="1"/>
      <c r="F6185" s="1"/>
    </row>
    <row r="6186" spans="3:6" x14ac:dyDescent="0.25">
      <c r="C6186" s="1"/>
      <c r="F6186" s="1"/>
    </row>
    <row r="6187" spans="3:6" x14ac:dyDescent="0.25">
      <c r="C6187" s="1"/>
      <c r="F6187" s="1"/>
    </row>
    <row r="6188" spans="3:6" x14ac:dyDescent="0.25">
      <c r="C6188" s="1"/>
      <c r="F6188" s="1"/>
    </row>
    <row r="6189" spans="3:6" x14ac:dyDescent="0.25">
      <c r="C6189" s="1"/>
      <c r="F6189" s="1"/>
    </row>
    <row r="6190" spans="3:6" x14ac:dyDescent="0.25">
      <c r="C6190" s="1"/>
      <c r="F6190" s="1"/>
    </row>
    <row r="6191" spans="3:6" x14ac:dyDescent="0.25">
      <c r="C6191" s="1"/>
      <c r="F6191" s="1"/>
    </row>
    <row r="6192" spans="3:6" x14ac:dyDescent="0.25">
      <c r="C6192" s="1"/>
      <c r="F6192" s="1"/>
    </row>
    <row r="6193" spans="3:6" x14ac:dyDescent="0.25">
      <c r="C6193" s="1"/>
      <c r="F6193" s="1"/>
    </row>
    <row r="6194" spans="3:6" x14ac:dyDescent="0.25">
      <c r="C6194" s="1"/>
      <c r="F6194" s="1"/>
    </row>
    <row r="6195" spans="3:6" x14ac:dyDescent="0.25">
      <c r="C6195" s="1"/>
      <c r="F6195" s="1"/>
    </row>
    <row r="6196" spans="3:6" x14ac:dyDescent="0.25">
      <c r="C6196" s="1"/>
      <c r="F6196" s="1"/>
    </row>
    <row r="6197" spans="3:6" x14ac:dyDescent="0.25">
      <c r="C6197" s="1"/>
      <c r="F6197" s="1"/>
    </row>
    <row r="6198" spans="3:6" x14ac:dyDescent="0.25">
      <c r="C6198" s="1"/>
      <c r="F6198" s="1"/>
    </row>
    <row r="6199" spans="3:6" x14ac:dyDescent="0.25">
      <c r="C6199" s="1"/>
      <c r="F6199" s="1"/>
    </row>
    <row r="6200" spans="3:6" x14ac:dyDescent="0.25">
      <c r="C6200" s="1"/>
      <c r="F6200" s="1"/>
    </row>
    <row r="6201" spans="3:6" x14ac:dyDescent="0.25">
      <c r="C6201" s="1"/>
      <c r="F6201" s="1"/>
    </row>
    <row r="6202" spans="3:6" x14ac:dyDescent="0.25">
      <c r="C6202" s="1"/>
      <c r="F6202" s="1"/>
    </row>
    <row r="6203" spans="3:6" x14ac:dyDescent="0.25">
      <c r="C6203" s="1"/>
      <c r="F6203" s="1"/>
    </row>
    <row r="6204" spans="3:6" x14ac:dyDescent="0.25">
      <c r="C6204" s="1"/>
      <c r="F6204" s="1"/>
    </row>
    <row r="6205" spans="3:6" x14ac:dyDescent="0.25">
      <c r="C6205" s="1"/>
      <c r="F6205" s="1"/>
    </row>
    <row r="6206" spans="3:6" x14ac:dyDescent="0.25">
      <c r="C6206" s="1"/>
      <c r="F6206" s="1"/>
    </row>
    <row r="6207" spans="3:6" x14ac:dyDescent="0.25">
      <c r="C6207" s="1"/>
      <c r="F6207" s="1"/>
    </row>
    <row r="6208" spans="3:6" x14ac:dyDescent="0.25">
      <c r="C6208" s="1"/>
      <c r="F6208" s="1"/>
    </row>
    <row r="6209" spans="3:6" x14ac:dyDescent="0.25">
      <c r="C6209" s="1"/>
      <c r="F6209" s="1"/>
    </row>
    <row r="6210" spans="3:6" x14ac:dyDescent="0.25">
      <c r="C6210" s="1"/>
      <c r="F6210" s="1"/>
    </row>
    <row r="6211" spans="3:6" x14ac:dyDescent="0.25">
      <c r="C6211" s="1"/>
      <c r="F6211" s="1"/>
    </row>
    <row r="6212" spans="3:6" x14ac:dyDescent="0.25">
      <c r="C6212" s="1"/>
      <c r="F6212" s="1"/>
    </row>
    <row r="6213" spans="3:6" x14ac:dyDescent="0.25">
      <c r="C6213" s="1"/>
      <c r="F6213" s="1"/>
    </row>
    <row r="6214" spans="3:6" x14ac:dyDescent="0.25">
      <c r="C6214" s="1"/>
      <c r="F6214" s="1"/>
    </row>
    <row r="6215" spans="3:6" x14ac:dyDescent="0.25">
      <c r="C6215" s="1"/>
      <c r="F6215" s="1"/>
    </row>
    <row r="6216" spans="3:6" x14ac:dyDescent="0.25">
      <c r="C6216" s="1"/>
      <c r="F6216" s="1"/>
    </row>
    <row r="6217" spans="3:6" x14ac:dyDescent="0.25">
      <c r="C6217" s="1"/>
      <c r="F6217" s="1"/>
    </row>
    <row r="6218" spans="3:6" x14ac:dyDescent="0.25">
      <c r="C6218" s="1"/>
      <c r="F6218" s="1"/>
    </row>
    <row r="6219" spans="3:6" x14ac:dyDescent="0.25">
      <c r="C6219" s="1"/>
      <c r="F6219" s="1"/>
    </row>
    <row r="6220" spans="3:6" x14ac:dyDescent="0.25">
      <c r="C6220" s="1"/>
      <c r="F6220" s="1"/>
    </row>
    <row r="6221" spans="3:6" x14ac:dyDescent="0.25">
      <c r="C6221" s="1"/>
      <c r="F6221" s="1"/>
    </row>
    <row r="6222" spans="3:6" x14ac:dyDescent="0.25">
      <c r="C6222" s="1"/>
      <c r="F6222" s="1"/>
    </row>
    <row r="6223" spans="3:6" x14ac:dyDescent="0.25">
      <c r="C6223" s="1"/>
      <c r="F6223" s="1"/>
    </row>
    <row r="6224" spans="3:6" x14ac:dyDescent="0.25">
      <c r="C6224" s="1"/>
      <c r="F6224" s="1"/>
    </row>
    <row r="6225" spans="3:6" x14ac:dyDescent="0.25">
      <c r="C6225" s="1"/>
      <c r="F6225" s="1"/>
    </row>
    <row r="6226" spans="3:6" x14ac:dyDescent="0.25">
      <c r="C6226" s="1"/>
      <c r="F6226" s="1"/>
    </row>
    <row r="6227" spans="3:6" x14ac:dyDescent="0.25">
      <c r="C6227" s="1"/>
      <c r="F6227" s="1"/>
    </row>
    <row r="6228" spans="3:6" x14ac:dyDescent="0.25">
      <c r="C6228" s="1"/>
      <c r="F6228" s="1"/>
    </row>
    <row r="6229" spans="3:6" x14ac:dyDescent="0.25">
      <c r="C6229" s="1"/>
      <c r="F6229" s="1"/>
    </row>
    <row r="6230" spans="3:6" x14ac:dyDescent="0.25">
      <c r="C6230" s="1"/>
      <c r="F6230" s="1"/>
    </row>
    <row r="6231" spans="3:6" x14ac:dyDescent="0.25">
      <c r="C6231" s="1"/>
      <c r="F6231" s="1"/>
    </row>
    <row r="6232" spans="3:6" x14ac:dyDescent="0.25">
      <c r="C6232" s="1"/>
      <c r="F6232" s="1"/>
    </row>
    <row r="6233" spans="3:6" x14ac:dyDescent="0.25">
      <c r="C6233" s="1"/>
      <c r="F6233" s="1"/>
    </row>
    <row r="6234" spans="3:6" x14ac:dyDescent="0.25">
      <c r="C6234" s="1"/>
      <c r="F6234" s="1"/>
    </row>
    <row r="6235" spans="3:6" x14ac:dyDescent="0.25">
      <c r="C6235" s="1"/>
      <c r="F6235" s="1"/>
    </row>
    <row r="6236" spans="3:6" x14ac:dyDescent="0.25">
      <c r="C6236" s="1"/>
      <c r="F6236" s="1"/>
    </row>
    <row r="6237" spans="3:6" x14ac:dyDescent="0.25">
      <c r="C6237" s="1"/>
      <c r="F6237" s="1"/>
    </row>
    <row r="6238" spans="3:6" x14ac:dyDescent="0.25">
      <c r="C6238" s="1"/>
      <c r="F6238" s="1"/>
    </row>
    <row r="6239" spans="3:6" x14ac:dyDescent="0.25">
      <c r="C6239" s="1"/>
      <c r="F6239" s="1"/>
    </row>
    <row r="6240" spans="3:6" x14ac:dyDescent="0.25">
      <c r="C6240" s="1"/>
      <c r="F6240" s="1"/>
    </row>
    <row r="6241" spans="3:6" x14ac:dyDescent="0.25">
      <c r="C6241" s="1"/>
      <c r="F6241" s="1"/>
    </row>
    <row r="6242" spans="3:6" x14ac:dyDescent="0.25">
      <c r="C6242" s="1"/>
      <c r="F6242" s="1"/>
    </row>
    <row r="6243" spans="3:6" x14ac:dyDescent="0.25">
      <c r="C6243" s="1"/>
      <c r="F6243" s="1"/>
    </row>
    <row r="6244" spans="3:6" x14ac:dyDescent="0.25">
      <c r="C6244" s="1"/>
      <c r="F6244" s="1"/>
    </row>
    <row r="6245" spans="3:6" x14ac:dyDescent="0.25">
      <c r="C6245" s="1"/>
      <c r="F6245" s="1"/>
    </row>
    <row r="6246" spans="3:6" x14ac:dyDescent="0.25">
      <c r="C6246" s="1"/>
      <c r="F6246" s="1"/>
    </row>
    <row r="6247" spans="3:6" x14ac:dyDescent="0.25">
      <c r="C6247" s="1"/>
      <c r="F6247" s="1"/>
    </row>
    <row r="6248" spans="3:6" x14ac:dyDescent="0.25">
      <c r="C6248" s="1"/>
      <c r="F6248" s="1"/>
    </row>
    <row r="6249" spans="3:6" x14ac:dyDescent="0.25">
      <c r="C6249" s="1"/>
      <c r="F6249" s="1"/>
    </row>
    <row r="6250" spans="3:6" x14ac:dyDescent="0.25">
      <c r="C6250" s="1"/>
      <c r="F6250" s="1"/>
    </row>
    <row r="6251" spans="3:6" x14ac:dyDescent="0.25">
      <c r="C6251" s="1"/>
      <c r="F6251" s="1"/>
    </row>
    <row r="6252" spans="3:6" x14ac:dyDescent="0.25">
      <c r="C6252" s="1"/>
      <c r="F6252" s="1"/>
    </row>
    <row r="6253" spans="3:6" x14ac:dyDescent="0.25">
      <c r="C6253" s="1"/>
      <c r="F6253" s="1"/>
    </row>
    <row r="6254" spans="3:6" x14ac:dyDescent="0.25">
      <c r="C6254" s="1"/>
      <c r="F6254" s="1"/>
    </row>
    <row r="6255" spans="3:6" x14ac:dyDescent="0.25">
      <c r="C6255" s="1"/>
      <c r="F6255" s="1"/>
    </row>
    <row r="6256" spans="3:6" x14ac:dyDescent="0.25">
      <c r="C6256" s="1"/>
      <c r="F6256" s="1"/>
    </row>
    <row r="6257" spans="3:6" x14ac:dyDescent="0.25">
      <c r="C6257" s="1"/>
      <c r="F6257" s="1"/>
    </row>
    <row r="6258" spans="3:6" x14ac:dyDescent="0.25">
      <c r="C6258" s="1"/>
      <c r="F6258" s="1"/>
    </row>
    <row r="6259" spans="3:6" x14ac:dyDescent="0.25">
      <c r="C6259" s="1"/>
      <c r="F6259" s="1"/>
    </row>
    <row r="6260" spans="3:6" x14ac:dyDescent="0.25">
      <c r="C6260" s="1"/>
      <c r="F6260" s="1"/>
    </row>
    <row r="6261" spans="3:6" x14ac:dyDescent="0.25">
      <c r="C6261" s="1"/>
      <c r="F6261" s="1"/>
    </row>
    <row r="6262" spans="3:6" x14ac:dyDescent="0.25">
      <c r="C6262" s="1"/>
      <c r="F6262" s="1"/>
    </row>
    <row r="6263" spans="3:6" x14ac:dyDescent="0.25">
      <c r="C6263" s="1"/>
      <c r="F6263" s="1"/>
    </row>
    <row r="6264" spans="3:6" x14ac:dyDescent="0.25">
      <c r="C6264" s="1"/>
      <c r="F6264" s="1"/>
    </row>
    <row r="6265" spans="3:6" x14ac:dyDescent="0.25">
      <c r="C6265" s="1"/>
      <c r="F6265" s="1"/>
    </row>
    <row r="6266" spans="3:6" x14ac:dyDescent="0.25">
      <c r="C6266" s="1"/>
      <c r="F6266" s="1"/>
    </row>
    <row r="6267" spans="3:6" x14ac:dyDescent="0.25">
      <c r="C6267" s="1"/>
      <c r="F6267" s="1"/>
    </row>
    <row r="6268" spans="3:6" x14ac:dyDescent="0.25">
      <c r="C6268" s="1"/>
      <c r="F6268" s="1"/>
    </row>
    <row r="6269" spans="3:6" x14ac:dyDescent="0.25">
      <c r="C6269" s="1"/>
      <c r="F6269" s="1"/>
    </row>
    <row r="6270" spans="3:6" x14ac:dyDescent="0.25">
      <c r="C6270" s="1"/>
      <c r="F6270" s="1"/>
    </row>
    <row r="6271" spans="3:6" x14ac:dyDescent="0.25">
      <c r="C6271" s="1"/>
      <c r="F6271" s="1"/>
    </row>
    <row r="6272" spans="3:6" x14ac:dyDescent="0.25">
      <c r="C6272" s="1"/>
      <c r="F6272" s="1"/>
    </row>
    <row r="6273" spans="3:6" x14ac:dyDescent="0.25">
      <c r="C6273" s="1"/>
      <c r="F6273" s="1"/>
    </row>
    <row r="6274" spans="3:6" x14ac:dyDescent="0.25">
      <c r="C6274" s="1"/>
      <c r="F6274" s="1"/>
    </row>
    <row r="6275" spans="3:6" x14ac:dyDescent="0.25">
      <c r="C6275" s="1"/>
      <c r="F6275" s="1"/>
    </row>
    <row r="6276" spans="3:6" x14ac:dyDescent="0.25">
      <c r="C6276" s="1"/>
      <c r="F6276" s="1"/>
    </row>
    <row r="6277" spans="3:6" x14ac:dyDescent="0.25">
      <c r="C6277" s="1"/>
      <c r="F6277" s="1"/>
    </row>
    <row r="6278" spans="3:6" x14ac:dyDescent="0.25">
      <c r="C6278" s="1"/>
      <c r="F6278" s="1"/>
    </row>
    <row r="6279" spans="3:6" x14ac:dyDescent="0.25">
      <c r="C6279" s="1"/>
      <c r="F6279" s="1"/>
    </row>
    <row r="6280" spans="3:6" x14ac:dyDescent="0.25">
      <c r="C6280" s="1"/>
      <c r="F6280" s="1"/>
    </row>
    <row r="6281" spans="3:6" x14ac:dyDescent="0.25">
      <c r="C6281" s="1"/>
      <c r="F6281" s="1"/>
    </row>
    <row r="6282" spans="3:6" x14ac:dyDescent="0.25">
      <c r="C6282" s="1"/>
      <c r="F6282" s="1"/>
    </row>
    <row r="6283" spans="3:6" x14ac:dyDescent="0.25">
      <c r="C6283" s="1"/>
      <c r="F6283" s="1"/>
    </row>
    <row r="6284" spans="3:6" x14ac:dyDescent="0.25">
      <c r="C6284" s="1"/>
      <c r="F6284" s="1"/>
    </row>
    <row r="6285" spans="3:6" x14ac:dyDescent="0.25">
      <c r="C6285" s="1"/>
      <c r="F6285" s="1"/>
    </row>
    <row r="6286" spans="3:6" x14ac:dyDescent="0.25">
      <c r="C6286" s="1"/>
      <c r="F6286" s="1"/>
    </row>
    <row r="6287" spans="3:6" x14ac:dyDescent="0.25">
      <c r="C6287" s="1"/>
      <c r="F6287" s="1"/>
    </row>
    <row r="6288" spans="3:6" x14ac:dyDescent="0.25">
      <c r="C6288" s="1"/>
      <c r="F6288" s="1"/>
    </row>
    <row r="6289" spans="3:6" x14ac:dyDescent="0.25">
      <c r="C6289" s="1"/>
      <c r="F6289" s="1"/>
    </row>
    <row r="6290" spans="3:6" x14ac:dyDescent="0.25">
      <c r="C6290" s="1"/>
      <c r="F6290" s="1"/>
    </row>
    <row r="6291" spans="3:6" x14ac:dyDescent="0.25">
      <c r="C6291" s="1"/>
      <c r="F6291" s="1"/>
    </row>
    <row r="6292" spans="3:6" x14ac:dyDescent="0.25">
      <c r="C6292" s="1"/>
      <c r="F6292" s="1"/>
    </row>
    <row r="6293" spans="3:6" x14ac:dyDescent="0.25">
      <c r="C6293" s="1"/>
      <c r="F6293" s="1"/>
    </row>
    <row r="6294" spans="3:6" x14ac:dyDescent="0.25">
      <c r="C6294" s="1"/>
      <c r="F6294" s="1"/>
    </row>
    <row r="6295" spans="3:6" x14ac:dyDescent="0.25">
      <c r="C6295" s="1"/>
      <c r="F6295" s="1"/>
    </row>
    <row r="6296" spans="3:6" x14ac:dyDescent="0.25">
      <c r="C6296" s="1"/>
      <c r="F6296" s="1"/>
    </row>
    <row r="6297" spans="3:6" x14ac:dyDescent="0.25">
      <c r="C6297" s="1"/>
      <c r="F6297" s="1"/>
    </row>
    <row r="6298" spans="3:6" x14ac:dyDescent="0.25">
      <c r="C6298" s="1"/>
      <c r="F6298" s="1"/>
    </row>
    <row r="6299" spans="3:6" x14ac:dyDescent="0.25">
      <c r="C6299" s="1"/>
      <c r="F6299" s="1"/>
    </row>
    <row r="6300" spans="3:6" x14ac:dyDescent="0.25">
      <c r="C6300" s="1"/>
      <c r="F6300" s="1"/>
    </row>
    <row r="6301" spans="3:6" x14ac:dyDescent="0.25">
      <c r="C6301" s="1"/>
      <c r="F6301" s="1"/>
    </row>
    <row r="6302" spans="3:6" x14ac:dyDescent="0.25">
      <c r="C6302" s="1"/>
      <c r="F6302" s="1"/>
    </row>
    <row r="6303" spans="3:6" x14ac:dyDescent="0.25">
      <c r="C6303" s="1"/>
      <c r="F6303" s="1"/>
    </row>
    <row r="6304" spans="3:6" x14ac:dyDescent="0.25">
      <c r="C6304" s="1"/>
      <c r="F6304" s="1"/>
    </row>
    <row r="6305" spans="3:6" x14ac:dyDescent="0.25">
      <c r="C6305" s="1"/>
      <c r="F6305" s="1"/>
    </row>
    <row r="6306" spans="3:6" x14ac:dyDescent="0.25">
      <c r="C6306" s="1"/>
      <c r="F6306" s="1"/>
    </row>
    <row r="6307" spans="3:6" x14ac:dyDescent="0.25">
      <c r="C6307" s="1"/>
      <c r="F6307" s="1"/>
    </row>
    <row r="6308" spans="3:6" x14ac:dyDescent="0.25">
      <c r="C6308" s="1"/>
      <c r="F6308" s="1"/>
    </row>
    <row r="6309" spans="3:6" x14ac:dyDescent="0.25">
      <c r="C6309" s="1"/>
      <c r="F6309" s="1"/>
    </row>
    <row r="6310" spans="3:6" x14ac:dyDescent="0.25">
      <c r="C6310" s="1"/>
      <c r="F6310" s="1"/>
    </row>
    <row r="6311" spans="3:6" x14ac:dyDescent="0.25">
      <c r="C6311" s="1"/>
      <c r="F6311" s="1"/>
    </row>
    <row r="6312" spans="3:6" x14ac:dyDescent="0.25">
      <c r="C6312" s="1"/>
      <c r="F6312" s="1"/>
    </row>
    <row r="6313" spans="3:6" x14ac:dyDescent="0.25">
      <c r="C6313" s="1"/>
      <c r="F6313" s="1"/>
    </row>
    <row r="6314" spans="3:6" x14ac:dyDescent="0.25">
      <c r="C6314" s="1"/>
      <c r="F6314" s="1"/>
    </row>
    <row r="6315" spans="3:6" x14ac:dyDescent="0.25">
      <c r="C6315" s="1"/>
      <c r="F6315" s="1"/>
    </row>
    <row r="6316" spans="3:6" x14ac:dyDescent="0.25">
      <c r="C6316" s="1"/>
      <c r="F6316" s="1"/>
    </row>
    <row r="6317" spans="3:6" x14ac:dyDescent="0.25">
      <c r="C6317" s="1"/>
      <c r="F6317" s="1"/>
    </row>
    <row r="6318" spans="3:6" x14ac:dyDescent="0.25">
      <c r="C6318" s="1"/>
      <c r="F6318" s="1"/>
    </row>
    <row r="6319" spans="3:6" x14ac:dyDescent="0.25">
      <c r="C6319" s="1"/>
      <c r="F6319" s="1"/>
    </row>
    <row r="6320" spans="3:6" x14ac:dyDescent="0.25">
      <c r="C6320" s="1"/>
      <c r="F6320" s="1"/>
    </row>
    <row r="6321" spans="3:6" x14ac:dyDescent="0.25">
      <c r="C6321" s="1"/>
      <c r="F6321" s="1"/>
    </row>
    <row r="6322" spans="3:6" x14ac:dyDescent="0.25">
      <c r="C6322" s="1"/>
      <c r="F6322" s="1"/>
    </row>
    <row r="6323" spans="3:6" x14ac:dyDescent="0.25">
      <c r="C6323" s="1"/>
      <c r="F6323" s="1"/>
    </row>
    <row r="6324" spans="3:6" x14ac:dyDescent="0.25">
      <c r="C6324" s="1"/>
      <c r="F6324" s="1"/>
    </row>
    <row r="6325" spans="3:6" x14ac:dyDescent="0.25">
      <c r="C6325" s="1"/>
      <c r="F6325" s="1"/>
    </row>
    <row r="6326" spans="3:6" x14ac:dyDescent="0.25">
      <c r="C6326" s="1"/>
      <c r="F6326" s="1"/>
    </row>
    <row r="6327" spans="3:6" x14ac:dyDescent="0.25">
      <c r="C6327" s="1"/>
      <c r="F6327" s="1"/>
    </row>
    <row r="6328" spans="3:6" x14ac:dyDescent="0.25">
      <c r="C6328" s="1"/>
      <c r="F6328" s="1"/>
    </row>
    <row r="6329" spans="3:6" x14ac:dyDescent="0.25">
      <c r="C6329" s="1"/>
      <c r="F6329" s="1"/>
    </row>
    <row r="6330" spans="3:6" x14ac:dyDescent="0.25">
      <c r="C6330" s="1"/>
      <c r="F6330" s="1"/>
    </row>
    <row r="6331" spans="3:6" x14ac:dyDescent="0.25">
      <c r="C6331" s="1"/>
      <c r="F6331" s="1"/>
    </row>
    <row r="6332" spans="3:6" x14ac:dyDescent="0.25">
      <c r="C6332" s="1"/>
      <c r="F6332" s="1"/>
    </row>
    <row r="6333" spans="3:6" x14ac:dyDescent="0.25">
      <c r="C6333" s="1"/>
      <c r="F6333" s="1"/>
    </row>
    <row r="6334" spans="3:6" x14ac:dyDescent="0.25">
      <c r="C6334" s="1"/>
      <c r="F6334" s="1"/>
    </row>
    <row r="6335" spans="3:6" x14ac:dyDescent="0.25">
      <c r="C6335" s="1"/>
      <c r="F6335" s="1"/>
    </row>
    <row r="6336" spans="3:6" x14ac:dyDescent="0.25">
      <c r="C6336" s="1"/>
      <c r="F6336" s="1"/>
    </row>
    <row r="6337" spans="3:6" x14ac:dyDescent="0.25">
      <c r="C6337" s="1"/>
      <c r="F6337" s="1"/>
    </row>
    <row r="6338" spans="3:6" x14ac:dyDescent="0.25">
      <c r="C6338" s="1"/>
      <c r="F6338" s="1"/>
    </row>
    <row r="6339" spans="3:6" x14ac:dyDescent="0.25">
      <c r="C6339" s="1"/>
      <c r="F6339" s="1"/>
    </row>
    <row r="6340" spans="3:6" x14ac:dyDescent="0.25">
      <c r="C6340" s="1"/>
      <c r="F6340" s="1"/>
    </row>
    <row r="6341" spans="3:6" x14ac:dyDescent="0.25">
      <c r="C6341" s="1"/>
      <c r="F6341" s="1"/>
    </row>
    <row r="6342" spans="3:6" x14ac:dyDescent="0.25">
      <c r="C6342" s="1"/>
      <c r="F6342" s="1"/>
    </row>
    <row r="6343" spans="3:6" x14ac:dyDescent="0.25">
      <c r="C6343" s="1"/>
      <c r="F6343" s="1"/>
    </row>
    <row r="6344" spans="3:6" x14ac:dyDescent="0.25">
      <c r="C6344" s="1"/>
      <c r="F6344" s="1"/>
    </row>
    <row r="6345" spans="3:6" x14ac:dyDescent="0.25">
      <c r="C6345" s="1"/>
      <c r="F6345" s="1"/>
    </row>
    <row r="6346" spans="3:6" x14ac:dyDescent="0.25">
      <c r="C6346" s="1"/>
      <c r="F6346" s="1"/>
    </row>
    <row r="6347" spans="3:6" x14ac:dyDescent="0.25">
      <c r="C6347" s="1"/>
      <c r="F6347" s="1"/>
    </row>
    <row r="6348" spans="3:6" x14ac:dyDescent="0.25">
      <c r="C6348" s="1"/>
      <c r="F6348" s="1"/>
    </row>
    <row r="6349" spans="3:6" x14ac:dyDescent="0.25">
      <c r="C6349" s="1"/>
      <c r="F6349" s="1"/>
    </row>
    <row r="6350" spans="3:6" x14ac:dyDescent="0.25">
      <c r="C6350" s="1"/>
      <c r="F6350" s="1"/>
    </row>
    <row r="6351" spans="3:6" x14ac:dyDescent="0.25">
      <c r="C6351" s="1"/>
      <c r="F6351" s="1"/>
    </row>
    <row r="6352" spans="3:6" x14ac:dyDescent="0.25">
      <c r="C6352" s="1"/>
      <c r="F6352" s="1"/>
    </row>
    <row r="6353" spans="3:6" x14ac:dyDescent="0.25">
      <c r="C6353" s="1"/>
      <c r="F6353" s="1"/>
    </row>
    <row r="6354" spans="3:6" x14ac:dyDescent="0.25">
      <c r="C6354" s="1"/>
      <c r="F6354" s="1"/>
    </row>
    <row r="6355" spans="3:6" x14ac:dyDescent="0.25">
      <c r="C6355" s="1"/>
      <c r="F6355" s="1"/>
    </row>
    <row r="6356" spans="3:6" x14ac:dyDescent="0.25">
      <c r="C6356" s="1"/>
      <c r="F6356" s="1"/>
    </row>
    <row r="6357" spans="3:6" x14ac:dyDescent="0.25">
      <c r="C6357" s="1"/>
      <c r="F6357" s="1"/>
    </row>
    <row r="6358" spans="3:6" x14ac:dyDescent="0.25">
      <c r="C6358" s="1"/>
      <c r="F6358" s="1"/>
    </row>
    <row r="6359" spans="3:6" x14ac:dyDescent="0.25">
      <c r="C6359" s="1"/>
      <c r="F6359" s="1"/>
    </row>
    <row r="6360" spans="3:6" x14ac:dyDescent="0.25">
      <c r="C6360" s="1"/>
      <c r="F6360" s="1"/>
    </row>
    <row r="6361" spans="3:6" x14ac:dyDescent="0.25">
      <c r="C6361" s="1"/>
      <c r="F6361" s="1"/>
    </row>
    <row r="6362" spans="3:6" x14ac:dyDescent="0.25">
      <c r="C6362" s="1"/>
      <c r="F6362" s="1"/>
    </row>
    <row r="6363" spans="3:6" x14ac:dyDescent="0.25">
      <c r="C6363" s="1"/>
      <c r="F6363" s="1"/>
    </row>
    <row r="6364" spans="3:6" x14ac:dyDescent="0.25">
      <c r="C6364" s="1"/>
      <c r="F6364" s="1"/>
    </row>
    <row r="6365" spans="3:6" x14ac:dyDescent="0.25">
      <c r="C6365" s="1"/>
      <c r="F6365" s="1"/>
    </row>
    <row r="6366" spans="3:6" x14ac:dyDescent="0.25">
      <c r="C6366" s="1"/>
      <c r="F6366" s="1"/>
    </row>
    <row r="6367" spans="3:6" x14ac:dyDescent="0.25">
      <c r="C6367" s="1"/>
      <c r="F6367" s="1"/>
    </row>
    <row r="6368" spans="3:6" x14ac:dyDescent="0.25">
      <c r="C6368" s="1"/>
      <c r="F6368" s="1"/>
    </row>
    <row r="6369" spans="3:6" x14ac:dyDescent="0.25">
      <c r="C6369" s="1"/>
      <c r="F6369" s="1"/>
    </row>
    <row r="6370" spans="3:6" x14ac:dyDescent="0.25">
      <c r="C6370" s="1"/>
      <c r="F6370" s="1"/>
    </row>
    <row r="6371" spans="3:6" x14ac:dyDescent="0.25">
      <c r="C6371" s="1"/>
      <c r="F6371" s="1"/>
    </row>
    <row r="6372" spans="3:6" x14ac:dyDescent="0.25">
      <c r="C6372" s="1"/>
      <c r="F6372" s="1"/>
    </row>
    <row r="6373" spans="3:6" x14ac:dyDescent="0.25">
      <c r="C6373" s="1"/>
      <c r="F6373" s="1"/>
    </row>
    <row r="6374" spans="3:6" x14ac:dyDescent="0.25">
      <c r="C6374" s="1"/>
      <c r="F6374" s="1"/>
    </row>
    <row r="6375" spans="3:6" x14ac:dyDescent="0.25">
      <c r="C6375" s="1"/>
      <c r="F6375" s="1"/>
    </row>
    <row r="6376" spans="3:6" x14ac:dyDescent="0.25">
      <c r="C6376" s="1"/>
      <c r="F6376" s="1"/>
    </row>
    <row r="6377" spans="3:6" x14ac:dyDescent="0.25">
      <c r="C6377" s="1"/>
      <c r="F6377" s="1"/>
    </row>
    <row r="6378" spans="3:6" x14ac:dyDescent="0.25">
      <c r="C6378" s="1"/>
      <c r="F6378" s="1"/>
    </row>
    <row r="6379" spans="3:6" x14ac:dyDescent="0.25">
      <c r="C6379" s="1"/>
      <c r="F6379" s="1"/>
    </row>
    <row r="6380" spans="3:6" x14ac:dyDescent="0.25">
      <c r="C6380" s="1"/>
      <c r="F6380" s="1"/>
    </row>
    <row r="6381" spans="3:6" x14ac:dyDescent="0.25">
      <c r="C6381" s="1"/>
      <c r="F6381" s="1"/>
    </row>
    <row r="6382" spans="3:6" x14ac:dyDescent="0.25">
      <c r="C6382" s="1"/>
      <c r="F6382" s="1"/>
    </row>
    <row r="6383" spans="3:6" x14ac:dyDescent="0.25">
      <c r="C6383" s="1"/>
      <c r="F6383" s="1"/>
    </row>
    <row r="6384" spans="3:6" x14ac:dyDescent="0.25">
      <c r="C6384" s="1"/>
      <c r="F6384" s="1"/>
    </row>
    <row r="6385" spans="3:6" x14ac:dyDescent="0.25">
      <c r="C6385" s="1"/>
      <c r="F6385" s="1"/>
    </row>
    <row r="6386" spans="3:6" x14ac:dyDescent="0.25">
      <c r="C6386" s="1"/>
      <c r="F6386" s="1"/>
    </row>
    <row r="6387" spans="3:6" x14ac:dyDescent="0.25">
      <c r="C6387" s="1"/>
      <c r="F6387" s="1"/>
    </row>
    <row r="6388" spans="3:6" x14ac:dyDescent="0.25">
      <c r="C6388" s="1"/>
      <c r="F6388" s="1"/>
    </row>
    <row r="6389" spans="3:6" x14ac:dyDescent="0.25">
      <c r="C6389" s="1"/>
      <c r="F6389" s="1"/>
    </row>
    <row r="6390" spans="3:6" x14ac:dyDescent="0.25">
      <c r="C6390" s="1"/>
      <c r="F6390" s="1"/>
    </row>
    <row r="6391" spans="3:6" x14ac:dyDescent="0.25">
      <c r="C6391" s="1"/>
      <c r="F6391" s="1"/>
    </row>
    <row r="6392" spans="3:6" x14ac:dyDescent="0.25">
      <c r="C6392" s="1"/>
      <c r="F6392" s="1"/>
    </row>
    <row r="6393" spans="3:6" x14ac:dyDescent="0.25">
      <c r="C6393" s="1"/>
      <c r="F6393" s="1"/>
    </row>
    <row r="6394" spans="3:6" x14ac:dyDescent="0.25">
      <c r="C6394" s="1"/>
      <c r="F6394" s="1"/>
    </row>
    <row r="6395" spans="3:6" x14ac:dyDescent="0.25">
      <c r="C6395" s="1"/>
      <c r="F6395" s="1"/>
    </row>
    <row r="6396" spans="3:6" x14ac:dyDescent="0.25">
      <c r="C6396" s="1"/>
      <c r="F6396" s="1"/>
    </row>
    <row r="6397" spans="3:6" x14ac:dyDescent="0.25">
      <c r="C6397" s="1"/>
      <c r="F6397" s="1"/>
    </row>
    <row r="6398" spans="3:6" x14ac:dyDescent="0.25">
      <c r="C6398" s="1"/>
      <c r="F6398" s="1"/>
    </row>
    <row r="6399" spans="3:6" x14ac:dyDescent="0.25">
      <c r="C6399" s="1"/>
      <c r="F6399" s="1"/>
    </row>
    <row r="6400" spans="3:6" x14ac:dyDescent="0.25">
      <c r="C6400" s="1"/>
      <c r="F6400" s="1"/>
    </row>
    <row r="6401" spans="3:6" x14ac:dyDescent="0.25">
      <c r="C6401" s="1"/>
      <c r="F6401" s="1"/>
    </row>
    <row r="6402" spans="3:6" x14ac:dyDescent="0.25">
      <c r="C6402" s="1"/>
      <c r="F6402" s="1"/>
    </row>
    <row r="6403" spans="3:6" x14ac:dyDescent="0.25">
      <c r="C6403" s="1"/>
      <c r="F6403" s="1"/>
    </row>
    <row r="6404" spans="3:6" x14ac:dyDescent="0.25">
      <c r="C6404" s="1"/>
      <c r="F6404" s="1"/>
    </row>
    <row r="6405" spans="3:6" x14ac:dyDescent="0.25">
      <c r="C6405" s="1"/>
      <c r="F6405" s="1"/>
    </row>
    <row r="6406" spans="3:6" x14ac:dyDescent="0.25">
      <c r="C6406" s="1"/>
      <c r="F6406" s="1"/>
    </row>
    <row r="6407" spans="3:6" x14ac:dyDescent="0.25">
      <c r="C6407" s="1"/>
      <c r="F6407" s="1"/>
    </row>
    <row r="6408" spans="3:6" x14ac:dyDescent="0.25">
      <c r="C6408" s="1"/>
      <c r="F6408" s="1"/>
    </row>
    <row r="6409" spans="3:6" x14ac:dyDescent="0.25">
      <c r="C6409" s="1"/>
      <c r="F6409" s="1"/>
    </row>
    <row r="6410" spans="3:6" x14ac:dyDescent="0.25">
      <c r="C6410" s="1"/>
      <c r="F6410" s="1"/>
    </row>
    <row r="6411" spans="3:6" x14ac:dyDescent="0.25">
      <c r="C6411" s="1"/>
      <c r="F6411" s="1"/>
    </row>
    <row r="6412" spans="3:6" x14ac:dyDescent="0.25">
      <c r="C6412" s="1"/>
      <c r="F6412" s="1"/>
    </row>
    <row r="6413" spans="3:6" x14ac:dyDescent="0.25">
      <c r="C6413" s="1"/>
      <c r="F6413" s="1"/>
    </row>
    <row r="6414" spans="3:6" x14ac:dyDescent="0.25">
      <c r="C6414" s="1"/>
      <c r="F6414" s="1"/>
    </row>
    <row r="6415" spans="3:6" x14ac:dyDescent="0.25">
      <c r="C6415" s="1"/>
      <c r="F6415" s="1"/>
    </row>
    <row r="6416" spans="3:6" x14ac:dyDescent="0.25">
      <c r="C6416" s="1"/>
      <c r="F6416" s="1"/>
    </row>
    <row r="6417" spans="3:6" x14ac:dyDescent="0.25">
      <c r="C6417" s="1"/>
      <c r="F6417" s="1"/>
    </row>
    <row r="6418" spans="3:6" x14ac:dyDescent="0.25">
      <c r="C6418" s="1"/>
      <c r="F6418" s="1"/>
    </row>
    <row r="6419" spans="3:6" x14ac:dyDescent="0.25">
      <c r="C6419" s="1"/>
      <c r="F6419" s="1"/>
    </row>
    <row r="6420" spans="3:6" x14ac:dyDescent="0.25">
      <c r="C6420" s="1"/>
      <c r="F6420" s="1"/>
    </row>
    <row r="6421" spans="3:6" x14ac:dyDescent="0.25">
      <c r="C6421" s="1"/>
      <c r="F6421" s="1"/>
    </row>
    <row r="6422" spans="3:6" x14ac:dyDescent="0.25">
      <c r="C6422" s="1"/>
      <c r="F6422" s="1"/>
    </row>
    <row r="6423" spans="3:6" x14ac:dyDescent="0.25">
      <c r="C6423" s="1"/>
      <c r="F6423" s="1"/>
    </row>
    <row r="6424" spans="3:6" x14ac:dyDescent="0.25">
      <c r="C6424" s="1"/>
      <c r="F6424" s="1"/>
    </row>
    <row r="6425" spans="3:6" x14ac:dyDescent="0.25">
      <c r="C6425" s="1"/>
      <c r="F6425" s="1"/>
    </row>
    <row r="6426" spans="3:6" x14ac:dyDescent="0.25">
      <c r="C6426" s="1"/>
      <c r="F6426" s="1"/>
    </row>
    <row r="6427" spans="3:6" x14ac:dyDescent="0.25">
      <c r="C6427" s="1"/>
      <c r="F6427" s="1"/>
    </row>
    <row r="6428" spans="3:6" x14ac:dyDescent="0.25">
      <c r="C6428" s="1"/>
      <c r="F6428" s="1"/>
    </row>
    <row r="6429" spans="3:6" x14ac:dyDescent="0.25">
      <c r="C6429" s="1"/>
      <c r="F6429" s="1"/>
    </row>
    <row r="6430" spans="3:6" x14ac:dyDescent="0.25">
      <c r="C6430" s="1"/>
      <c r="F6430" s="1"/>
    </row>
    <row r="6431" spans="3:6" x14ac:dyDescent="0.25">
      <c r="C6431" s="1"/>
      <c r="F6431" s="1"/>
    </row>
    <row r="6432" spans="3:6" x14ac:dyDescent="0.25">
      <c r="C6432" s="1"/>
      <c r="F6432" s="1"/>
    </row>
    <row r="6433" spans="3:6" x14ac:dyDescent="0.25">
      <c r="C6433" s="1"/>
      <c r="F6433" s="1"/>
    </row>
    <row r="6434" spans="3:6" x14ac:dyDescent="0.25">
      <c r="C6434" s="1"/>
      <c r="F6434" s="1"/>
    </row>
    <row r="6435" spans="3:6" x14ac:dyDescent="0.25">
      <c r="C6435" s="1"/>
      <c r="F6435" s="1"/>
    </row>
    <row r="6436" spans="3:6" x14ac:dyDescent="0.25">
      <c r="C6436" s="1"/>
      <c r="F6436" s="1"/>
    </row>
    <row r="6437" spans="3:6" x14ac:dyDescent="0.25">
      <c r="C6437" s="1"/>
      <c r="F6437" s="1"/>
    </row>
    <row r="6438" spans="3:6" x14ac:dyDescent="0.25">
      <c r="C6438" s="1"/>
      <c r="F6438" s="1"/>
    </row>
    <row r="6439" spans="3:6" x14ac:dyDescent="0.25">
      <c r="C6439" s="1"/>
      <c r="F6439" s="1"/>
    </row>
    <row r="6440" spans="3:6" x14ac:dyDescent="0.25">
      <c r="C6440" s="1"/>
      <c r="F6440" s="1"/>
    </row>
    <row r="6441" spans="3:6" x14ac:dyDescent="0.25">
      <c r="C6441" s="1"/>
      <c r="F6441" s="1"/>
    </row>
    <row r="6442" spans="3:6" x14ac:dyDescent="0.25">
      <c r="C6442" s="1"/>
      <c r="F6442" s="1"/>
    </row>
    <row r="6443" spans="3:6" x14ac:dyDescent="0.25">
      <c r="C6443" s="1"/>
      <c r="F6443" s="1"/>
    </row>
    <row r="6444" spans="3:6" x14ac:dyDescent="0.25">
      <c r="C6444" s="1"/>
      <c r="F6444" s="1"/>
    </row>
    <row r="6445" spans="3:6" x14ac:dyDescent="0.25">
      <c r="C6445" s="1"/>
      <c r="F6445" s="1"/>
    </row>
    <row r="6446" spans="3:6" x14ac:dyDescent="0.25">
      <c r="C6446" s="1"/>
      <c r="F6446" s="1"/>
    </row>
    <row r="6447" spans="3:6" x14ac:dyDescent="0.25">
      <c r="C6447" s="1"/>
      <c r="F6447" s="1"/>
    </row>
    <row r="6448" spans="3:6" x14ac:dyDescent="0.25">
      <c r="C6448" s="1"/>
      <c r="F6448" s="1"/>
    </row>
    <row r="6449" spans="3:6" x14ac:dyDescent="0.25">
      <c r="C6449" s="1"/>
      <c r="F6449" s="1"/>
    </row>
    <row r="6450" spans="3:6" x14ac:dyDescent="0.25">
      <c r="C6450" s="1"/>
      <c r="F6450" s="1"/>
    </row>
    <row r="6451" spans="3:6" x14ac:dyDescent="0.25">
      <c r="C6451" s="1"/>
      <c r="F6451" s="1"/>
    </row>
    <row r="6452" spans="3:6" x14ac:dyDescent="0.25">
      <c r="C6452" s="1"/>
      <c r="F6452" s="1"/>
    </row>
    <row r="6453" spans="3:6" x14ac:dyDescent="0.25">
      <c r="C6453" s="1"/>
      <c r="F6453" s="1"/>
    </row>
    <row r="6454" spans="3:6" x14ac:dyDescent="0.25">
      <c r="C6454" s="1"/>
      <c r="F6454" s="1"/>
    </row>
    <row r="6455" spans="3:6" x14ac:dyDescent="0.25">
      <c r="C6455" s="1"/>
      <c r="F6455" s="1"/>
    </row>
    <row r="6456" spans="3:6" x14ac:dyDescent="0.25">
      <c r="C6456" s="1"/>
      <c r="F6456" s="1"/>
    </row>
    <row r="6457" spans="3:6" x14ac:dyDescent="0.25">
      <c r="C6457" s="1"/>
      <c r="F6457" s="1"/>
    </row>
    <row r="6458" spans="3:6" x14ac:dyDescent="0.25">
      <c r="C6458" s="1"/>
      <c r="F6458" s="1"/>
    </row>
    <row r="6459" spans="3:6" x14ac:dyDescent="0.25">
      <c r="C6459" s="1"/>
      <c r="F6459" s="1"/>
    </row>
    <row r="6460" spans="3:6" x14ac:dyDescent="0.25">
      <c r="C6460" s="1"/>
      <c r="F6460" s="1"/>
    </row>
    <row r="6461" spans="3:6" x14ac:dyDescent="0.25">
      <c r="C6461" s="1"/>
      <c r="F6461" s="1"/>
    </row>
    <row r="6462" spans="3:6" x14ac:dyDescent="0.25">
      <c r="C6462" s="1"/>
      <c r="F6462" s="1"/>
    </row>
    <row r="6463" spans="3:6" x14ac:dyDescent="0.25">
      <c r="C6463" s="1"/>
      <c r="F6463" s="1"/>
    </row>
    <row r="6464" spans="3:6" x14ac:dyDescent="0.25">
      <c r="C6464" s="1"/>
      <c r="F6464" s="1"/>
    </row>
    <row r="6465" spans="3:6" x14ac:dyDescent="0.25">
      <c r="C6465" s="1"/>
      <c r="F6465" s="1"/>
    </row>
    <row r="6466" spans="3:6" x14ac:dyDescent="0.25">
      <c r="C6466" s="1"/>
      <c r="F6466" s="1"/>
    </row>
    <row r="6467" spans="3:6" x14ac:dyDescent="0.25">
      <c r="C6467" s="1"/>
      <c r="F6467" s="1"/>
    </row>
    <row r="6468" spans="3:6" x14ac:dyDescent="0.25">
      <c r="C6468" s="1"/>
      <c r="F6468" s="1"/>
    </row>
    <row r="6469" spans="3:6" x14ac:dyDescent="0.25">
      <c r="C6469" s="1"/>
      <c r="F6469" s="1"/>
    </row>
    <row r="6470" spans="3:6" x14ac:dyDescent="0.25">
      <c r="C6470" s="1"/>
      <c r="F6470" s="1"/>
    </row>
    <row r="6471" spans="3:6" x14ac:dyDescent="0.25">
      <c r="C6471" s="1"/>
      <c r="F6471" s="1"/>
    </row>
    <row r="6472" spans="3:6" x14ac:dyDescent="0.25">
      <c r="C6472" s="1"/>
      <c r="F6472" s="1"/>
    </row>
    <row r="6473" spans="3:6" x14ac:dyDescent="0.25">
      <c r="C6473" s="1"/>
      <c r="F6473" s="1"/>
    </row>
    <row r="6474" spans="3:6" x14ac:dyDescent="0.25">
      <c r="C6474" s="1"/>
      <c r="F6474" s="1"/>
    </row>
    <row r="6475" spans="3:6" x14ac:dyDescent="0.25">
      <c r="C6475" s="1"/>
      <c r="F6475" s="1"/>
    </row>
    <row r="6476" spans="3:6" x14ac:dyDescent="0.25">
      <c r="C6476" s="1"/>
      <c r="F6476" s="1"/>
    </row>
    <row r="6477" spans="3:6" x14ac:dyDescent="0.25">
      <c r="C6477" s="1"/>
      <c r="F6477" s="1"/>
    </row>
    <row r="6478" spans="3:6" x14ac:dyDescent="0.25">
      <c r="C6478" s="1"/>
      <c r="F6478" s="1"/>
    </row>
    <row r="6479" spans="3:6" x14ac:dyDescent="0.25">
      <c r="C6479" s="1"/>
      <c r="F6479" s="1"/>
    </row>
    <row r="6480" spans="3:6" x14ac:dyDescent="0.25">
      <c r="C6480" s="1"/>
      <c r="F6480" s="1"/>
    </row>
    <row r="6481" spans="3:6" x14ac:dyDescent="0.25">
      <c r="C6481" s="1"/>
      <c r="F6481" s="1"/>
    </row>
    <row r="6482" spans="3:6" x14ac:dyDescent="0.25">
      <c r="C6482" s="1"/>
      <c r="F6482" s="1"/>
    </row>
    <row r="6483" spans="3:6" x14ac:dyDescent="0.25">
      <c r="C6483" s="1"/>
      <c r="F6483" s="1"/>
    </row>
    <row r="6484" spans="3:6" x14ac:dyDescent="0.25">
      <c r="C6484" s="1"/>
      <c r="F6484" s="1"/>
    </row>
    <row r="6485" spans="3:6" x14ac:dyDescent="0.25">
      <c r="C6485" s="1"/>
      <c r="F6485" s="1"/>
    </row>
    <row r="6486" spans="3:6" x14ac:dyDescent="0.25">
      <c r="C6486" s="1"/>
      <c r="F6486" s="1"/>
    </row>
    <row r="6487" spans="3:6" x14ac:dyDescent="0.25">
      <c r="C6487" s="1"/>
      <c r="F6487" s="1"/>
    </row>
    <row r="6488" spans="3:6" x14ac:dyDescent="0.25">
      <c r="C6488" s="1"/>
      <c r="F6488" s="1"/>
    </row>
    <row r="6489" spans="3:6" x14ac:dyDescent="0.25">
      <c r="C6489" s="1"/>
      <c r="F6489" s="1"/>
    </row>
    <row r="6490" spans="3:6" x14ac:dyDescent="0.25">
      <c r="C6490" s="1"/>
      <c r="F6490" s="1"/>
    </row>
    <row r="6491" spans="3:6" x14ac:dyDescent="0.25">
      <c r="C6491" s="1"/>
      <c r="F6491" s="1"/>
    </row>
    <row r="6492" spans="3:6" x14ac:dyDescent="0.25">
      <c r="C6492" s="1"/>
      <c r="F6492" s="1"/>
    </row>
    <row r="6493" spans="3:6" x14ac:dyDescent="0.25">
      <c r="C6493" s="1"/>
      <c r="F6493" s="1"/>
    </row>
    <row r="6494" spans="3:6" x14ac:dyDescent="0.25">
      <c r="C6494" s="1"/>
      <c r="F6494" s="1"/>
    </row>
    <row r="6495" spans="3:6" x14ac:dyDescent="0.25">
      <c r="C6495" s="1"/>
      <c r="F6495" s="1"/>
    </row>
    <row r="6496" spans="3:6" x14ac:dyDescent="0.25">
      <c r="C6496" s="1"/>
      <c r="F6496" s="1"/>
    </row>
    <row r="6497" spans="3:6" x14ac:dyDescent="0.25">
      <c r="C6497" s="1"/>
      <c r="F6497" s="1"/>
    </row>
    <row r="6498" spans="3:6" x14ac:dyDescent="0.25">
      <c r="C6498" s="1"/>
      <c r="F6498" s="1"/>
    </row>
    <row r="6499" spans="3:6" x14ac:dyDescent="0.25">
      <c r="C6499" s="1"/>
      <c r="F6499" s="1"/>
    </row>
    <row r="6500" spans="3:6" x14ac:dyDescent="0.25">
      <c r="C6500" s="1"/>
      <c r="F6500" s="1"/>
    </row>
    <row r="6501" spans="3:6" x14ac:dyDescent="0.25">
      <c r="C6501" s="1"/>
      <c r="F6501" s="1"/>
    </row>
    <row r="6502" spans="3:6" x14ac:dyDescent="0.25">
      <c r="C6502" s="1"/>
      <c r="F6502" s="1"/>
    </row>
    <row r="6503" spans="3:6" x14ac:dyDescent="0.25">
      <c r="C6503" s="1"/>
      <c r="F6503" s="1"/>
    </row>
    <row r="6504" spans="3:6" x14ac:dyDescent="0.25">
      <c r="C6504" s="1"/>
      <c r="F6504" s="1"/>
    </row>
    <row r="6505" spans="3:6" x14ac:dyDescent="0.25">
      <c r="C6505" s="1"/>
      <c r="F6505" s="1"/>
    </row>
    <row r="6506" spans="3:6" x14ac:dyDescent="0.25">
      <c r="C6506" s="1"/>
      <c r="F6506" s="1"/>
    </row>
    <row r="6507" spans="3:6" x14ac:dyDescent="0.25">
      <c r="C6507" s="1"/>
      <c r="F6507" s="1"/>
    </row>
    <row r="6508" spans="3:6" x14ac:dyDescent="0.25">
      <c r="C6508" s="1"/>
      <c r="F6508" s="1"/>
    </row>
    <row r="6509" spans="3:6" x14ac:dyDescent="0.25">
      <c r="C6509" s="1"/>
      <c r="F6509" s="1"/>
    </row>
    <row r="6510" spans="3:6" x14ac:dyDescent="0.25">
      <c r="C6510" s="1"/>
      <c r="F6510" s="1"/>
    </row>
    <row r="6511" spans="3:6" x14ac:dyDescent="0.25">
      <c r="C6511" s="1"/>
      <c r="F6511" s="1"/>
    </row>
    <row r="6512" spans="3:6" x14ac:dyDescent="0.25">
      <c r="C6512" s="1"/>
      <c r="F6512" s="1"/>
    </row>
    <row r="6513" spans="3:6" x14ac:dyDescent="0.25">
      <c r="C6513" s="1"/>
      <c r="F6513" s="1"/>
    </row>
    <row r="6514" spans="3:6" x14ac:dyDescent="0.25">
      <c r="C6514" s="1"/>
      <c r="F6514" s="1"/>
    </row>
    <row r="6515" spans="3:6" x14ac:dyDescent="0.25">
      <c r="C6515" s="1"/>
      <c r="F6515" s="1"/>
    </row>
    <row r="6516" spans="3:6" x14ac:dyDescent="0.25">
      <c r="C6516" s="1"/>
      <c r="F6516" s="1"/>
    </row>
    <row r="6517" spans="3:6" x14ac:dyDescent="0.25">
      <c r="C6517" s="1"/>
      <c r="F6517" s="1"/>
    </row>
    <row r="6518" spans="3:6" x14ac:dyDescent="0.25">
      <c r="C6518" s="1"/>
      <c r="F6518" s="1"/>
    </row>
    <row r="6519" spans="3:6" x14ac:dyDescent="0.25">
      <c r="C6519" s="1"/>
      <c r="F6519" s="1"/>
    </row>
    <row r="6520" spans="3:6" x14ac:dyDescent="0.25">
      <c r="C6520" s="1"/>
      <c r="F6520" s="1"/>
    </row>
    <row r="6521" spans="3:6" x14ac:dyDescent="0.25">
      <c r="C6521" s="1"/>
      <c r="F6521" s="1"/>
    </row>
    <row r="6522" spans="3:6" x14ac:dyDescent="0.25">
      <c r="C6522" s="1"/>
      <c r="F6522" s="1"/>
    </row>
    <row r="6523" spans="3:6" x14ac:dyDescent="0.25">
      <c r="C6523" s="1"/>
      <c r="F6523" s="1"/>
    </row>
    <row r="6524" spans="3:6" x14ac:dyDescent="0.25">
      <c r="C6524" s="1"/>
      <c r="F6524" s="1"/>
    </row>
    <row r="6525" spans="3:6" x14ac:dyDescent="0.25">
      <c r="C6525" s="1"/>
      <c r="F6525" s="1"/>
    </row>
    <row r="6526" spans="3:6" x14ac:dyDescent="0.25">
      <c r="C6526" s="1"/>
      <c r="F6526" s="1"/>
    </row>
    <row r="6527" spans="3:6" x14ac:dyDescent="0.25">
      <c r="C6527" s="1"/>
      <c r="F6527" s="1"/>
    </row>
    <row r="6528" spans="3:6" x14ac:dyDescent="0.25">
      <c r="C6528" s="1"/>
      <c r="F6528" s="1"/>
    </row>
    <row r="6529" spans="3:6" x14ac:dyDescent="0.25">
      <c r="C6529" s="1"/>
      <c r="F6529" s="1"/>
    </row>
    <row r="6530" spans="3:6" x14ac:dyDescent="0.25">
      <c r="C6530" s="1"/>
      <c r="F6530" s="1"/>
    </row>
    <row r="6531" spans="3:6" x14ac:dyDescent="0.25">
      <c r="C6531" s="1"/>
      <c r="F6531" s="1"/>
    </row>
    <row r="6532" spans="3:6" x14ac:dyDescent="0.25">
      <c r="C6532" s="1"/>
      <c r="F6532" s="1"/>
    </row>
    <row r="6533" spans="3:6" x14ac:dyDescent="0.25">
      <c r="C6533" s="1"/>
      <c r="F6533" s="1"/>
    </row>
    <row r="6534" spans="3:6" x14ac:dyDescent="0.25">
      <c r="C6534" s="1"/>
      <c r="F6534" s="1"/>
    </row>
    <row r="6535" spans="3:6" x14ac:dyDescent="0.25">
      <c r="C6535" s="1"/>
      <c r="F6535" s="1"/>
    </row>
    <row r="6536" spans="3:6" x14ac:dyDescent="0.25">
      <c r="C6536" s="1"/>
      <c r="F6536" s="1"/>
    </row>
    <row r="6537" spans="3:6" x14ac:dyDescent="0.25">
      <c r="C6537" s="1"/>
      <c r="F6537" s="1"/>
    </row>
    <row r="6538" spans="3:6" x14ac:dyDescent="0.25">
      <c r="C6538" s="1"/>
      <c r="F6538" s="1"/>
    </row>
    <row r="6539" spans="3:6" x14ac:dyDescent="0.25">
      <c r="C6539" s="1"/>
      <c r="F6539" s="1"/>
    </row>
    <row r="6540" spans="3:6" x14ac:dyDescent="0.25">
      <c r="C6540" s="1"/>
      <c r="F6540" s="1"/>
    </row>
    <row r="6541" spans="3:6" x14ac:dyDescent="0.25">
      <c r="C6541" s="1"/>
      <c r="F6541" s="1"/>
    </row>
    <row r="6542" spans="3:6" x14ac:dyDescent="0.25">
      <c r="C6542" s="1"/>
      <c r="F6542" s="1"/>
    </row>
    <row r="6543" spans="3:6" x14ac:dyDescent="0.25">
      <c r="C6543" s="1"/>
      <c r="F6543" s="1"/>
    </row>
    <row r="6544" spans="3:6" x14ac:dyDescent="0.25">
      <c r="C6544" s="1"/>
      <c r="F6544" s="1"/>
    </row>
    <row r="6545" spans="3:6" x14ac:dyDescent="0.25">
      <c r="C6545" s="1"/>
      <c r="F6545" s="1"/>
    </row>
    <row r="6546" spans="3:6" x14ac:dyDescent="0.25">
      <c r="C6546" s="1"/>
      <c r="F6546" s="1"/>
    </row>
    <row r="6547" spans="3:6" x14ac:dyDescent="0.25">
      <c r="C6547" s="1"/>
      <c r="F6547" s="1"/>
    </row>
    <row r="6548" spans="3:6" x14ac:dyDescent="0.25">
      <c r="C6548" s="1"/>
      <c r="F6548" s="1"/>
    </row>
    <row r="6549" spans="3:6" x14ac:dyDescent="0.25">
      <c r="C6549" s="1"/>
      <c r="F6549" s="1"/>
    </row>
    <row r="6550" spans="3:6" x14ac:dyDescent="0.25">
      <c r="C6550" s="1"/>
      <c r="F6550" s="1"/>
    </row>
    <row r="6551" spans="3:6" x14ac:dyDescent="0.25">
      <c r="C6551" s="1"/>
      <c r="F6551" s="1"/>
    </row>
    <row r="6552" spans="3:6" x14ac:dyDescent="0.25">
      <c r="C6552" s="1"/>
      <c r="F6552" s="1"/>
    </row>
    <row r="6553" spans="3:6" x14ac:dyDescent="0.25">
      <c r="C6553" s="1"/>
      <c r="F6553" s="1"/>
    </row>
    <row r="6554" spans="3:6" x14ac:dyDescent="0.25">
      <c r="C6554" s="1"/>
      <c r="F6554" s="1"/>
    </row>
    <row r="6555" spans="3:6" x14ac:dyDescent="0.25">
      <c r="C6555" s="1"/>
      <c r="F6555" s="1"/>
    </row>
    <row r="6556" spans="3:6" x14ac:dyDescent="0.25">
      <c r="C6556" s="1"/>
      <c r="F6556" s="1"/>
    </row>
    <row r="6557" spans="3:6" x14ac:dyDescent="0.25">
      <c r="C6557" s="1"/>
      <c r="F6557" s="1"/>
    </row>
    <row r="6558" spans="3:6" x14ac:dyDescent="0.25">
      <c r="C6558" s="1"/>
      <c r="F6558" s="1"/>
    </row>
    <row r="6559" spans="3:6" x14ac:dyDescent="0.25">
      <c r="C6559" s="1"/>
      <c r="F6559" s="1"/>
    </row>
    <row r="6560" spans="3:6" x14ac:dyDescent="0.25">
      <c r="C6560" s="1"/>
      <c r="F6560" s="1"/>
    </row>
    <row r="6561" spans="3:6" x14ac:dyDescent="0.25">
      <c r="C6561" s="1"/>
      <c r="F6561" s="1"/>
    </row>
    <row r="6562" spans="3:6" x14ac:dyDescent="0.25">
      <c r="C6562" s="1"/>
      <c r="F6562" s="1"/>
    </row>
    <row r="6563" spans="3:6" x14ac:dyDescent="0.25">
      <c r="C6563" s="1"/>
      <c r="F6563" s="1"/>
    </row>
    <row r="6564" spans="3:6" x14ac:dyDescent="0.25">
      <c r="C6564" s="1"/>
      <c r="F6564" s="1"/>
    </row>
    <row r="6565" spans="3:6" x14ac:dyDescent="0.25">
      <c r="C6565" s="1"/>
      <c r="F6565" s="1"/>
    </row>
    <row r="6566" spans="3:6" x14ac:dyDescent="0.25">
      <c r="C6566" s="1"/>
      <c r="F6566" s="1"/>
    </row>
    <row r="6567" spans="3:6" x14ac:dyDescent="0.25">
      <c r="C6567" s="1"/>
      <c r="F6567" s="1"/>
    </row>
    <row r="6568" spans="3:6" x14ac:dyDescent="0.25">
      <c r="C6568" s="1"/>
      <c r="F6568" s="1"/>
    </row>
    <row r="6569" spans="3:6" x14ac:dyDescent="0.25">
      <c r="C6569" s="1"/>
      <c r="F6569" s="1"/>
    </row>
    <row r="6570" spans="3:6" x14ac:dyDescent="0.25">
      <c r="C6570" s="1"/>
      <c r="F6570" s="1"/>
    </row>
    <row r="6571" spans="3:6" x14ac:dyDescent="0.25">
      <c r="C6571" s="1"/>
      <c r="F6571" s="1"/>
    </row>
    <row r="6572" spans="3:6" x14ac:dyDescent="0.25">
      <c r="C6572" s="1"/>
      <c r="F6572" s="1"/>
    </row>
    <row r="6573" spans="3:6" x14ac:dyDescent="0.25">
      <c r="C6573" s="1"/>
      <c r="F6573" s="1"/>
    </row>
    <row r="6574" spans="3:6" x14ac:dyDescent="0.25">
      <c r="C6574" s="1"/>
      <c r="F6574" s="1"/>
    </row>
    <row r="6575" spans="3:6" x14ac:dyDescent="0.25">
      <c r="C6575" s="1"/>
      <c r="F6575" s="1"/>
    </row>
    <row r="6576" spans="3:6" x14ac:dyDescent="0.25">
      <c r="C6576" s="1"/>
      <c r="F6576" s="1"/>
    </row>
    <row r="6577" spans="3:6" x14ac:dyDescent="0.25">
      <c r="C6577" s="1"/>
      <c r="F6577" s="1"/>
    </row>
    <row r="6578" spans="3:6" x14ac:dyDescent="0.25">
      <c r="C6578" s="1"/>
      <c r="F6578" s="1"/>
    </row>
    <row r="6579" spans="3:6" x14ac:dyDescent="0.25">
      <c r="C6579" s="1"/>
      <c r="F6579" s="1"/>
    </row>
    <row r="6580" spans="3:6" x14ac:dyDescent="0.25">
      <c r="C6580" s="1"/>
      <c r="F6580" s="1"/>
    </row>
    <row r="6581" spans="3:6" x14ac:dyDescent="0.25">
      <c r="C6581" s="1"/>
      <c r="F6581" s="1"/>
    </row>
    <row r="6582" spans="3:6" x14ac:dyDescent="0.25">
      <c r="C6582" s="1"/>
      <c r="F6582" s="1"/>
    </row>
    <row r="6583" spans="3:6" x14ac:dyDescent="0.25">
      <c r="C6583" s="1"/>
      <c r="F6583" s="1"/>
    </row>
    <row r="6584" spans="3:6" x14ac:dyDescent="0.25">
      <c r="C6584" s="1"/>
      <c r="F6584" s="1"/>
    </row>
    <row r="6585" spans="3:6" x14ac:dyDescent="0.25">
      <c r="C6585" s="1"/>
      <c r="F6585" s="1"/>
    </row>
    <row r="6586" spans="3:6" x14ac:dyDescent="0.25">
      <c r="C6586" s="1"/>
      <c r="F6586" s="1"/>
    </row>
    <row r="6587" spans="3:6" x14ac:dyDescent="0.25">
      <c r="C6587" s="1"/>
      <c r="F6587" s="1"/>
    </row>
    <row r="6588" spans="3:6" x14ac:dyDescent="0.25">
      <c r="C6588" s="1"/>
      <c r="F6588" s="1"/>
    </row>
    <row r="6589" spans="3:6" x14ac:dyDescent="0.25">
      <c r="C6589" s="1"/>
      <c r="F6589" s="1"/>
    </row>
    <row r="6590" spans="3:6" x14ac:dyDescent="0.25">
      <c r="C6590" s="1"/>
      <c r="F6590" s="1"/>
    </row>
    <row r="6591" spans="3:6" x14ac:dyDescent="0.25">
      <c r="C6591" s="1"/>
      <c r="F6591" s="1"/>
    </row>
    <row r="6592" spans="3:6" x14ac:dyDescent="0.25">
      <c r="C6592" s="1"/>
      <c r="F6592" s="1"/>
    </row>
    <row r="6593" spans="3:6" x14ac:dyDescent="0.25">
      <c r="C6593" s="1"/>
      <c r="F6593" s="1"/>
    </row>
    <row r="6594" spans="3:6" x14ac:dyDescent="0.25">
      <c r="C6594" s="1"/>
      <c r="F6594" s="1"/>
    </row>
    <row r="6595" spans="3:6" x14ac:dyDescent="0.25">
      <c r="C6595" s="1"/>
      <c r="F6595" s="1"/>
    </row>
    <row r="6596" spans="3:6" x14ac:dyDescent="0.25">
      <c r="C6596" s="1"/>
      <c r="F6596" s="1"/>
    </row>
    <row r="6597" spans="3:6" x14ac:dyDescent="0.25">
      <c r="C6597" s="1"/>
      <c r="F6597" s="1"/>
    </row>
    <row r="6598" spans="3:6" x14ac:dyDescent="0.25">
      <c r="C6598" s="1"/>
      <c r="F6598" s="1"/>
    </row>
    <row r="6599" spans="3:6" x14ac:dyDescent="0.25">
      <c r="C6599" s="1"/>
      <c r="F6599" s="1"/>
    </row>
    <row r="6600" spans="3:6" x14ac:dyDescent="0.25">
      <c r="C6600" s="1"/>
      <c r="F6600" s="1"/>
    </row>
    <row r="6601" spans="3:6" x14ac:dyDescent="0.25">
      <c r="C6601" s="1"/>
      <c r="F6601" s="1"/>
    </row>
    <row r="6602" spans="3:6" x14ac:dyDescent="0.25">
      <c r="C6602" s="1"/>
      <c r="F6602" s="1"/>
    </row>
    <row r="6603" spans="3:6" x14ac:dyDescent="0.25">
      <c r="C6603" s="1"/>
      <c r="F6603" s="1"/>
    </row>
    <row r="6604" spans="3:6" x14ac:dyDescent="0.25">
      <c r="C6604" s="1"/>
      <c r="F6604" s="1"/>
    </row>
    <row r="6605" spans="3:6" x14ac:dyDescent="0.25">
      <c r="C6605" s="1"/>
      <c r="F6605" s="1"/>
    </row>
    <row r="6606" spans="3:6" x14ac:dyDescent="0.25">
      <c r="C6606" s="1"/>
      <c r="F6606" s="1"/>
    </row>
    <row r="6607" spans="3:6" x14ac:dyDescent="0.25">
      <c r="C6607" s="1"/>
      <c r="F6607" s="1"/>
    </row>
    <row r="6608" spans="3:6" x14ac:dyDescent="0.25">
      <c r="C6608" s="1"/>
      <c r="F6608" s="1"/>
    </row>
    <row r="6609" spans="3:6" x14ac:dyDescent="0.25">
      <c r="C6609" s="1"/>
      <c r="F6609" s="1"/>
    </row>
    <row r="6610" spans="3:6" x14ac:dyDescent="0.25">
      <c r="C6610" s="1"/>
      <c r="F6610" s="1"/>
    </row>
    <row r="6611" spans="3:6" x14ac:dyDescent="0.25">
      <c r="C6611" s="1"/>
      <c r="F6611" s="1"/>
    </row>
    <row r="6612" spans="3:6" x14ac:dyDescent="0.25">
      <c r="C6612" s="1"/>
      <c r="F6612" s="1"/>
    </row>
    <row r="6613" spans="3:6" x14ac:dyDescent="0.25">
      <c r="C6613" s="1"/>
      <c r="F6613" s="1"/>
    </row>
    <row r="6614" spans="3:6" x14ac:dyDescent="0.25">
      <c r="C6614" s="1"/>
      <c r="F6614" s="1"/>
    </row>
    <row r="6615" spans="3:6" x14ac:dyDescent="0.25">
      <c r="C6615" s="1"/>
      <c r="F6615" s="1"/>
    </row>
    <row r="6616" spans="3:6" x14ac:dyDescent="0.25">
      <c r="C6616" s="1"/>
      <c r="F6616" s="1"/>
    </row>
    <row r="6617" spans="3:6" x14ac:dyDescent="0.25">
      <c r="C6617" s="1"/>
      <c r="F6617" s="1"/>
    </row>
    <row r="6618" spans="3:6" x14ac:dyDescent="0.25">
      <c r="C6618" s="1"/>
      <c r="F6618" s="1"/>
    </row>
    <row r="6619" spans="3:6" x14ac:dyDescent="0.25">
      <c r="C6619" s="1"/>
      <c r="F6619" s="1"/>
    </row>
    <row r="6620" spans="3:6" x14ac:dyDescent="0.25">
      <c r="C6620" s="1"/>
      <c r="F6620" s="1"/>
    </row>
    <row r="6621" spans="3:6" x14ac:dyDescent="0.25">
      <c r="C6621" s="1"/>
      <c r="F6621" s="1"/>
    </row>
    <row r="6622" spans="3:6" x14ac:dyDescent="0.25">
      <c r="C6622" s="1"/>
      <c r="F6622" s="1"/>
    </row>
    <row r="6623" spans="3:6" x14ac:dyDescent="0.25">
      <c r="C6623" s="1"/>
      <c r="F6623" s="1"/>
    </row>
    <row r="6624" spans="3:6" x14ac:dyDescent="0.25">
      <c r="C6624" s="1"/>
      <c r="F6624" s="1"/>
    </row>
    <row r="6625" spans="3:6" x14ac:dyDescent="0.25">
      <c r="C6625" s="1"/>
      <c r="F6625" s="1"/>
    </row>
    <row r="6626" spans="3:6" x14ac:dyDescent="0.25">
      <c r="C6626" s="1"/>
      <c r="F6626" s="1"/>
    </row>
    <row r="6627" spans="3:6" x14ac:dyDescent="0.25">
      <c r="C6627" s="1"/>
      <c r="F6627" s="1"/>
    </row>
    <row r="6628" spans="3:6" x14ac:dyDescent="0.25">
      <c r="C6628" s="1"/>
      <c r="F6628" s="1"/>
    </row>
    <row r="6629" spans="3:6" x14ac:dyDescent="0.25">
      <c r="C6629" s="1"/>
      <c r="F6629" s="1"/>
    </row>
    <row r="6630" spans="3:6" x14ac:dyDescent="0.25">
      <c r="C6630" s="1"/>
      <c r="F6630" s="1"/>
    </row>
    <row r="6631" spans="3:6" x14ac:dyDescent="0.25">
      <c r="C6631" s="1"/>
      <c r="F6631" s="1"/>
    </row>
    <row r="6632" spans="3:6" x14ac:dyDescent="0.25">
      <c r="C6632" s="1"/>
      <c r="F6632" s="1"/>
    </row>
    <row r="6633" spans="3:6" x14ac:dyDescent="0.25">
      <c r="C6633" s="1"/>
      <c r="F6633" s="1"/>
    </row>
    <row r="6634" spans="3:6" x14ac:dyDescent="0.25">
      <c r="C6634" s="1"/>
      <c r="F6634" s="1"/>
    </row>
    <row r="6635" spans="3:6" x14ac:dyDescent="0.25">
      <c r="C6635" s="1"/>
      <c r="F6635" s="1"/>
    </row>
    <row r="6636" spans="3:6" x14ac:dyDescent="0.25">
      <c r="C6636" s="1"/>
      <c r="F6636" s="1"/>
    </row>
    <row r="6637" spans="3:6" x14ac:dyDescent="0.25">
      <c r="C6637" s="1"/>
      <c r="F6637" s="1"/>
    </row>
    <row r="6638" spans="3:6" x14ac:dyDescent="0.25">
      <c r="C6638" s="1"/>
      <c r="F6638" s="1"/>
    </row>
    <row r="6639" spans="3:6" x14ac:dyDescent="0.25">
      <c r="C6639" s="1"/>
      <c r="F6639" s="1"/>
    </row>
    <row r="6640" spans="3:6" x14ac:dyDescent="0.25">
      <c r="C6640" s="1"/>
      <c r="F6640" s="1"/>
    </row>
    <row r="6641" spans="3:6" x14ac:dyDescent="0.25">
      <c r="C6641" s="1"/>
      <c r="F6641" s="1"/>
    </row>
    <row r="6642" spans="3:6" x14ac:dyDescent="0.25">
      <c r="C6642" s="1"/>
      <c r="F6642" s="1"/>
    </row>
    <row r="6643" spans="3:6" x14ac:dyDescent="0.25">
      <c r="C6643" s="1"/>
      <c r="F6643" s="1"/>
    </row>
    <row r="6644" spans="3:6" x14ac:dyDescent="0.25">
      <c r="C6644" s="1"/>
      <c r="F6644" s="1"/>
    </row>
    <row r="6645" spans="3:6" x14ac:dyDescent="0.25">
      <c r="C6645" s="1"/>
      <c r="F6645" s="1"/>
    </row>
    <row r="6646" spans="3:6" x14ac:dyDescent="0.25">
      <c r="C6646" s="1"/>
      <c r="F6646" s="1"/>
    </row>
    <row r="6647" spans="3:6" x14ac:dyDescent="0.25">
      <c r="C6647" s="1"/>
      <c r="F6647" s="1"/>
    </row>
    <row r="6648" spans="3:6" x14ac:dyDescent="0.25">
      <c r="C6648" s="1"/>
      <c r="F6648" s="1"/>
    </row>
    <row r="6649" spans="3:6" x14ac:dyDescent="0.25">
      <c r="C6649" s="1"/>
      <c r="F6649" s="1"/>
    </row>
    <row r="6650" spans="3:6" x14ac:dyDescent="0.25">
      <c r="C6650" s="1"/>
      <c r="F6650" s="1"/>
    </row>
    <row r="6651" spans="3:6" x14ac:dyDescent="0.25">
      <c r="C6651" s="1"/>
      <c r="F6651" s="1"/>
    </row>
    <row r="6652" spans="3:6" x14ac:dyDescent="0.25">
      <c r="C6652" s="1"/>
      <c r="F6652" s="1"/>
    </row>
    <row r="6653" spans="3:6" x14ac:dyDescent="0.25">
      <c r="C6653" s="1"/>
      <c r="F6653" s="1"/>
    </row>
    <row r="6654" spans="3:6" x14ac:dyDescent="0.25">
      <c r="C6654" s="1"/>
      <c r="F6654" s="1"/>
    </row>
    <row r="6655" spans="3:6" x14ac:dyDescent="0.25">
      <c r="C6655" s="1"/>
      <c r="F6655" s="1"/>
    </row>
    <row r="6656" spans="3:6" x14ac:dyDescent="0.25">
      <c r="C6656" s="1"/>
      <c r="F6656" s="1"/>
    </row>
    <row r="6657" spans="3:6" x14ac:dyDescent="0.25">
      <c r="C6657" s="1"/>
      <c r="F6657" s="1"/>
    </row>
    <row r="6658" spans="3:6" x14ac:dyDescent="0.25">
      <c r="C6658" s="1"/>
      <c r="F6658" s="1"/>
    </row>
    <row r="6659" spans="3:6" x14ac:dyDescent="0.25">
      <c r="C6659" s="1"/>
      <c r="F6659" s="1"/>
    </row>
    <row r="6660" spans="3:6" x14ac:dyDescent="0.25">
      <c r="C6660" s="1"/>
      <c r="F6660" s="1"/>
    </row>
    <row r="6661" spans="3:6" x14ac:dyDescent="0.25">
      <c r="C6661" s="1"/>
      <c r="F6661" s="1"/>
    </row>
    <row r="6662" spans="3:6" x14ac:dyDescent="0.25">
      <c r="C6662" s="1"/>
      <c r="F6662" s="1"/>
    </row>
    <row r="6663" spans="3:6" x14ac:dyDescent="0.25">
      <c r="C6663" s="1"/>
      <c r="F6663" s="1"/>
    </row>
    <row r="6664" spans="3:6" x14ac:dyDescent="0.25">
      <c r="C6664" s="1"/>
      <c r="F6664" s="1"/>
    </row>
    <row r="6665" spans="3:6" x14ac:dyDescent="0.25">
      <c r="C6665" s="1"/>
      <c r="F6665" s="1"/>
    </row>
    <row r="6666" spans="3:6" x14ac:dyDescent="0.25">
      <c r="C6666" s="1"/>
      <c r="F6666" s="1"/>
    </row>
    <row r="6667" spans="3:6" x14ac:dyDescent="0.25">
      <c r="C6667" s="1"/>
      <c r="F6667" s="1"/>
    </row>
    <row r="6668" spans="3:6" x14ac:dyDescent="0.25">
      <c r="C6668" s="1"/>
      <c r="F6668" s="1"/>
    </row>
    <row r="6669" spans="3:6" x14ac:dyDescent="0.25">
      <c r="C6669" s="1"/>
      <c r="F6669" s="1"/>
    </row>
    <row r="6670" spans="3:6" x14ac:dyDescent="0.25">
      <c r="C6670" s="1"/>
      <c r="F6670" s="1"/>
    </row>
    <row r="6671" spans="3:6" x14ac:dyDescent="0.25">
      <c r="C6671" s="1"/>
      <c r="F6671" s="1"/>
    </row>
    <row r="6672" spans="3:6" x14ac:dyDescent="0.25">
      <c r="C6672" s="1"/>
      <c r="F6672" s="1"/>
    </row>
    <row r="6673" spans="3:6" x14ac:dyDescent="0.25">
      <c r="C6673" s="1"/>
      <c r="F6673" s="1"/>
    </row>
    <row r="6674" spans="3:6" x14ac:dyDescent="0.25">
      <c r="C6674" s="1"/>
      <c r="F6674" s="1"/>
    </row>
    <row r="6675" spans="3:6" x14ac:dyDescent="0.25">
      <c r="C6675" s="1"/>
      <c r="F6675" s="1"/>
    </row>
    <row r="6676" spans="3:6" x14ac:dyDescent="0.25">
      <c r="C6676" s="1"/>
      <c r="F6676" s="1"/>
    </row>
    <row r="6677" spans="3:6" x14ac:dyDescent="0.25">
      <c r="C6677" s="1"/>
      <c r="F6677" s="1"/>
    </row>
    <row r="6678" spans="3:6" x14ac:dyDescent="0.25">
      <c r="C6678" s="1"/>
      <c r="F6678" s="1"/>
    </row>
    <row r="6679" spans="3:6" x14ac:dyDescent="0.25">
      <c r="C6679" s="1"/>
      <c r="F6679" s="1"/>
    </row>
    <row r="6680" spans="3:6" x14ac:dyDescent="0.25">
      <c r="C6680" s="1"/>
      <c r="F6680" s="1"/>
    </row>
    <row r="6681" spans="3:6" x14ac:dyDescent="0.25">
      <c r="C6681" s="1"/>
      <c r="F6681" s="1"/>
    </row>
    <row r="6682" spans="3:6" x14ac:dyDescent="0.25">
      <c r="C6682" s="1"/>
      <c r="F6682" s="1"/>
    </row>
    <row r="6683" spans="3:6" x14ac:dyDescent="0.25">
      <c r="C6683" s="1"/>
      <c r="F6683" s="1"/>
    </row>
    <row r="6684" spans="3:6" x14ac:dyDescent="0.25">
      <c r="C6684" s="1"/>
      <c r="F6684" s="1"/>
    </row>
    <row r="6685" spans="3:6" x14ac:dyDescent="0.25">
      <c r="C6685" s="1"/>
      <c r="F6685" s="1"/>
    </row>
    <row r="6686" spans="3:6" x14ac:dyDescent="0.25">
      <c r="C6686" s="1"/>
      <c r="F6686" s="1"/>
    </row>
    <row r="6687" spans="3:6" x14ac:dyDescent="0.25">
      <c r="C6687" s="1"/>
      <c r="F6687" s="1"/>
    </row>
    <row r="6688" spans="3:6" x14ac:dyDescent="0.25">
      <c r="C6688" s="1"/>
      <c r="F6688" s="1"/>
    </row>
    <row r="6689" spans="3:6" x14ac:dyDescent="0.25">
      <c r="C6689" s="1"/>
      <c r="F6689" s="1"/>
    </row>
    <row r="6690" spans="3:6" x14ac:dyDescent="0.25">
      <c r="C6690" s="1"/>
      <c r="F6690" s="1"/>
    </row>
    <row r="6691" spans="3:6" x14ac:dyDescent="0.25">
      <c r="C6691" s="1"/>
      <c r="F6691" s="1"/>
    </row>
    <row r="6692" spans="3:6" x14ac:dyDescent="0.25">
      <c r="C6692" s="1"/>
      <c r="F6692" s="1"/>
    </row>
    <row r="6693" spans="3:6" x14ac:dyDescent="0.25">
      <c r="C6693" s="1"/>
      <c r="F6693" s="1"/>
    </row>
    <row r="6694" spans="3:6" x14ac:dyDescent="0.25">
      <c r="C6694" s="1"/>
      <c r="F6694" s="1"/>
    </row>
    <row r="6695" spans="3:6" x14ac:dyDescent="0.25">
      <c r="C6695" s="1"/>
      <c r="F6695" s="1"/>
    </row>
    <row r="6696" spans="3:6" x14ac:dyDescent="0.25">
      <c r="C6696" s="1"/>
      <c r="F6696" s="1"/>
    </row>
    <row r="6697" spans="3:6" x14ac:dyDescent="0.25">
      <c r="C6697" s="1"/>
      <c r="F6697" s="1"/>
    </row>
    <row r="6698" spans="3:6" x14ac:dyDescent="0.25">
      <c r="C6698" s="1"/>
      <c r="F6698" s="1"/>
    </row>
    <row r="6699" spans="3:6" x14ac:dyDescent="0.25">
      <c r="C6699" s="1"/>
      <c r="F6699" s="1"/>
    </row>
    <row r="6700" spans="3:6" x14ac:dyDescent="0.25">
      <c r="C6700" s="1"/>
      <c r="F6700" s="1"/>
    </row>
    <row r="6701" spans="3:6" x14ac:dyDescent="0.25">
      <c r="C6701" s="1"/>
      <c r="F6701" s="1"/>
    </row>
    <row r="6702" spans="3:6" x14ac:dyDescent="0.25">
      <c r="C6702" s="1"/>
      <c r="F6702" s="1"/>
    </row>
    <row r="6703" spans="3:6" x14ac:dyDescent="0.25">
      <c r="C6703" s="1"/>
      <c r="F6703" s="1"/>
    </row>
    <row r="6704" spans="3:6" x14ac:dyDescent="0.25">
      <c r="C6704" s="1"/>
      <c r="F6704" s="1"/>
    </row>
    <row r="6705" spans="3:6" x14ac:dyDescent="0.25">
      <c r="C6705" s="1"/>
      <c r="F6705" s="1"/>
    </row>
    <row r="6706" spans="3:6" x14ac:dyDescent="0.25">
      <c r="C6706" s="1"/>
      <c r="F6706" s="1"/>
    </row>
    <row r="6707" spans="3:6" x14ac:dyDescent="0.25">
      <c r="C6707" s="1"/>
      <c r="F6707" s="1"/>
    </row>
    <row r="6708" spans="3:6" x14ac:dyDescent="0.25">
      <c r="C6708" s="1"/>
      <c r="F6708" s="1"/>
    </row>
    <row r="6709" spans="3:6" x14ac:dyDescent="0.25">
      <c r="C6709" s="1"/>
      <c r="F6709" s="1"/>
    </row>
    <row r="6710" spans="3:6" x14ac:dyDescent="0.25">
      <c r="C6710" s="1"/>
      <c r="F6710" s="1"/>
    </row>
    <row r="6711" spans="3:6" x14ac:dyDescent="0.25">
      <c r="C6711" s="1"/>
      <c r="F6711" s="1"/>
    </row>
    <row r="6712" spans="3:6" x14ac:dyDescent="0.25">
      <c r="C6712" s="1"/>
      <c r="F6712" s="1"/>
    </row>
    <row r="6713" spans="3:6" x14ac:dyDescent="0.25">
      <c r="C6713" s="1"/>
      <c r="F6713" s="1"/>
    </row>
    <row r="6714" spans="3:6" x14ac:dyDescent="0.25">
      <c r="C6714" s="1"/>
      <c r="F6714" s="1"/>
    </row>
    <row r="6715" spans="3:6" x14ac:dyDescent="0.25">
      <c r="C6715" s="1"/>
      <c r="F6715" s="1"/>
    </row>
    <row r="6716" spans="3:6" x14ac:dyDescent="0.25">
      <c r="C6716" s="1"/>
      <c r="F6716" s="1"/>
    </row>
    <row r="6717" spans="3:6" x14ac:dyDescent="0.25">
      <c r="C6717" s="1"/>
      <c r="F6717" s="1"/>
    </row>
    <row r="6718" spans="3:6" x14ac:dyDescent="0.25">
      <c r="C6718" s="1"/>
      <c r="F6718" s="1"/>
    </row>
    <row r="6719" spans="3:6" x14ac:dyDescent="0.25">
      <c r="C6719" s="1"/>
      <c r="F6719" s="1"/>
    </row>
    <row r="6720" spans="3:6" x14ac:dyDescent="0.25">
      <c r="C6720" s="1"/>
      <c r="F6720" s="1"/>
    </row>
    <row r="6721" spans="3:6" x14ac:dyDescent="0.25">
      <c r="C6721" s="1"/>
      <c r="F6721" s="1"/>
    </row>
    <row r="6722" spans="3:6" x14ac:dyDescent="0.25">
      <c r="C6722" s="1"/>
      <c r="F6722" s="1"/>
    </row>
    <row r="6723" spans="3:6" x14ac:dyDescent="0.25">
      <c r="C6723" s="1"/>
      <c r="F6723" s="1"/>
    </row>
    <row r="6724" spans="3:6" x14ac:dyDescent="0.25">
      <c r="C6724" s="1"/>
      <c r="F6724" s="1"/>
    </row>
    <row r="6725" spans="3:6" x14ac:dyDescent="0.25">
      <c r="C6725" s="1"/>
      <c r="F6725" s="1"/>
    </row>
    <row r="6726" spans="3:6" x14ac:dyDescent="0.25">
      <c r="C6726" s="1"/>
      <c r="F6726" s="1"/>
    </row>
    <row r="6727" spans="3:6" x14ac:dyDescent="0.25">
      <c r="C6727" s="1"/>
      <c r="F6727" s="1"/>
    </row>
    <row r="6728" spans="3:6" x14ac:dyDescent="0.25">
      <c r="C6728" s="1"/>
      <c r="F6728" s="1"/>
    </row>
    <row r="6729" spans="3:6" x14ac:dyDescent="0.25">
      <c r="C6729" s="1"/>
      <c r="F6729" s="1"/>
    </row>
    <row r="6730" spans="3:6" x14ac:dyDescent="0.25">
      <c r="C6730" s="1"/>
      <c r="F6730" s="1"/>
    </row>
    <row r="6731" spans="3:6" x14ac:dyDescent="0.25">
      <c r="C6731" s="1"/>
      <c r="F6731" s="1"/>
    </row>
    <row r="6732" spans="3:6" x14ac:dyDescent="0.25">
      <c r="C6732" s="1"/>
      <c r="F6732" s="1"/>
    </row>
    <row r="6733" spans="3:6" x14ac:dyDescent="0.25">
      <c r="C6733" s="1"/>
      <c r="F6733" s="1"/>
    </row>
    <row r="6734" spans="3:6" x14ac:dyDescent="0.25">
      <c r="C6734" s="1"/>
      <c r="F6734" s="1"/>
    </row>
    <row r="6735" spans="3:6" x14ac:dyDescent="0.25">
      <c r="C6735" s="1"/>
      <c r="F6735" s="1"/>
    </row>
    <row r="6736" spans="3:6" x14ac:dyDescent="0.25">
      <c r="C6736" s="1"/>
      <c r="F6736" s="1"/>
    </row>
    <row r="6737" spans="3:6" x14ac:dyDescent="0.25">
      <c r="C6737" s="1"/>
      <c r="F6737" s="1"/>
    </row>
    <row r="6738" spans="3:6" x14ac:dyDescent="0.25">
      <c r="C6738" s="1"/>
      <c r="F6738" s="1"/>
    </row>
    <row r="6739" spans="3:6" x14ac:dyDescent="0.25">
      <c r="C6739" s="1"/>
      <c r="F6739" s="1"/>
    </row>
    <row r="6740" spans="3:6" x14ac:dyDescent="0.25">
      <c r="C6740" s="1"/>
      <c r="F6740" s="1"/>
    </row>
    <row r="6741" spans="3:6" x14ac:dyDescent="0.25">
      <c r="C6741" s="1"/>
      <c r="F6741" s="1"/>
    </row>
    <row r="6742" spans="3:6" x14ac:dyDescent="0.25">
      <c r="C6742" s="1"/>
      <c r="F6742" s="1"/>
    </row>
    <row r="6743" spans="3:6" x14ac:dyDescent="0.25">
      <c r="C6743" s="1"/>
      <c r="F6743" s="1"/>
    </row>
    <row r="6744" spans="3:6" x14ac:dyDescent="0.25">
      <c r="C6744" s="1"/>
      <c r="F6744" s="1"/>
    </row>
    <row r="6745" spans="3:6" x14ac:dyDescent="0.25">
      <c r="C6745" s="1"/>
      <c r="F6745" s="1"/>
    </row>
    <row r="6746" spans="3:6" x14ac:dyDescent="0.25">
      <c r="C6746" s="1"/>
      <c r="F6746" s="1"/>
    </row>
    <row r="6747" spans="3:6" x14ac:dyDescent="0.25">
      <c r="C6747" s="1"/>
      <c r="F6747" s="1"/>
    </row>
    <row r="6748" spans="3:6" x14ac:dyDescent="0.25">
      <c r="C6748" s="1"/>
      <c r="F6748" s="1"/>
    </row>
    <row r="6749" spans="3:6" x14ac:dyDescent="0.25">
      <c r="C6749" s="1"/>
      <c r="F6749" s="1"/>
    </row>
    <row r="6750" spans="3:6" x14ac:dyDescent="0.25">
      <c r="C6750" s="1"/>
      <c r="F6750" s="1"/>
    </row>
    <row r="6751" spans="3:6" x14ac:dyDescent="0.25">
      <c r="C6751" s="1"/>
      <c r="F6751" s="1"/>
    </row>
    <row r="6752" spans="3:6" x14ac:dyDescent="0.25">
      <c r="C6752" s="1"/>
      <c r="F6752" s="1"/>
    </row>
    <row r="6753" spans="3:6" x14ac:dyDescent="0.25">
      <c r="C6753" s="1"/>
      <c r="F6753" s="1"/>
    </row>
    <row r="6754" spans="3:6" x14ac:dyDescent="0.25">
      <c r="C6754" s="1"/>
      <c r="F6754" s="1"/>
    </row>
    <row r="6755" spans="3:6" x14ac:dyDescent="0.25">
      <c r="C6755" s="1"/>
      <c r="F6755" s="1"/>
    </row>
    <row r="6756" spans="3:6" x14ac:dyDescent="0.25">
      <c r="C6756" s="1"/>
      <c r="F6756" s="1"/>
    </row>
    <row r="6757" spans="3:6" x14ac:dyDescent="0.25">
      <c r="C6757" s="1"/>
      <c r="F6757" s="1"/>
    </row>
    <row r="6758" spans="3:6" x14ac:dyDescent="0.25">
      <c r="C6758" s="1"/>
      <c r="F6758" s="1"/>
    </row>
    <row r="6759" spans="3:6" x14ac:dyDescent="0.25">
      <c r="C6759" s="1"/>
      <c r="F6759" s="1"/>
    </row>
    <row r="6760" spans="3:6" x14ac:dyDescent="0.25">
      <c r="C6760" s="1"/>
      <c r="F6760" s="1"/>
    </row>
    <row r="6761" spans="3:6" x14ac:dyDescent="0.25">
      <c r="C6761" s="1"/>
      <c r="F6761" s="1"/>
    </row>
    <row r="6762" spans="3:6" x14ac:dyDescent="0.25">
      <c r="C6762" s="1"/>
      <c r="F6762" s="1"/>
    </row>
    <row r="6763" spans="3:6" x14ac:dyDescent="0.25">
      <c r="C6763" s="1"/>
      <c r="F6763" s="1"/>
    </row>
    <row r="6764" spans="3:6" x14ac:dyDescent="0.25">
      <c r="C6764" s="1"/>
      <c r="F6764" s="1"/>
    </row>
    <row r="6765" spans="3:6" x14ac:dyDescent="0.25">
      <c r="C6765" s="1"/>
      <c r="F6765" s="1"/>
    </row>
    <row r="6766" spans="3:6" x14ac:dyDescent="0.25">
      <c r="C6766" s="1"/>
      <c r="F6766" s="1"/>
    </row>
    <row r="6767" spans="3:6" x14ac:dyDescent="0.25">
      <c r="C6767" s="1"/>
      <c r="F6767" s="1"/>
    </row>
    <row r="6768" spans="3:6" x14ac:dyDescent="0.25">
      <c r="C6768" s="1"/>
      <c r="F6768" s="1"/>
    </row>
    <row r="6769" spans="3:6" x14ac:dyDescent="0.25">
      <c r="C6769" s="1"/>
      <c r="F6769" s="1"/>
    </row>
    <row r="6770" spans="3:6" x14ac:dyDescent="0.25">
      <c r="C6770" s="1"/>
      <c r="F6770" s="1"/>
    </row>
    <row r="6771" spans="3:6" x14ac:dyDescent="0.25">
      <c r="C6771" s="1"/>
      <c r="F6771" s="1"/>
    </row>
    <row r="6772" spans="3:6" x14ac:dyDescent="0.25">
      <c r="C6772" s="1"/>
      <c r="F6772" s="1"/>
    </row>
    <row r="6773" spans="3:6" x14ac:dyDescent="0.25">
      <c r="C6773" s="1"/>
      <c r="F6773" s="1"/>
    </row>
    <row r="6774" spans="3:6" x14ac:dyDescent="0.25">
      <c r="C6774" s="1"/>
      <c r="F6774" s="1"/>
    </row>
    <row r="6775" spans="3:6" x14ac:dyDescent="0.25">
      <c r="C6775" s="1"/>
      <c r="F6775" s="1"/>
    </row>
    <row r="6776" spans="3:6" x14ac:dyDescent="0.25">
      <c r="C6776" s="1"/>
      <c r="F6776" s="1"/>
    </row>
    <row r="6777" spans="3:6" x14ac:dyDescent="0.25">
      <c r="C6777" s="1"/>
      <c r="F6777" s="1"/>
    </row>
    <row r="6778" spans="3:6" x14ac:dyDescent="0.25">
      <c r="C6778" s="1"/>
      <c r="F6778" s="1"/>
    </row>
    <row r="6779" spans="3:6" x14ac:dyDescent="0.25">
      <c r="C6779" s="1"/>
      <c r="F6779" s="1"/>
    </row>
    <row r="6780" spans="3:6" x14ac:dyDescent="0.25">
      <c r="C6780" s="1"/>
      <c r="F6780" s="1"/>
    </row>
    <row r="6781" spans="3:6" x14ac:dyDescent="0.25">
      <c r="C6781" s="1"/>
      <c r="F6781" s="1"/>
    </row>
    <row r="6782" spans="3:6" x14ac:dyDescent="0.25">
      <c r="C6782" s="1"/>
      <c r="F6782" s="1"/>
    </row>
    <row r="6783" spans="3:6" x14ac:dyDescent="0.25">
      <c r="C6783" s="1"/>
      <c r="F6783" s="1"/>
    </row>
    <row r="6784" spans="3:6" x14ac:dyDescent="0.25">
      <c r="C6784" s="1"/>
      <c r="F6784" s="1"/>
    </row>
    <row r="6785" spans="3:6" x14ac:dyDescent="0.25">
      <c r="C6785" s="1"/>
      <c r="F6785" s="1"/>
    </row>
    <row r="6786" spans="3:6" x14ac:dyDescent="0.25">
      <c r="C6786" s="1"/>
      <c r="F6786" s="1"/>
    </row>
    <row r="6787" spans="3:6" x14ac:dyDescent="0.25">
      <c r="C6787" s="1"/>
      <c r="F6787" s="1"/>
    </row>
    <row r="6788" spans="3:6" x14ac:dyDescent="0.25">
      <c r="C6788" s="1"/>
      <c r="F6788" s="1"/>
    </row>
    <row r="6789" spans="3:6" x14ac:dyDescent="0.25">
      <c r="C6789" s="1"/>
      <c r="F6789" s="1"/>
    </row>
    <row r="6790" spans="3:6" x14ac:dyDescent="0.25">
      <c r="C6790" s="1"/>
      <c r="F6790" s="1"/>
    </row>
    <row r="6791" spans="3:6" x14ac:dyDescent="0.25">
      <c r="C6791" s="1"/>
      <c r="F6791" s="1"/>
    </row>
    <row r="6792" spans="3:6" x14ac:dyDescent="0.25">
      <c r="C6792" s="1"/>
      <c r="F6792" s="1"/>
    </row>
    <row r="6793" spans="3:6" x14ac:dyDescent="0.25">
      <c r="C6793" s="1"/>
      <c r="F6793" s="1"/>
    </row>
    <row r="6794" spans="3:6" x14ac:dyDescent="0.25">
      <c r="C6794" s="1"/>
      <c r="F6794" s="1"/>
    </row>
    <row r="6795" spans="3:6" x14ac:dyDescent="0.25">
      <c r="C6795" s="1"/>
      <c r="F6795" s="1"/>
    </row>
    <row r="6796" spans="3:6" x14ac:dyDescent="0.25">
      <c r="C6796" s="1"/>
      <c r="F6796" s="1"/>
    </row>
    <row r="6797" spans="3:6" x14ac:dyDescent="0.25">
      <c r="C6797" s="1"/>
      <c r="F6797" s="1"/>
    </row>
    <row r="6798" spans="3:6" x14ac:dyDescent="0.25">
      <c r="C6798" s="1"/>
      <c r="F6798" s="1"/>
    </row>
    <row r="6799" spans="3:6" x14ac:dyDescent="0.25">
      <c r="C6799" s="1"/>
      <c r="F6799" s="1"/>
    </row>
    <row r="6800" spans="3:6" x14ac:dyDescent="0.25">
      <c r="C6800" s="1"/>
      <c r="F6800" s="1"/>
    </row>
    <row r="6801" spans="3:6" x14ac:dyDescent="0.25">
      <c r="C6801" s="1"/>
      <c r="F6801" s="1"/>
    </row>
    <row r="6802" spans="3:6" x14ac:dyDescent="0.25">
      <c r="C6802" s="1"/>
      <c r="F6802" s="1"/>
    </row>
    <row r="6803" spans="3:6" x14ac:dyDescent="0.25">
      <c r="C6803" s="1"/>
      <c r="F6803" s="1"/>
    </row>
    <row r="6804" spans="3:6" x14ac:dyDescent="0.25">
      <c r="C6804" s="1"/>
      <c r="F6804" s="1"/>
    </row>
    <row r="6805" spans="3:6" x14ac:dyDescent="0.25">
      <c r="C6805" s="1"/>
      <c r="F6805" s="1"/>
    </row>
    <row r="6806" spans="3:6" x14ac:dyDescent="0.25">
      <c r="C6806" s="1"/>
      <c r="F6806" s="1"/>
    </row>
    <row r="6807" spans="3:6" x14ac:dyDescent="0.25">
      <c r="C6807" s="1"/>
      <c r="F6807" s="1"/>
    </row>
    <row r="6808" spans="3:6" x14ac:dyDescent="0.25">
      <c r="C6808" s="1"/>
      <c r="F6808" s="1"/>
    </row>
    <row r="6809" spans="3:6" x14ac:dyDescent="0.25">
      <c r="C6809" s="1"/>
      <c r="F6809" s="1"/>
    </row>
    <row r="6810" spans="3:6" x14ac:dyDescent="0.25">
      <c r="C6810" s="1"/>
      <c r="F6810" s="1"/>
    </row>
    <row r="6811" spans="3:6" x14ac:dyDescent="0.25">
      <c r="C6811" s="1"/>
      <c r="F6811" s="1"/>
    </row>
    <row r="6812" spans="3:6" x14ac:dyDescent="0.25">
      <c r="C6812" s="1"/>
      <c r="F6812" s="1"/>
    </row>
    <row r="6813" spans="3:6" x14ac:dyDescent="0.25">
      <c r="C6813" s="1"/>
      <c r="F6813" s="1"/>
    </row>
    <row r="6814" spans="3:6" x14ac:dyDescent="0.25">
      <c r="C6814" s="1"/>
      <c r="F6814" s="1"/>
    </row>
    <row r="6815" spans="3:6" x14ac:dyDescent="0.25">
      <c r="C6815" s="1"/>
      <c r="F6815" s="1"/>
    </row>
    <row r="6816" spans="3:6" x14ac:dyDescent="0.25">
      <c r="C6816" s="1"/>
      <c r="F6816" s="1"/>
    </row>
    <row r="6817" spans="3:6" x14ac:dyDescent="0.25">
      <c r="C6817" s="1"/>
      <c r="F6817" s="1"/>
    </row>
    <row r="6818" spans="3:6" x14ac:dyDescent="0.25">
      <c r="C6818" s="1"/>
      <c r="F6818" s="1"/>
    </row>
    <row r="6819" spans="3:6" x14ac:dyDescent="0.25">
      <c r="C6819" s="1"/>
      <c r="F6819" s="1"/>
    </row>
    <row r="6820" spans="3:6" x14ac:dyDescent="0.25">
      <c r="C6820" s="1"/>
      <c r="F6820" s="1"/>
    </row>
    <row r="6821" spans="3:6" x14ac:dyDescent="0.25">
      <c r="C6821" s="1"/>
      <c r="F6821" s="1"/>
    </row>
    <row r="6822" spans="3:6" x14ac:dyDescent="0.25">
      <c r="C6822" s="1"/>
      <c r="F6822" s="1"/>
    </row>
    <row r="6823" spans="3:6" x14ac:dyDescent="0.25">
      <c r="C6823" s="1"/>
      <c r="F6823" s="1"/>
    </row>
    <row r="6824" spans="3:6" x14ac:dyDescent="0.25">
      <c r="C6824" s="1"/>
      <c r="F6824" s="1"/>
    </row>
    <row r="6825" spans="3:6" x14ac:dyDescent="0.25">
      <c r="C6825" s="1"/>
      <c r="F6825" s="1"/>
    </row>
    <row r="6826" spans="3:6" x14ac:dyDescent="0.25">
      <c r="C6826" s="1"/>
      <c r="F6826" s="1"/>
    </row>
    <row r="6827" spans="3:6" x14ac:dyDescent="0.25">
      <c r="C6827" s="1"/>
      <c r="F6827" s="1"/>
    </row>
    <row r="6828" spans="3:6" x14ac:dyDescent="0.25">
      <c r="C6828" s="1"/>
      <c r="F6828" s="1"/>
    </row>
    <row r="6829" spans="3:6" x14ac:dyDescent="0.25">
      <c r="C6829" s="1"/>
      <c r="F6829" s="1"/>
    </row>
    <row r="6830" spans="3:6" x14ac:dyDescent="0.25">
      <c r="C6830" s="1"/>
      <c r="F6830" s="1"/>
    </row>
    <row r="6831" spans="3:6" x14ac:dyDescent="0.25">
      <c r="C6831" s="1"/>
      <c r="F6831" s="1"/>
    </row>
    <row r="6832" spans="3:6" x14ac:dyDescent="0.25">
      <c r="C6832" s="1"/>
      <c r="F6832" s="1"/>
    </row>
    <row r="6833" spans="3:6" x14ac:dyDescent="0.25">
      <c r="C6833" s="1"/>
      <c r="F6833" s="1"/>
    </row>
    <row r="6834" spans="3:6" x14ac:dyDescent="0.25">
      <c r="C6834" s="1"/>
      <c r="F6834" s="1"/>
    </row>
    <row r="6835" spans="3:6" x14ac:dyDescent="0.25">
      <c r="C6835" s="1"/>
      <c r="F6835" s="1"/>
    </row>
    <row r="6836" spans="3:6" x14ac:dyDescent="0.25">
      <c r="C6836" s="1"/>
      <c r="F6836" s="1"/>
    </row>
    <row r="6837" spans="3:6" x14ac:dyDescent="0.25">
      <c r="C6837" s="1"/>
      <c r="F6837" s="1"/>
    </row>
    <row r="6838" spans="3:6" x14ac:dyDescent="0.25">
      <c r="C6838" s="1"/>
      <c r="F6838" s="1"/>
    </row>
    <row r="6839" spans="3:6" x14ac:dyDescent="0.25">
      <c r="C6839" s="1"/>
      <c r="F6839" s="1"/>
    </row>
    <row r="6840" spans="3:6" x14ac:dyDescent="0.25">
      <c r="C6840" s="1"/>
      <c r="F6840" s="1"/>
    </row>
    <row r="6841" spans="3:6" x14ac:dyDescent="0.25">
      <c r="C6841" s="1"/>
      <c r="F6841" s="1"/>
    </row>
    <row r="6842" spans="3:6" x14ac:dyDescent="0.25">
      <c r="C6842" s="1"/>
      <c r="F6842" s="1"/>
    </row>
    <row r="6843" spans="3:6" x14ac:dyDescent="0.25">
      <c r="C6843" s="1"/>
      <c r="F6843" s="1"/>
    </row>
    <row r="6844" spans="3:6" x14ac:dyDescent="0.25">
      <c r="C6844" s="1"/>
      <c r="F6844" s="1"/>
    </row>
    <row r="6845" spans="3:6" x14ac:dyDescent="0.25">
      <c r="C6845" s="1"/>
      <c r="F6845" s="1"/>
    </row>
    <row r="6846" spans="3:6" x14ac:dyDescent="0.25">
      <c r="C6846" s="1"/>
      <c r="F6846" s="1"/>
    </row>
    <row r="6847" spans="3:6" x14ac:dyDescent="0.25">
      <c r="C6847" s="1"/>
      <c r="F6847" s="1"/>
    </row>
    <row r="6848" spans="3:6" x14ac:dyDescent="0.25">
      <c r="C6848" s="1"/>
      <c r="F6848" s="1"/>
    </row>
    <row r="6849" spans="3:6" x14ac:dyDescent="0.25">
      <c r="C6849" s="1"/>
      <c r="F6849" s="1"/>
    </row>
    <row r="6850" spans="3:6" x14ac:dyDescent="0.25">
      <c r="C6850" s="1"/>
      <c r="F6850" s="1"/>
    </row>
    <row r="6851" spans="3:6" x14ac:dyDescent="0.25">
      <c r="C6851" s="1"/>
      <c r="F6851" s="1"/>
    </row>
    <row r="6852" spans="3:6" x14ac:dyDescent="0.25">
      <c r="C6852" s="1"/>
      <c r="F6852" s="1"/>
    </row>
    <row r="6853" spans="3:6" x14ac:dyDescent="0.25">
      <c r="C6853" s="1"/>
      <c r="F6853" s="1"/>
    </row>
    <row r="6854" spans="3:6" x14ac:dyDescent="0.25">
      <c r="C6854" s="1"/>
      <c r="F6854" s="1"/>
    </row>
    <row r="6855" spans="3:6" x14ac:dyDescent="0.25">
      <c r="C6855" s="1"/>
      <c r="F6855" s="1"/>
    </row>
    <row r="6856" spans="3:6" x14ac:dyDescent="0.25">
      <c r="C6856" s="1"/>
      <c r="F6856" s="1"/>
    </row>
    <row r="6857" spans="3:6" x14ac:dyDescent="0.25">
      <c r="C6857" s="1"/>
      <c r="F6857" s="1"/>
    </row>
    <row r="6858" spans="3:6" x14ac:dyDescent="0.25">
      <c r="C6858" s="1"/>
      <c r="F6858" s="1"/>
    </row>
    <row r="6859" spans="3:6" x14ac:dyDescent="0.25">
      <c r="C6859" s="1"/>
      <c r="F6859" s="1"/>
    </row>
    <row r="6860" spans="3:6" x14ac:dyDescent="0.25">
      <c r="C6860" s="1"/>
      <c r="F6860" s="1"/>
    </row>
    <row r="6861" spans="3:6" x14ac:dyDescent="0.25">
      <c r="C6861" s="1"/>
      <c r="F6861" s="1"/>
    </row>
    <row r="6862" spans="3:6" x14ac:dyDescent="0.25">
      <c r="C6862" s="1"/>
      <c r="F6862" s="1"/>
    </row>
    <row r="6863" spans="3:6" x14ac:dyDescent="0.25">
      <c r="C6863" s="1"/>
      <c r="F6863" s="1"/>
    </row>
    <row r="6864" spans="3:6" x14ac:dyDescent="0.25">
      <c r="C6864" s="1"/>
      <c r="F6864" s="1"/>
    </row>
    <row r="6865" spans="3:6" x14ac:dyDescent="0.25">
      <c r="C6865" s="1"/>
      <c r="F6865" s="1"/>
    </row>
    <row r="6866" spans="3:6" x14ac:dyDescent="0.25">
      <c r="C6866" s="1"/>
      <c r="F6866" s="1"/>
    </row>
    <row r="6867" spans="3:6" x14ac:dyDescent="0.25">
      <c r="C6867" s="1"/>
      <c r="F6867" s="1"/>
    </row>
    <row r="6868" spans="3:6" x14ac:dyDescent="0.25">
      <c r="C6868" s="1"/>
      <c r="F6868" s="1"/>
    </row>
    <row r="6869" spans="3:6" x14ac:dyDescent="0.25">
      <c r="C6869" s="1"/>
      <c r="F6869" s="1"/>
    </row>
    <row r="6870" spans="3:6" x14ac:dyDescent="0.25">
      <c r="C6870" s="1"/>
      <c r="F6870" s="1"/>
    </row>
    <row r="6871" spans="3:6" x14ac:dyDescent="0.25">
      <c r="C6871" s="1"/>
      <c r="F6871" s="1"/>
    </row>
    <row r="6872" spans="3:6" x14ac:dyDescent="0.25">
      <c r="C6872" s="1"/>
      <c r="F6872" s="1"/>
    </row>
    <row r="6873" spans="3:6" x14ac:dyDescent="0.25">
      <c r="C6873" s="1"/>
      <c r="F6873" s="1"/>
    </row>
    <row r="6874" spans="3:6" x14ac:dyDescent="0.25">
      <c r="C6874" s="1"/>
      <c r="F6874" s="1"/>
    </row>
    <row r="6875" spans="3:6" x14ac:dyDescent="0.25">
      <c r="C6875" s="1"/>
      <c r="F6875" s="1"/>
    </row>
    <row r="6876" spans="3:6" x14ac:dyDescent="0.25">
      <c r="C6876" s="1"/>
      <c r="F6876" s="1"/>
    </row>
    <row r="6877" spans="3:6" x14ac:dyDescent="0.25">
      <c r="C6877" s="1"/>
      <c r="F6877" s="1"/>
    </row>
    <row r="6878" spans="3:6" x14ac:dyDescent="0.25">
      <c r="C6878" s="1"/>
      <c r="F6878" s="1"/>
    </row>
    <row r="6879" spans="3:6" x14ac:dyDescent="0.25">
      <c r="C6879" s="1"/>
      <c r="F6879" s="1"/>
    </row>
    <row r="6880" spans="3:6" x14ac:dyDescent="0.25">
      <c r="C6880" s="1"/>
      <c r="F6880" s="1"/>
    </row>
    <row r="6881" spans="3:6" x14ac:dyDescent="0.25">
      <c r="C6881" s="1"/>
      <c r="F6881" s="1"/>
    </row>
    <row r="6882" spans="3:6" x14ac:dyDescent="0.25">
      <c r="C6882" s="1"/>
      <c r="F6882" s="1"/>
    </row>
    <row r="6883" spans="3:6" x14ac:dyDescent="0.25">
      <c r="C6883" s="1"/>
      <c r="F6883" s="1"/>
    </row>
    <row r="6884" spans="3:6" x14ac:dyDescent="0.25">
      <c r="C6884" s="1"/>
      <c r="F6884" s="1"/>
    </row>
    <row r="6885" spans="3:6" x14ac:dyDescent="0.25">
      <c r="C6885" s="1"/>
      <c r="F6885" s="1"/>
    </row>
    <row r="6886" spans="3:6" x14ac:dyDescent="0.25">
      <c r="C6886" s="1"/>
      <c r="F6886" s="1"/>
    </row>
    <row r="6887" spans="3:6" x14ac:dyDescent="0.25">
      <c r="C6887" s="1"/>
      <c r="F6887" s="1"/>
    </row>
    <row r="6888" spans="3:6" x14ac:dyDescent="0.25">
      <c r="C6888" s="1"/>
      <c r="F6888" s="1"/>
    </row>
    <row r="6889" spans="3:6" x14ac:dyDescent="0.25">
      <c r="C6889" s="1"/>
      <c r="F6889" s="1"/>
    </row>
    <row r="6890" spans="3:6" x14ac:dyDescent="0.25">
      <c r="C6890" s="1"/>
      <c r="F6890" s="1"/>
    </row>
    <row r="6891" spans="3:6" x14ac:dyDescent="0.25">
      <c r="C6891" s="1"/>
      <c r="F6891" s="1"/>
    </row>
    <row r="6892" spans="3:6" x14ac:dyDescent="0.25">
      <c r="C6892" s="1"/>
      <c r="F6892" s="1"/>
    </row>
    <row r="6893" spans="3:6" x14ac:dyDescent="0.25">
      <c r="C6893" s="1"/>
      <c r="F6893" s="1"/>
    </row>
    <row r="6894" spans="3:6" x14ac:dyDescent="0.25">
      <c r="C6894" s="1"/>
      <c r="F6894" s="1"/>
    </row>
    <row r="6895" spans="3:6" x14ac:dyDescent="0.25">
      <c r="C6895" s="1"/>
      <c r="F6895" s="1"/>
    </row>
    <row r="6896" spans="3:6" x14ac:dyDescent="0.25">
      <c r="C6896" s="1"/>
      <c r="F6896" s="1"/>
    </row>
    <row r="6897" spans="3:6" x14ac:dyDescent="0.25">
      <c r="C6897" s="1"/>
      <c r="F6897" s="1"/>
    </row>
    <row r="6898" spans="3:6" x14ac:dyDescent="0.25">
      <c r="C6898" s="1"/>
      <c r="F6898" s="1"/>
    </row>
    <row r="6899" spans="3:6" x14ac:dyDescent="0.25">
      <c r="C6899" s="1"/>
      <c r="F6899" s="1"/>
    </row>
    <row r="6900" spans="3:6" x14ac:dyDescent="0.25">
      <c r="C6900" s="1"/>
      <c r="F6900" s="1"/>
    </row>
    <row r="6901" spans="3:6" x14ac:dyDescent="0.25">
      <c r="C6901" s="1"/>
      <c r="F6901" s="1"/>
    </row>
    <row r="6902" spans="3:6" x14ac:dyDescent="0.25">
      <c r="C6902" s="1"/>
      <c r="F6902" s="1"/>
    </row>
    <row r="6903" spans="3:6" x14ac:dyDescent="0.25">
      <c r="C6903" s="1"/>
      <c r="F6903" s="1"/>
    </row>
    <row r="6904" spans="3:6" x14ac:dyDescent="0.25">
      <c r="C6904" s="1"/>
      <c r="F6904" s="1"/>
    </row>
    <row r="6905" spans="3:6" x14ac:dyDescent="0.25">
      <c r="C6905" s="1"/>
      <c r="F6905" s="1"/>
    </row>
    <row r="6906" spans="3:6" x14ac:dyDescent="0.25">
      <c r="C6906" s="1"/>
      <c r="F6906" s="1"/>
    </row>
    <row r="6907" spans="3:6" x14ac:dyDescent="0.25">
      <c r="C6907" s="1"/>
      <c r="F6907" s="1"/>
    </row>
    <row r="6908" spans="3:6" x14ac:dyDescent="0.25">
      <c r="C6908" s="1"/>
      <c r="F6908" s="1"/>
    </row>
    <row r="6909" spans="3:6" x14ac:dyDescent="0.25">
      <c r="C6909" s="1"/>
      <c r="F6909" s="1"/>
    </row>
    <row r="6910" spans="3:6" x14ac:dyDescent="0.25">
      <c r="C6910" s="1"/>
      <c r="F6910" s="1"/>
    </row>
    <row r="6911" spans="3:6" x14ac:dyDescent="0.25">
      <c r="C6911" s="1"/>
      <c r="F6911" s="1"/>
    </row>
    <row r="6912" spans="3:6" x14ac:dyDescent="0.25">
      <c r="C6912" s="1"/>
      <c r="F6912" s="1"/>
    </row>
    <row r="6913" spans="3:6" x14ac:dyDescent="0.25">
      <c r="C6913" s="1"/>
      <c r="F6913" s="1"/>
    </row>
    <row r="6914" spans="3:6" x14ac:dyDescent="0.25">
      <c r="C6914" s="1"/>
      <c r="F6914" s="1"/>
    </row>
    <row r="6915" spans="3:6" x14ac:dyDescent="0.25">
      <c r="C6915" s="1"/>
      <c r="F6915" s="1"/>
    </row>
    <row r="6916" spans="3:6" x14ac:dyDescent="0.25">
      <c r="C6916" s="1"/>
      <c r="F6916" s="1"/>
    </row>
    <row r="6917" spans="3:6" x14ac:dyDescent="0.25">
      <c r="C6917" s="1"/>
      <c r="F6917" s="1"/>
    </row>
    <row r="6918" spans="3:6" x14ac:dyDescent="0.25">
      <c r="C6918" s="1"/>
      <c r="F6918" s="1"/>
    </row>
    <row r="6919" spans="3:6" x14ac:dyDescent="0.25">
      <c r="C6919" s="1"/>
      <c r="F6919" s="1"/>
    </row>
    <row r="6920" spans="3:6" x14ac:dyDescent="0.25">
      <c r="C6920" s="1"/>
      <c r="F6920" s="1"/>
    </row>
    <row r="6921" spans="3:6" x14ac:dyDescent="0.25">
      <c r="C6921" s="1"/>
      <c r="F6921" s="1"/>
    </row>
    <row r="6922" spans="3:6" x14ac:dyDescent="0.25">
      <c r="C6922" s="1"/>
      <c r="F6922" s="1"/>
    </row>
    <row r="6923" spans="3:6" x14ac:dyDescent="0.25">
      <c r="C6923" s="1"/>
      <c r="F6923" s="1"/>
    </row>
    <row r="6924" spans="3:6" x14ac:dyDescent="0.25">
      <c r="C6924" s="1"/>
      <c r="F6924" s="1"/>
    </row>
    <row r="6925" spans="3:6" x14ac:dyDescent="0.25">
      <c r="C6925" s="1"/>
      <c r="F6925" s="1"/>
    </row>
    <row r="6926" spans="3:6" x14ac:dyDescent="0.25">
      <c r="C6926" s="1"/>
      <c r="F6926" s="1"/>
    </row>
    <row r="6927" spans="3:6" x14ac:dyDescent="0.25">
      <c r="C6927" s="1"/>
      <c r="F6927" s="1"/>
    </row>
    <row r="6928" spans="3:6" x14ac:dyDescent="0.25">
      <c r="C6928" s="1"/>
      <c r="F6928" s="1"/>
    </row>
    <row r="6929" spans="3:6" x14ac:dyDescent="0.25">
      <c r="C6929" s="1"/>
      <c r="F6929" s="1"/>
    </row>
    <row r="6930" spans="3:6" x14ac:dyDescent="0.25">
      <c r="C6930" s="1"/>
      <c r="F6930" s="1"/>
    </row>
    <row r="6931" spans="3:6" x14ac:dyDescent="0.25">
      <c r="C6931" s="1"/>
      <c r="F6931" s="1"/>
    </row>
    <row r="6932" spans="3:6" x14ac:dyDescent="0.25">
      <c r="C6932" s="1"/>
      <c r="F6932" s="1"/>
    </row>
    <row r="6933" spans="3:6" x14ac:dyDescent="0.25">
      <c r="C6933" s="1"/>
      <c r="F6933" s="1"/>
    </row>
    <row r="6934" spans="3:6" x14ac:dyDescent="0.25">
      <c r="C6934" s="1"/>
      <c r="F6934" s="1"/>
    </row>
    <row r="6935" spans="3:6" x14ac:dyDescent="0.25">
      <c r="C6935" s="1"/>
      <c r="F6935" s="1"/>
    </row>
    <row r="6936" spans="3:6" x14ac:dyDescent="0.25">
      <c r="C6936" s="1"/>
      <c r="F6936" s="1"/>
    </row>
  </sheetData>
  <autoFilter ref="A1:N1" xr:uid="{318D4219-BA04-4192-B3A0-1D9C381A00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B5EC-507C-4B80-B3A0-F882AA58E8D7}">
  <dimension ref="B1:AK225"/>
  <sheetViews>
    <sheetView workbookViewId="0">
      <selection activeCell="A2" sqref="A2"/>
    </sheetView>
  </sheetViews>
  <sheetFormatPr defaultRowHeight="15" x14ac:dyDescent="0.25"/>
  <cols>
    <col min="2" max="2" width="15.5703125" bestFit="1" customWidth="1"/>
    <col min="23" max="23" width="10.42578125" bestFit="1" customWidth="1"/>
    <col min="24" max="24" width="10.5703125" bestFit="1" customWidth="1"/>
    <col min="25" max="25" width="11.28515625" bestFit="1" customWidth="1"/>
    <col min="26" max="26" width="10.5703125" bestFit="1" customWidth="1"/>
    <col min="28" max="28" width="15.5703125" bestFit="1" customWidth="1"/>
    <col min="29" max="29" width="13.28515625" bestFit="1" customWidth="1"/>
    <col min="30" max="30" width="11.5703125" bestFit="1" customWidth="1"/>
    <col min="31" max="31" width="10.5703125" bestFit="1" customWidth="1"/>
    <col min="34" max="34" width="10.42578125" bestFit="1" customWidth="1"/>
    <col min="35" max="35" width="10.5703125" bestFit="1" customWidth="1"/>
  </cols>
  <sheetData>
    <row r="1" spans="2:31" x14ac:dyDescent="0.25">
      <c r="B1" t="s">
        <v>38</v>
      </c>
      <c r="C1" t="s">
        <v>35</v>
      </c>
      <c r="D1" t="s">
        <v>25</v>
      </c>
      <c r="E1" t="s">
        <v>34</v>
      </c>
      <c r="F1" t="s">
        <v>33</v>
      </c>
      <c r="G1" t="s">
        <v>32</v>
      </c>
      <c r="H1" t="s">
        <v>31</v>
      </c>
      <c r="I1" t="s">
        <v>30</v>
      </c>
      <c r="J1" t="s">
        <v>29</v>
      </c>
      <c r="K1" t="s">
        <v>28</v>
      </c>
      <c r="L1" t="s">
        <v>27</v>
      </c>
      <c r="M1" t="s">
        <v>26</v>
      </c>
      <c r="N1" t="s">
        <v>24</v>
      </c>
      <c r="O1" t="s">
        <v>23</v>
      </c>
      <c r="P1" t="s">
        <v>22</v>
      </c>
      <c r="Q1" t="s">
        <v>21</v>
      </c>
      <c r="R1" t="s">
        <v>20</v>
      </c>
      <c r="S1" t="s">
        <v>19</v>
      </c>
      <c r="T1" t="s">
        <v>18</v>
      </c>
      <c r="U1" t="s">
        <v>15</v>
      </c>
      <c r="W1" t="s">
        <v>39</v>
      </c>
      <c r="X1" t="s">
        <v>36</v>
      </c>
      <c r="Y1" t="s">
        <v>37</v>
      </c>
      <c r="AB1" t="s">
        <v>39</v>
      </c>
      <c r="AC1" t="s">
        <v>36</v>
      </c>
      <c r="AD1" t="s">
        <v>37</v>
      </c>
    </row>
    <row r="2" spans="2:31" x14ac:dyDescent="0.25">
      <c r="B2" s="1"/>
      <c r="W2" s="2"/>
      <c r="X2" s="3"/>
      <c r="Y2" s="3"/>
      <c r="Z2" s="3"/>
      <c r="AB2" s="2"/>
      <c r="AC2" s="3"/>
      <c r="AD2" s="3"/>
      <c r="AE2" s="3"/>
    </row>
    <row r="3" spans="2:31" x14ac:dyDescent="0.25">
      <c r="B3" s="1"/>
      <c r="W3" s="2"/>
      <c r="X3" s="3"/>
      <c r="Y3" s="3"/>
      <c r="Z3" s="3"/>
      <c r="AB3" s="2"/>
      <c r="AC3" s="3"/>
      <c r="AD3" s="3"/>
      <c r="AE3" s="3"/>
    </row>
    <row r="4" spans="2:31" x14ac:dyDescent="0.25">
      <c r="B4" s="1">
        <v>46025.999988425923</v>
      </c>
      <c r="C4">
        <f>+SUMIFS(das_tank_inventories_daily!$M:$M,das_tank_inventories_daily!$C:$C,calculations!$B4,das_tank_inventories_daily!$H:$H,calculations!C$1)</f>
        <v>-3672.1548631644901</v>
      </c>
      <c r="D4">
        <f>+SUMIFS(das_tank_inventories_daily!$M:$M,das_tank_inventories_daily!$C:$C,calculations!$B4,das_tank_inventories_daily!$H:$H,calculations!D$1)</f>
        <v>-4381.1957605035795</v>
      </c>
      <c r="E4">
        <f>+SUMIFS(das_tank_inventories_daily!$M:$M,das_tank_inventories_daily!$C:$C,calculations!$B4,das_tank_inventories_daily!$H:$H,calculations!E$1)</f>
        <v>-349259.64902012999</v>
      </c>
      <c r="F4">
        <f>+SUMIFS(das_tank_inventories_daily!$M:$M,das_tank_inventories_daily!$C:$C,calculations!$B4,das_tank_inventories_daily!$H:$H,calculations!F$1)</f>
        <v>0</v>
      </c>
      <c r="G4">
        <f>+SUMIFS(das_tank_inventories_daily!$M:$M,das_tank_inventories_daily!$C:$C,calculations!$B4,das_tank_inventories_daily!$H:$H,calculations!G$1)</f>
        <v>-9540.8496199765905</v>
      </c>
      <c r="H4">
        <f>+SUMIFS(das_tank_inventories_daily!$M:$M,das_tank_inventories_daily!$C:$C,calculations!$B4,das_tank_inventories_daily!$H:$H,calculations!H$1)</f>
        <v>-20155.8958428406</v>
      </c>
      <c r="I4">
        <f>+SUMIFS(das_tank_inventories_daily!$M:$M,das_tank_inventories_daily!$C:$C,calculations!$B4,das_tank_inventories_daily!$H:$H,calculations!I$1)</f>
        <v>-6022.3835990318903</v>
      </c>
      <c r="J4">
        <f>+SUMIFS(das_tank_inventories_daily!$M:$M,das_tank_inventories_daily!$C:$C,calculations!$B4,das_tank_inventories_daily!$H:$H,calculations!J$1)</f>
        <v>-1495.1518403892901</v>
      </c>
      <c r="K4">
        <f>+SUMIFS(das_tank_inventories_daily!$M:$M,das_tank_inventories_daily!$C:$C,calculations!$B4,das_tank_inventories_daily!$H:$H,calculations!K$1)</f>
        <v>623893.50751879602</v>
      </c>
      <c r="L4">
        <f>+SUMIFS(das_tank_inventories_daily!$M:$M,das_tank_inventories_daily!$C:$C,calculations!$B4,das_tank_inventories_daily!$H:$H,calculations!L$1)</f>
        <v>-1503.8793627652001</v>
      </c>
      <c r="M4">
        <f>+SUMIFS(das_tank_inventories_daily!$M:$M,das_tank_inventories_daily!$C:$C,calculations!$B4,das_tank_inventories_daily!$H:$H,calculations!M$1)</f>
        <v>-19648.207120226201</v>
      </c>
      <c r="N4">
        <f>+SUMIFS(das_tank_inventories_daily!$M:$M,das_tank_inventories_daily!$C:$C,calculations!$B4,das_tank_inventories_daily!$H:$H,calculations!N$1)</f>
        <v>469752.150947858</v>
      </c>
      <c r="O4">
        <f>+SUMIFS(das_tank_inventories_daily!$M:$M,das_tank_inventories_daily!$C:$C,calculations!$B4,das_tank_inventories_daily!$H:$H,calculations!O$1)</f>
        <v>439830.63075050601</v>
      </c>
      <c r="P4">
        <f>+SUMIFS(das_tank_inventories_daily!$M:$M,das_tank_inventories_daily!$C:$C,calculations!$B4,das_tank_inventories_daily!$H:$H,calculations!P$1)</f>
        <v>465444.717029655</v>
      </c>
      <c r="Q4">
        <f>+SUMIFS(das_tank_inventories_daily!$M:$M,das_tank_inventories_daily!$C:$C,calculations!$B4,das_tank_inventories_daily!$H:$H,calculations!Q$1)</f>
        <v>0</v>
      </c>
      <c r="R4">
        <f>+SUMIFS(das_tank_inventories_daily!$M:$M,das_tank_inventories_daily!$C:$C,calculations!$B4,das_tank_inventories_daily!$H:$H,calculations!R$1)</f>
        <v>-563057.90288572095</v>
      </c>
      <c r="S4">
        <f>+SUMIFS(das_tank_inventories_daily!$M:$M,das_tank_inventories_daily!$C:$C,calculations!$B4,das_tank_inventories_daily!$H:$H,calculations!S$1)</f>
        <v>194404.22438606</v>
      </c>
      <c r="T4">
        <f>+SUMIFS(das_tank_inventories_daily!$M:$M,das_tank_inventories_daily!$C:$C,calculations!$B4,das_tank_inventories_daily!$H:$H,calculations!T$1)</f>
        <v>5766.1736640816598</v>
      </c>
      <c r="U4">
        <f>+SUMIFS(das_tank_inventories_daily!$M:$M,das_tank_inventories_daily!$C:$C,calculations!$B4,das_tank_inventories_daily!$H:$H,calculations!U$1)</f>
        <v>-230586.45122906801</v>
      </c>
      <c r="W4" s="2">
        <f>+B4</f>
        <v>46025.999988425923</v>
      </c>
      <c r="X4" s="3">
        <f>+SUMIFS(C4:U4,C4:U4,"&lt;0")</f>
        <v>-1209323.7211438168</v>
      </c>
      <c r="Y4" s="3">
        <f>+SUMIFS(C4:U4,C4:U4,"&lt;0")</f>
        <v>-1209323.7211438168</v>
      </c>
      <c r="Z4" s="3">
        <f t="shared" ref="Z4:Z65" si="0">+Y4+X4</f>
        <v>-2418647.4422876337</v>
      </c>
      <c r="AB4" s="2">
        <f>+B4</f>
        <v>46025.999988425923</v>
      </c>
      <c r="AC4" s="3">
        <f>+SUMIFS(C4:U4,C4:U4,"&lt;0")/3</f>
        <v>-403107.90704793896</v>
      </c>
      <c r="AD4" s="3">
        <f>+SUMIFS(C4:U4,C4:U4,"&gt;0")/3</f>
        <v>733030.46809898561</v>
      </c>
      <c r="AE4" s="3">
        <f t="shared" ref="AE4:AE7" si="1">+AD4+AC4</f>
        <v>329922.56105104665</v>
      </c>
    </row>
    <row r="5" spans="2:31" x14ac:dyDescent="0.25">
      <c r="B5" s="1"/>
      <c r="W5" s="2"/>
      <c r="X5" s="3"/>
      <c r="Y5" s="3"/>
      <c r="Z5" s="3"/>
      <c r="AB5" s="2"/>
      <c r="AC5" s="3"/>
      <c r="AD5" s="3"/>
      <c r="AE5" s="3"/>
    </row>
    <row r="6" spans="2:31" x14ac:dyDescent="0.25">
      <c r="B6" s="1"/>
      <c r="W6" s="2"/>
      <c r="X6" s="3"/>
      <c r="Y6" s="3"/>
      <c r="Z6" s="3"/>
      <c r="AB6" s="2"/>
      <c r="AC6" s="3"/>
      <c r="AD6" s="3"/>
      <c r="AE6" s="3"/>
    </row>
    <row r="7" spans="2:31" x14ac:dyDescent="0.25">
      <c r="B7" s="1">
        <v>46028.999988425923</v>
      </c>
      <c r="C7">
        <f>+SUMIFS(das_tank_inventories_daily!$M:$M,das_tank_inventories_daily!$C:$C,calculations!$B7,das_tank_inventories_daily!$H:$H,calculations!C$1)</f>
        <v>6517.4968535421003</v>
      </c>
      <c r="D7">
        <f>+SUMIFS(das_tank_inventories_daily!$M:$M,das_tank_inventories_daily!$C:$C,calculations!$B7,das_tank_inventories_daily!$H:$H,calculations!D$1)</f>
        <v>5693.0468017550302</v>
      </c>
      <c r="E7">
        <f>+SUMIFS(das_tank_inventories_daily!$M:$M,das_tank_inventories_daily!$C:$C,calculations!$B7,das_tank_inventories_daily!$H:$H,calculations!E$1)</f>
        <v>234296.09910920399</v>
      </c>
      <c r="F7">
        <f>+SUMIFS(das_tank_inventories_daily!$M:$M,das_tank_inventories_daily!$C:$C,calculations!$B7,das_tank_inventories_daily!$H:$H,calculations!F$1)</f>
        <v>479067.73031254398</v>
      </c>
      <c r="G7">
        <f>+SUMIFS(das_tank_inventories_daily!$M:$M,das_tank_inventories_daily!$C:$C,calculations!$B7,das_tank_inventories_daily!$H:$H,calculations!G$1)</f>
        <v>19824.707519045201</v>
      </c>
      <c r="H7">
        <f>+SUMIFS(das_tank_inventories_daily!$M:$M,das_tank_inventories_daily!$C:$C,calculations!$B7,das_tank_inventories_daily!$H:$H,calculations!H$1)</f>
        <v>-261686.818975381</v>
      </c>
      <c r="I7">
        <f>+SUMIFS(das_tank_inventories_daily!$M:$M,das_tank_inventories_daily!$C:$C,calculations!$B7,das_tank_inventories_daily!$H:$H,calculations!I$1)</f>
        <v>-473078.76205871801</v>
      </c>
      <c r="J7">
        <f>+SUMIFS(das_tank_inventories_daily!$M:$M,das_tank_inventories_daily!$C:$C,calculations!$B7,das_tank_inventories_daily!$H:$H,calculations!J$1)</f>
        <v>-174639.18866947101</v>
      </c>
      <c r="K7">
        <f>+SUMIFS(das_tank_inventories_daily!$M:$M,das_tank_inventories_daily!$C:$C,calculations!$B7,das_tank_inventories_daily!$H:$H,calculations!K$1)</f>
        <v>25664.160199768601</v>
      </c>
      <c r="L7">
        <f>+SUMIFS(das_tank_inventories_daily!$M:$M,das_tank_inventories_daily!$C:$C,calculations!$B7,das_tank_inventories_daily!$H:$H,calculations!L$1)</f>
        <v>-16485.451945096898</v>
      </c>
      <c r="M7">
        <f>+SUMIFS(das_tank_inventories_daily!$M:$M,das_tank_inventories_daily!$C:$C,calculations!$B7,das_tank_inventories_daily!$H:$H,calculations!M$1)</f>
        <v>234096.014952211</v>
      </c>
      <c r="N7">
        <f>+SUMIFS(das_tank_inventories_daily!$M:$M,das_tank_inventories_daily!$C:$C,calculations!$B7,das_tank_inventories_daily!$H:$H,calculations!N$1)</f>
        <v>-469752.150947858</v>
      </c>
      <c r="O7">
        <f>+SUMIFS(das_tank_inventories_daily!$M:$M,das_tank_inventories_daily!$C:$C,calculations!$B7,das_tank_inventories_daily!$H:$H,calculations!O$1)</f>
        <v>-770.92243702994801</v>
      </c>
      <c r="P7">
        <f>+SUMIFS(das_tank_inventories_daily!$M:$M,das_tank_inventories_daily!$C:$C,calculations!$B7,das_tank_inventories_daily!$H:$H,calculations!P$1)</f>
        <v>-465444.717029655</v>
      </c>
      <c r="Q7">
        <f>+SUMIFS(das_tank_inventories_daily!$M:$M,das_tank_inventories_daily!$C:$C,calculations!$B7,das_tank_inventories_daily!$H:$H,calculations!Q$1)</f>
        <v>0</v>
      </c>
      <c r="R7">
        <f>+SUMIFS(das_tank_inventories_daily!$M:$M,das_tank_inventories_daily!$C:$C,calculations!$B7,das_tank_inventories_daily!$H:$H,calculations!R$1)</f>
        <v>151546.825199916</v>
      </c>
      <c r="S7">
        <f>+SUMIFS(das_tank_inventories_daily!$M:$M,das_tank_inventories_daily!$C:$C,calculations!$B7,das_tank_inventories_daily!$H:$H,calculations!S$1)</f>
        <v>-376358.77600873797</v>
      </c>
      <c r="T7">
        <f>+SUMIFS(das_tank_inventories_daily!$M:$M,das_tank_inventories_daily!$C:$C,calculations!$B7,das_tank_inventories_daily!$H:$H,calculations!T$1)</f>
        <v>3985.6149825070102</v>
      </c>
      <c r="U7">
        <f>+SUMIFS(das_tank_inventories_daily!$M:$M,das_tank_inventories_daily!$C:$C,calculations!$B7,das_tank_inventories_daily!$H:$H,calculations!U$1)</f>
        <v>189866.97131421801</v>
      </c>
      <c r="W7" s="2">
        <f>+B7</f>
        <v>46028.999988425923</v>
      </c>
      <c r="X7" s="3">
        <f>+SUMIFS(C7:U7,C7:U7,"&lt;0")</f>
        <v>-2238216.7880719481</v>
      </c>
      <c r="Y7" s="3">
        <f>+SUMIFS(C7:U7,C7:U7,"&lt;0")</f>
        <v>-2238216.7880719481</v>
      </c>
      <c r="Z7" s="3">
        <f t="shared" ref="Z7" si="2">+Y7+X7</f>
        <v>-4476433.5761438962</v>
      </c>
      <c r="AB7" s="2">
        <f>+B7</f>
        <v>46028.999988425923</v>
      </c>
      <c r="AC7" s="3">
        <f>+SUMIFS(C7:U7,C7:U7,"&lt;0")/(AB7-AB4)</f>
        <v>-746072.26269064937</v>
      </c>
      <c r="AD7" s="3">
        <f>+SUMIFS(C7:U7,C7:U7,"&gt;0")/(AB7-AB4)</f>
        <v>450186.22241490363</v>
      </c>
      <c r="AE7" s="3">
        <f t="shared" si="1"/>
        <v>-295886.04027574573</v>
      </c>
    </row>
    <row r="8" spans="2:31" x14ac:dyDescent="0.25">
      <c r="B8" s="1"/>
      <c r="W8" s="2"/>
      <c r="X8" s="3"/>
      <c r="Y8" s="3"/>
      <c r="Z8" s="3"/>
      <c r="AB8" s="2"/>
      <c r="AC8" s="3" t="e">
        <f t="shared" ref="AC8:AC71" si="3">+SUMIFS(C8:U8,C8:U8,"&lt;0")/(AB8-AB5)</f>
        <v>#DIV/0!</v>
      </c>
      <c r="AD8" s="3" t="e">
        <f t="shared" ref="AD8:AD71" si="4">+SUMIFS(C8:U8,C8:U8,"&gt;0")/(AB8-AB5)</f>
        <v>#DIV/0!</v>
      </c>
      <c r="AE8" s="3"/>
    </row>
    <row r="9" spans="2:31" x14ac:dyDescent="0.25">
      <c r="B9" s="1"/>
      <c r="W9" s="2"/>
      <c r="X9" s="3"/>
      <c r="Y9" s="3"/>
      <c r="Z9" s="3"/>
      <c r="AB9" s="2"/>
      <c r="AC9" s="3" t="e">
        <f t="shared" si="3"/>
        <v>#DIV/0!</v>
      </c>
      <c r="AD9" s="3" t="e">
        <f t="shared" si="4"/>
        <v>#DIV/0!</v>
      </c>
      <c r="AE9" s="3"/>
    </row>
    <row r="10" spans="2:31" x14ac:dyDescent="0.25">
      <c r="B10" s="1">
        <v>46031.999988425923</v>
      </c>
      <c r="C10">
        <f>+SUMIFS(das_tank_inventories_daily!$M:$M,das_tank_inventories_daily!$C:$C,calculations!$B10,das_tank_inventories_daily!$H:$H,calculations!C$1)</f>
        <v>-5982.2060303234903</v>
      </c>
      <c r="D10">
        <f>+SUMIFS(das_tank_inventories_daily!$M:$M,das_tank_inventories_daily!$C:$C,calculations!$B10,das_tank_inventories_daily!$H:$H,calculations!D$1)</f>
        <v>-9299.6617740903093</v>
      </c>
      <c r="E10">
        <f>+SUMIFS(das_tank_inventories_daily!$M:$M,das_tank_inventories_daily!$C:$C,calculations!$B10,das_tank_inventories_daily!$H:$H,calculations!E$1)</f>
        <v>-270393.28831810498</v>
      </c>
      <c r="F10">
        <f>+SUMIFS(das_tank_inventories_daily!$M:$M,das_tank_inventories_daily!$C:$C,calculations!$B10,das_tank_inventories_daily!$H:$H,calculations!F$1)</f>
        <v>-45747.704334272101</v>
      </c>
      <c r="G10">
        <f>+SUMIFS(das_tank_inventories_daily!$M:$M,das_tank_inventories_daily!$C:$C,calculations!$B10,das_tank_inventories_daily!$H:$H,calculations!G$1)</f>
        <v>-20019.328476477102</v>
      </c>
      <c r="H10">
        <f>+SUMIFS(das_tank_inventories_daily!$M:$M,das_tank_inventories_daily!$C:$C,calculations!$B10,das_tank_inventories_daily!$H:$H,calculations!H$1)</f>
        <v>-162352.006005209</v>
      </c>
      <c r="I10">
        <f>+SUMIFS(das_tank_inventories_daily!$M:$M,das_tank_inventories_daily!$C:$C,calculations!$B10,das_tank_inventories_daily!$H:$H,calculations!I$1)</f>
        <v>28714.7852625138</v>
      </c>
      <c r="J10">
        <f>+SUMIFS(das_tank_inventories_daily!$M:$M,das_tank_inventories_daily!$C:$C,calculations!$B10,das_tank_inventories_daily!$H:$H,calculations!J$1)</f>
        <v>-32661.0902410503</v>
      </c>
      <c r="K10">
        <f>+SUMIFS(das_tank_inventories_daily!$M:$M,das_tank_inventories_daily!$C:$C,calculations!$B10,das_tank_inventories_daily!$H:$H,calculations!K$1)</f>
        <v>-24279.3690433437</v>
      </c>
      <c r="L10">
        <f>+SUMIFS(das_tank_inventories_daily!$M:$M,das_tank_inventories_daily!$C:$C,calculations!$B10,das_tank_inventories_daily!$H:$H,calculations!L$1)</f>
        <v>-33761.829911604298</v>
      </c>
      <c r="M10">
        <f>+SUMIFS(das_tank_inventories_daily!$M:$M,das_tank_inventories_daily!$C:$C,calculations!$B10,das_tank_inventories_daily!$H:$H,calculations!M$1)</f>
        <v>12486.435180610501</v>
      </c>
      <c r="N10">
        <f>+SUMIFS(das_tank_inventories_daily!$M:$M,das_tank_inventories_daily!$C:$C,calculations!$B10,das_tank_inventories_daily!$H:$H,calculations!N$1)</f>
        <v>107017.835734928</v>
      </c>
      <c r="O10">
        <f>+SUMIFS(das_tank_inventories_daily!$M:$M,das_tank_inventories_daily!$C:$C,calculations!$B10,das_tank_inventories_daily!$H:$H,calculations!O$1)</f>
        <v>-21992.924318646401</v>
      </c>
      <c r="P10">
        <f>+SUMIFS(das_tank_inventories_daily!$M:$M,das_tank_inventories_daily!$C:$C,calculations!$B10,das_tank_inventories_daily!$H:$H,calculations!P$1)</f>
        <v>461060.13522477</v>
      </c>
      <c r="Q10">
        <f>+SUMIFS(das_tank_inventories_daily!$M:$M,das_tank_inventories_daily!$C:$C,calculations!$B10,das_tank_inventories_daily!$H:$H,calculations!Q$1)</f>
        <v>0</v>
      </c>
      <c r="R10">
        <f>+SUMIFS(das_tank_inventories_daily!$M:$M,das_tank_inventories_daily!$C:$C,calculations!$B10,das_tank_inventories_daily!$H:$H,calculations!R$1)</f>
        <v>487237.40405427798</v>
      </c>
      <c r="S10">
        <f>+SUMIFS(das_tank_inventories_daily!$M:$M,das_tank_inventories_daily!$C:$C,calculations!$B10,das_tank_inventories_daily!$H:$H,calculations!S$1)</f>
        <v>380153.95119281497</v>
      </c>
      <c r="T10">
        <f>+SUMIFS(das_tank_inventories_daily!$M:$M,das_tank_inventories_daily!$C:$C,calculations!$B10,das_tank_inventories_daily!$H:$H,calculations!T$1)</f>
        <v>-3541.8630985445302</v>
      </c>
      <c r="U10">
        <f>+SUMIFS(das_tank_inventories_daily!$M:$M,das_tank_inventories_daily!$C:$C,calculations!$B10,das_tank_inventories_daily!$H:$H,calculations!U$1)</f>
        <v>123685.499762937</v>
      </c>
      <c r="W10" s="2">
        <f>+B10</f>
        <v>46031.999988425923</v>
      </c>
      <c r="X10" s="3">
        <f>+SUMIFS(C10:U10,C10:U10,"&lt;0")</f>
        <v>-630031.27155166632</v>
      </c>
      <c r="Y10" s="3">
        <f>+SUMIFS(C10:U10,C10:U10,"&lt;0")</f>
        <v>-630031.27155166632</v>
      </c>
      <c r="Z10" s="3">
        <f t="shared" ref="Z10" si="5">+Y10+X10</f>
        <v>-1260062.5431033326</v>
      </c>
      <c r="AB10" s="2">
        <f>+B10</f>
        <v>46031.999988425923</v>
      </c>
      <c r="AC10" s="3">
        <f t="shared" si="3"/>
        <v>-210010.42385055544</v>
      </c>
      <c r="AD10" s="3">
        <f t="shared" si="4"/>
        <v>533452.01547095075</v>
      </c>
      <c r="AE10" s="3">
        <f t="shared" ref="AE10:AE70" si="6">+AD10+AC10</f>
        <v>323441.59162039531</v>
      </c>
    </row>
    <row r="11" spans="2:31" x14ac:dyDescent="0.25">
      <c r="B11" s="1"/>
      <c r="W11" s="2"/>
      <c r="X11" s="3"/>
      <c r="Y11" s="3"/>
      <c r="Z11" s="3"/>
      <c r="AB11" s="2"/>
      <c r="AC11" s="3" t="e">
        <f t="shared" si="3"/>
        <v>#DIV/0!</v>
      </c>
      <c r="AD11" s="3" t="e">
        <f t="shared" si="4"/>
        <v>#DIV/0!</v>
      </c>
      <c r="AE11" s="3"/>
    </row>
    <row r="12" spans="2:31" x14ac:dyDescent="0.25">
      <c r="B12" s="1"/>
      <c r="W12" s="2"/>
      <c r="X12" s="3"/>
      <c r="Y12" s="3"/>
      <c r="Z12" s="3"/>
      <c r="AB12" s="2"/>
      <c r="AC12" s="3" t="e">
        <f t="shared" si="3"/>
        <v>#DIV/0!</v>
      </c>
      <c r="AD12" s="3" t="e">
        <f t="shared" si="4"/>
        <v>#DIV/0!</v>
      </c>
      <c r="AE12" s="3"/>
    </row>
    <row r="13" spans="2:31" x14ac:dyDescent="0.25">
      <c r="B13" s="1">
        <v>46034.999988425923</v>
      </c>
      <c r="C13">
        <f>+SUMIFS(das_tank_inventories_daily!$M:$M,das_tank_inventories_daily!$C:$C,calculations!$B13,das_tank_inventories_daily!$H:$H,calculations!C$1)</f>
        <v>4015.4134656311298</v>
      </c>
      <c r="D13">
        <f>+SUMIFS(das_tank_inventories_daily!$M:$M,das_tank_inventories_daily!$C:$C,calculations!$B13,das_tank_inventories_daily!$H:$H,calculations!D$1)</f>
        <v>7872.5194079027497</v>
      </c>
      <c r="E13">
        <f>+SUMIFS(das_tank_inventories_daily!$M:$M,das_tank_inventories_daily!$C:$C,calculations!$B13,das_tank_inventories_daily!$H:$H,calculations!E$1)</f>
        <v>382014.11103944603</v>
      </c>
      <c r="F13">
        <f>+SUMIFS(das_tank_inventories_daily!$M:$M,das_tank_inventories_daily!$C:$C,calculations!$B13,das_tank_inventories_daily!$H:$H,calculations!F$1)</f>
        <v>-110446.72757334499</v>
      </c>
      <c r="G13">
        <f>+SUMIFS(das_tank_inventories_daily!$M:$M,das_tank_inventories_daily!$C:$C,calculations!$B13,das_tank_inventories_daily!$H:$H,calculations!G$1)</f>
        <v>13275.8675471608</v>
      </c>
      <c r="H13">
        <f>+SUMIFS(das_tank_inventories_daily!$M:$M,das_tank_inventories_daily!$C:$C,calculations!$B13,das_tank_inventories_daily!$H:$H,calculations!H$1)</f>
        <v>31361.0838947593</v>
      </c>
      <c r="I13">
        <f>+SUMIFS(das_tank_inventories_daily!$M:$M,das_tank_inventories_daily!$C:$C,calculations!$B13,das_tank_inventories_daily!$H:$H,calculations!I$1)</f>
        <v>113278.184725249</v>
      </c>
      <c r="J13">
        <f>+SUMIFS(das_tank_inventories_daily!$M:$M,das_tank_inventories_daily!$C:$C,calculations!$B13,das_tank_inventories_daily!$H:$H,calculations!J$1)</f>
        <v>36085.691730908897</v>
      </c>
      <c r="K13">
        <f>+SUMIFS(das_tank_inventories_daily!$M:$M,das_tank_inventories_daily!$C:$C,calculations!$B13,das_tank_inventories_daily!$H:$H,calculations!K$1)</f>
        <v>31569.065637083</v>
      </c>
      <c r="L13">
        <f>+SUMIFS(das_tank_inventories_daily!$M:$M,das_tank_inventories_daily!$C:$C,calculations!$B13,das_tank_inventories_daily!$H:$H,calculations!L$1)</f>
        <v>-37744.107363101502</v>
      </c>
      <c r="M13">
        <f>+SUMIFS(das_tank_inventories_daily!$M:$M,das_tank_inventories_daily!$C:$C,calculations!$B13,das_tank_inventories_daily!$H:$H,calculations!M$1)</f>
        <v>-14768.857890622399</v>
      </c>
      <c r="N13">
        <f>+SUMIFS(das_tank_inventories_daily!$M:$M,das_tank_inventories_daily!$C:$C,calculations!$B13,das_tank_inventories_daily!$H:$H,calculations!N$1)</f>
        <v>351040.03061115002</v>
      </c>
      <c r="O13">
        <f>+SUMIFS(das_tank_inventories_daily!$M:$M,das_tank_inventories_daily!$C:$C,calculations!$B13,das_tank_inventories_daily!$H:$H,calculations!O$1)</f>
        <v>-403216.20417886501</v>
      </c>
      <c r="P13">
        <f>+SUMIFS(das_tank_inventories_daily!$M:$M,das_tank_inventories_daily!$C:$C,calculations!$B13,das_tank_inventories_daily!$H:$H,calculations!P$1)</f>
        <v>-461060.13522477</v>
      </c>
      <c r="Q13">
        <f>+SUMIFS(das_tank_inventories_daily!$M:$M,das_tank_inventories_daily!$C:$C,calculations!$B13,das_tank_inventories_daily!$H:$H,calculations!Q$1)</f>
        <v>0</v>
      </c>
      <c r="R13">
        <f>+SUMIFS(das_tank_inventories_daily!$M:$M,das_tank_inventories_daily!$C:$C,calculations!$B13,das_tank_inventories_daily!$H:$H,calculations!R$1)</f>
        <v>-37389.022136323998</v>
      </c>
      <c r="S13">
        <f>+SUMIFS(das_tank_inventories_daily!$M:$M,das_tank_inventories_daily!$C:$C,calculations!$B13,das_tank_inventories_daily!$H:$H,calculations!S$1)</f>
        <v>-71480.751725374605</v>
      </c>
      <c r="T13">
        <f>+SUMIFS(das_tank_inventories_daily!$M:$M,das_tank_inventories_daily!$C:$C,calculations!$B13,das_tank_inventories_daily!$H:$H,calculations!T$1)</f>
        <v>-2712.72206913429</v>
      </c>
      <c r="U13">
        <f>+SUMIFS(das_tank_inventories_daily!$M:$M,das_tank_inventories_daily!$C:$C,calculations!$B13,das_tank_inventories_daily!$H:$H,calculations!U$1)</f>
        <v>-384976.740506473</v>
      </c>
      <c r="W13" s="2">
        <f>+B13</f>
        <v>46034.999988425923</v>
      </c>
      <c r="X13" s="3">
        <f>+SUMIFS(C13:U13,C13:U13,"&lt;0")</f>
        <v>-1523795.2686680097</v>
      </c>
      <c r="Y13" s="3">
        <f>+SUMIFS(C13:U13,C13:U13,"&lt;0")</f>
        <v>-1523795.2686680097</v>
      </c>
      <c r="Z13" s="3">
        <f t="shared" ref="Z13" si="7">+Y13+X13</f>
        <v>-3047590.5373360193</v>
      </c>
      <c r="AB13" s="2">
        <f>+B13</f>
        <v>46034.999988425923</v>
      </c>
      <c r="AC13" s="3">
        <f t="shared" si="3"/>
        <v>-507931.75622266991</v>
      </c>
      <c r="AD13" s="3">
        <f t="shared" si="4"/>
        <v>323503.98935309699</v>
      </c>
      <c r="AE13" s="3">
        <f t="shared" si="6"/>
        <v>-184427.76686957292</v>
      </c>
    </row>
    <row r="14" spans="2:31" x14ac:dyDescent="0.25">
      <c r="B14" s="1"/>
      <c r="W14" s="2"/>
      <c r="X14" s="3"/>
      <c r="Y14" s="3"/>
      <c r="Z14" s="3"/>
      <c r="AB14" s="2"/>
      <c r="AC14" s="3" t="e">
        <f t="shared" si="3"/>
        <v>#DIV/0!</v>
      </c>
      <c r="AD14" s="3" t="e">
        <f t="shared" si="4"/>
        <v>#DIV/0!</v>
      </c>
      <c r="AE14" s="3"/>
    </row>
    <row r="15" spans="2:31" x14ac:dyDescent="0.25">
      <c r="B15" s="1"/>
      <c r="W15" s="2"/>
      <c r="X15" s="3"/>
      <c r="Y15" s="3"/>
      <c r="Z15" s="3"/>
      <c r="AB15" s="2"/>
      <c r="AC15" s="3" t="e">
        <f t="shared" si="3"/>
        <v>#DIV/0!</v>
      </c>
      <c r="AD15" s="3" t="e">
        <f t="shared" si="4"/>
        <v>#DIV/0!</v>
      </c>
      <c r="AE15" s="3"/>
    </row>
    <row r="16" spans="2:31" x14ac:dyDescent="0.25">
      <c r="B16" s="1">
        <v>46037.999988425923</v>
      </c>
      <c r="C16">
        <f>+SUMIFS(das_tank_inventories_daily!$M:$M,das_tank_inventories_daily!$C:$C,calculations!$B16,das_tank_inventories_daily!$H:$H,calculations!C$1)</f>
        <v>-4443.8823290340897</v>
      </c>
      <c r="D16">
        <f>+SUMIFS(das_tank_inventories_daily!$M:$M,das_tank_inventories_daily!$C:$C,calculations!$B16,das_tank_inventories_daily!$H:$H,calculations!D$1)</f>
        <v>-5323.9078974486602</v>
      </c>
      <c r="E16">
        <f>+SUMIFS(das_tank_inventories_daily!$M:$M,das_tank_inventories_daily!$C:$C,calculations!$B16,das_tank_inventories_daily!$H:$H,calculations!E$1)</f>
        <v>-27142.3127544581</v>
      </c>
      <c r="F16">
        <f>+SUMIFS(das_tank_inventories_daily!$M:$M,das_tank_inventories_daily!$C:$C,calculations!$B16,das_tank_inventories_daily!$H:$H,calculations!F$1)</f>
        <v>-62362.065313128798</v>
      </c>
      <c r="G16">
        <f>+SUMIFS(das_tank_inventories_daily!$M:$M,das_tank_inventories_daily!$C:$C,calculations!$B16,das_tank_inventories_daily!$H:$H,calculations!G$1)</f>
        <v>-15753.357160927801</v>
      </c>
      <c r="H16">
        <f>+SUMIFS(das_tank_inventories_daily!$M:$M,das_tank_inventories_daily!$C:$C,calculations!$B16,das_tank_inventories_daily!$H:$H,calculations!H$1)</f>
        <v>407830.76182648703</v>
      </c>
      <c r="I16">
        <f>+SUMIFS(das_tank_inventories_daily!$M:$M,das_tank_inventories_daily!$C:$C,calculations!$B16,das_tank_inventories_daily!$H:$H,calculations!I$1)</f>
        <v>317454.37764202699</v>
      </c>
      <c r="J16">
        <f>+SUMIFS(das_tank_inventories_daily!$M:$M,das_tank_inventories_daily!$C:$C,calculations!$B16,das_tank_inventories_daily!$H:$H,calculations!J$1)</f>
        <v>-55218.494701115596</v>
      </c>
      <c r="K16">
        <f>+SUMIFS(das_tank_inventories_daily!$M:$M,das_tank_inventories_daily!$C:$C,calculations!$B16,das_tank_inventories_daily!$H:$H,calculations!K$1)</f>
        <v>-35373.1604622007</v>
      </c>
      <c r="L16">
        <f>+SUMIFS(das_tank_inventories_daily!$M:$M,das_tank_inventories_daily!$C:$C,calculations!$B16,das_tank_inventories_daily!$H:$H,calculations!L$1)</f>
        <v>-34214.488256461504</v>
      </c>
      <c r="M16">
        <f>+SUMIFS(das_tank_inventories_daily!$M:$M,das_tank_inventories_daily!$C:$C,calculations!$B16,das_tank_inventories_daily!$H:$H,calculations!M$1)</f>
        <v>16735.1258279906</v>
      </c>
      <c r="N16">
        <f>+SUMIFS(das_tank_inventories_daily!$M:$M,das_tank_inventories_daily!$C:$C,calculations!$B16,das_tank_inventories_daily!$H:$H,calculations!N$1)</f>
        <v>133.60356979724</v>
      </c>
      <c r="O16">
        <f>+SUMIFS(das_tank_inventories_daily!$M:$M,das_tank_inventories_daily!$C:$C,calculations!$B16,das_tank_inventories_daily!$H:$H,calculations!O$1)</f>
        <v>270575.08993515</v>
      </c>
      <c r="P16">
        <f>+SUMIFS(das_tank_inventories_daily!$M:$M,das_tank_inventories_daily!$C:$C,calculations!$B16,das_tank_inventories_daily!$H:$H,calculations!P$1)</f>
        <v>463833.86511234002</v>
      </c>
      <c r="Q16">
        <f>+SUMIFS(das_tank_inventories_daily!$M:$M,das_tank_inventories_daily!$C:$C,calculations!$B16,das_tank_inventories_daily!$H:$H,calculations!Q$1)</f>
        <v>0</v>
      </c>
      <c r="R16">
        <f>+SUMIFS(das_tank_inventories_daily!$M:$M,das_tank_inventories_daily!$C:$C,calculations!$B16,das_tank_inventories_daily!$H:$H,calculations!R$1)</f>
        <v>-260460.77233238099</v>
      </c>
      <c r="S16">
        <f>+SUMIFS(das_tank_inventories_daily!$M:$M,das_tank_inventories_daily!$C:$C,calculations!$B16,das_tank_inventories_daily!$H:$H,calculations!S$1)</f>
        <v>-240205.271929348</v>
      </c>
      <c r="T16">
        <f>+SUMIFS(das_tank_inventories_daily!$M:$M,das_tank_inventories_daily!$C:$C,calculations!$B16,das_tank_inventories_daily!$H:$H,calculations!T$1)</f>
        <v>2860.6413481506702</v>
      </c>
      <c r="U16">
        <f>+SUMIFS(das_tank_inventories_daily!$M:$M,das_tank_inventories_daily!$C:$C,calculations!$B16,das_tank_inventories_daily!$H:$H,calculations!U$1)</f>
        <v>384465.72982598998</v>
      </c>
      <c r="W16" s="2">
        <f>+B16</f>
        <v>46037.999988425923</v>
      </c>
      <c r="X16" s="3">
        <f>+SUMIFS(C16:U16,C16:U16,"&lt;0")</f>
        <v>-740497.71313650429</v>
      </c>
      <c r="Y16" s="3">
        <f>+SUMIFS(C16:U16,C16:U16,"&lt;0")</f>
        <v>-740497.71313650429</v>
      </c>
      <c r="Z16" s="3">
        <f t="shared" ref="Z16" si="8">+Y16+X16</f>
        <v>-1480995.4262730086</v>
      </c>
      <c r="AB16" s="2">
        <f>+B16</f>
        <v>46037.999988425923</v>
      </c>
      <c r="AC16" s="3">
        <f t="shared" si="3"/>
        <v>-246832.57104550142</v>
      </c>
      <c r="AD16" s="3">
        <f t="shared" si="4"/>
        <v>621296.39836264413</v>
      </c>
      <c r="AE16" s="3">
        <f t="shared" si="6"/>
        <v>374463.82731714274</v>
      </c>
    </row>
    <row r="17" spans="2:37" x14ac:dyDescent="0.25">
      <c r="B17" s="1"/>
      <c r="W17" s="2"/>
      <c r="X17" s="3"/>
      <c r="Y17" s="3"/>
      <c r="Z17" s="3"/>
      <c r="AB17" s="2"/>
      <c r="AC17" s="3" t="e">
        <f t="shared" si="3"/>
        <v>#DIV/0!</v>
      </c>
      <c r="AD17" s="3" t="e">
        <f t="shared" si="4"/>
        <v>#DIV/0!</v>
      </c>
      <c r="AE17" s="3"/>
    </row>
    <row r="18" spans="2:37" x14ac:dyDescent="0.25">
      <c r="B18" s="1"/>
      <c r="W18" s="2"/>
      <c r="X18" s="3"/>
      <c r="Y18" s="3"/>
      <c r="Z18" s="3"/>
      <c r="AB18" s="2"/>
      <c r="AC18" s="3" t="e">
        <f t="shared" si="3"/>
        <v>#DIV/0!</v>
      </c>
      <c r="AD18" s="3" t="e">
        <f t="shared" si="4"/>
        <v>#DIV/0!</v>
      </c>
      <c r="AE18" s="3"/>
    </row>
    <row r="19" spans="2:37" x14ac:dyDescent="0.25">
      <c r="B19" s="1">
        <v>46040.999988425923</v>
      </c>
      <c r="C19">
        <f>+SUMIFS(das_tank_inventories_daily!$M:$M,das_tank_inventories_daily!$C:$C,calculations!$B19,das_tank_inventories_daily!$H:$H,calculations!C$1)</f>
        <v>5829.5020023205998</v>
      </c>
      <c r="D19">
        <f>+SUMIFS(das_tank_inventories_daily!$M:$M,das_tank_inventories_daily!$C:$C,calculations!$B19,das_tank_inventories_daily!$H:$H,calculations!D$1)</f>
        <v>5253.8771572578398</v>
      </c>
      <c r="E19">
        <f>+SUMIFS(das_tank_inventories_daily!$M:$M,das_tank_inventories_daily!$C:$C,calculations!$B19,das_tank_inventories_daily!$H:$H,calculations!E$1)</f>
        <v>28375.836937256201</v>
      </c>
      <c r="F19">
        <f>+SUMIFS(das_tank_inventories_daily!$M:$M,das_tank_inventories_daily!$C:$C,calculations!$B19,das_tank_inventories_daily!$H:$H,calculations!F$1)</f>
        <v>-82697.036412020898</v>
      </c>
      <c r="G19">
        <f>+SUMIFS(das_tank_inventories_daily!$M:$M,das_tank_inventories_daily!$C:$C,calculations!$B19,das_tank_inventories_daily!$H:$H,calculations!G$1)</f>
        <v>18854.121714283301</v>
      </c>
      <c r="H19">
        <f>+SUMIFS(das_tank_inventories_daily!$M:$M,das_tank_inventories_daily!$C:$C,calculations!$B19,das_tank_inventories_daily!$H:$H,calculations!H$1)</f>
        <v>13954.1862052095</v>
      </c>
      <c r="I19">
        <f>+SUMIFS(das_tank_inventories_daily!$M:$M,das_tank_inventories_daily!$C:$C,calculations!$B19,das_tank_inventories_daily!$H:$H,calculations!I$1)</f>
        <v>-473071.12820228201</v>
      </c>
      <c r="J19">
        <f>+SUMIFS(das_tank_inventories_daily!$M:$M,das_tank_inventories_daily!$C:$C,calculations!$B19,das_tank_inventories_daily!$H:$H,calculations!J$1)</f>
        <v>-139516.25844857801</v>
      </c>
      <c r="K19">
        <f>+SUMIFS(das_tank_inventories_daily!$M:$M,das_tank_inventories_daily!$C:$C,calculations!$B19,das_tank_inventories_daily!$H:$H,calculations!K$1)</f>
        <v>-581063.50720768096</v>
      </c>
      <c r="L19">
        <f>+SUMIFS(das_tank_inventories_daily!$M:$M,das_tank_inventories_daily!$C:$C,calculations!$B19,das_tank_inventories_daily!$H:$H,calculations!L$1)</f>
        <v>-18913.324184627301</v>
      </c>
      <c r="M19">
        <f>+SUMIFS(das_tank_inventories_daily!$M:$M,das_tank_inventories_daily!$C:$C,calculations!$B19,das_tank_inventories_daily!$H:$H,calculations!M$1)</f>
        <v>-13303.570012431401</v>
      </c>
      <c r="N19">
        <f>+SUMIFS(das_tank_inventories_daily!$M:$M,das_tank_inventories_daily!$C:$C,calculations!$B19,das_tank_inventories_daily!$H:$H,calculations!N$1)</f>
        <v>-75810.492140006405</v>
      </c>
      <c r="O19">
        <f>+SUMIFS(das_tank_inventories_daily!$M:$M,das_tank_inventories_daily!$C:$C,calculations!$B19,das_tank_inventories_daily!$H:$H,calculations!O$1)</f>
        <v>155223.45367023401</v>
      </c>
      <c r="P19">
        <f>+SUMIFS(das_tank_inventories_daily!$M:$M,das_tank_inventories_daily!$C:$C,calculations!$B19,das_tank_inventories_daily!$H:$H,calculations!P$1)</f>
        <v>-463833.86511234002</v>
      </c>
      <c r="Q19">
        <f>+SUMIFS(das_tank_inventories_daily!$M:$M,das_tank_inventories_daily!$C:$C,calculations!$B19,das_tank_inventories_daily!$H:$H,calculations!Q$1)</f>
        <v>0</v>
      </c>
      <c r="R19">
        <f>+SUMIFS(das_tank_inventories_daily!$M:$M,das_tank_inventories_daily!$C:$C,calculations!$B19,das_tank_inventories_daily!$H:$H,calculations!R$1)</f>
        <v>93667.184354987199</v>
      </c>
      <c r="S19">
        <f>+SUMIFS(das_tank_inventories_daily!$M:$M,das_tank_inventories_daily!$C:$C,calculations!$B19,das_tank_inventories_daily!$H:$H,calculations!S$1)</f>
        <v>-48706.987917108701</v>
      </c>
      <c r="T19">
        <f>+SUMIFS(das_tank_inventories_daily!$M:$M,das_tank_inventories_daily!$C:$C,calculations!$B19,das_tank_inventories_daily!$H:$H,calculations!T$1)</f>
        <v>3894.0022098834702</v>
      </c>
      <c r="U19">
        <f>+SUMIFS(das_tank_inventories_daily!$M:$M,das_tank_inventories_daily!$C:$C,calculations!$B19,das_tank_inventories_daily!$H:$H,calculations!U$1)</f>
        <v>-391336.12934303802</v>
      </c>
      <c r="W19" s="2">
        <f>+B19</f>
        <v>46040.999988425923</v>
      </c>
      <c r="X19" s="3">
        <f>+SUMIFS(C19:U19,C19:U19,"&lt;0")</f>
        <v>-2288252.2989801141</v>
      </c>
      <c r="Y19" s="3">
        <f>+SUMIFS(C19:U19,C19:U19,"&lt;0")</f>
        <v>-2288252.2989801141</v>
      </c>
      <c r="Z19" s="3">
        <f t="shared" ref="Z19" si="9">+Y19+X19</f>
        <v>-4576504.5979602281</v>
      </c>
      <c r="AB19" s="2">
        <f>+B19</f>
        <v>46040.999988425923</v>
      </c>
      <c r="AC19" s="3">
        <f t="shared" si="3"/>
        <v>-762750.76632670464</v>
      </c>
      <c r="AD19" s="3">
        <f t="shared" si="4"/>
        <v>108350.72141714404</v>
      </c>
      <c r="AE19" s="3">
        <f t="shared" si="6"/>
        <v>-654400.04490956059</v>
      </c>
    </row>
    <row r="20" spans="2:37" x14ac:dyDescent="0.25">
      <c r="B20" s="1"/>
      <c r="W20" s="2"/>
      <c r="X20" s="3"/>
      <c r="Y20" s="3"/>
      <c r="Z20" s="3"/>
      <c r="AB20" s="2"/>
      <c r="AC20" s="3" t="e">
        <f t="shared" si="3"/>
        <v>#DIV/0!</v>
      </c>
      <c r="AD20" s="3" t="e">
        <f t="shared" si="4"/>
        <v>#DIV/0!</v>
      </c>
      <c r="AE20" s="3"/>
    </row>
    <row r="21" spans="2:37" x14ac:dyDescent="0.25">
      <c r="B21" s="1"/>
      <c r="W21" s="2"/>
      <c r="X21" s="3"/>
      <c r="Y21" s="3"/>
      <c r="Z21" s="3"/>
      <c r="AB21" s="2"/>
      <c r="AC21" s="3" t="e">
        <f t="shared" si="3"/>
        <v>#DIV/0!</v>
      </c>
      <c r="AD21" s="3" t="e">
        <f t="shared" si="4"/>
        <v>#DIV/0!</v>
      </c>
      <c r="AE21" s="3"/>
    </row>
    <row r="22" spans="2:37" x14ac:dyDescent="0.25">
      <c r="B22" s="1"/>
      <c r="W22" s="2"/>
      <c r="X22" s="3"/>
      <c r="Y22" s="3"/>
      <c r="Z22" s="3"/>
      <c r="AB22" s="2"/>
      <c r="AC22" s="3">
        <f t="shared" si="3"/>
        <v>0</v>
      </c>
      <c r="AD22" s="3">
        <f t="shared" si="4"/>
        <v>0</v>
      </c>
      <c r="AE22" s="3"/>
    </row>
    <row r="23" spans="2:37" x14ac:dyDescent="0.25">
      <c r="B23" s="1"/>
      <c r="W23" s="2"/>
      <c r="X23" s="3"/>
      <c r="Y23" s="3"/>
      <c r="Z23" s="3"/>
      <c r="AB23" s="2"/>
      <c r="AC23" s="3" t="e">
        <f t="shared" si="3"/>
        <v>#DIV/0!</v>
      </c>
      <c r="AD23" s="3" t="e">
        <f t="shared" si="4"/>
        <v>#DIV/0!</v>
      </c>
      <c r="AE23" s="3"/>
    </row>
    <row r="24" spans="2:37" x14ac:dyDescent="0.25">
      <c r="B24" s="1"/>
      <c r="W24" s="2"/>
      <c r="X24" s="3"/>
      <c r="Y24" s="3"/>
      <c r="Z24" s="3"/>
      <c r="AB24" s="2"/>
      <c r="AC24" s="3" t="e">
        <f t="shared" si="3"/>
        <v>#DIV/0!</v>
      </c>
      <c r="AD24" s="3" t="e">
        <f t="shared" si="4"/>
        <v>#DIV/0!</v>
      </c>
      <c r="AE24" s="3"/>
    </row>
    <row r="25" spans="2:37" x14ac:dyDescent="0.25">
      <c r="B25" s="1">
        <v>46046.999988425923</v>
      </c>
      <c r="C25">
        <f>+SUMIFS(das_tank_inventories_daily!$M:$M,das_tank_inventories_daily!$C:$C,calculations!$B25,das_tank_inventories_daily!$H:$H,calculations!C$1)</f>
        <v>-2717.0236778807498</v>
      </c>
      <c r="D25">
        <f>+SUMIFS(das_tank_inventories_daily!$M:$M,das_tank_inventories_daily!$C:$C,calculations!$B25,das_tank_inventories_daily!$H:$H,calculations!D$1)</f>
        <v>-152.293018932628</v>
      </c>
      <c r="E25">
        <f>+SUMIFS(das_tank_inventories_daily!$M:$M,das_tank_inventories_daily!$C:$C,calculations!$B25,das_tank_inventories_daily!$H:$H,calculations!E$1)</f>
        <v>-2044.39668817695</v>
      </c>
      <c r="F25">
        <f>+SUMIFS(das_tank_inventories_daily!$M:$M,das_tank_inventories_daily!$C:$C,calculations!$B25,das_tank_inventories_daily!$H:$H,calculations!F$1)</f>
        <v>-135963.59636323701</v>
      </c>
      <c r="G25">
        <f>+SUMIFS(das_tank_inventories_daily!$M:$M,das_tank_inventories_daily!$C:$C,calculations!$B25,das_tank_inventories_daily!$H:$H,calculations!G$1)</f>
        <v>-7433.6611668020396</v>
      </c>
      <c r="H25">
        <f>+SUMIFS(das_tank_inventories_daily!$M:$M,das_tank_inventories_daily!$C:$C,calculations!$B25,das_tank_inventories_daily!$H:$H,calculations!H$1)</f>
        <v>-14745.852126799</v>
      </c>
      <c r="I25">
        <f>+SUMIFS(das_tank_inventories_daily!$M:$M,das_tank_inventories_daily!$C:$C,calculations!$B25,das_tank_inventories_daily!$H:$H,calculations!I$1)</f>
        <v>43990.949784657503</v>
      </c>
      <c r="J25">
        <f>+SUMIFS(das_tank_inventories_daily!$M:$M,das_tank_inventories_daily!$C:$C,calculations!$B25,das_tank_inventories_daily!$H:$H,calculations!J$1)</f>
        <v>390653.06606804498</v>
      </c>
      <c r="K25">
        <f>+SUMIFS(das_tank_inventories_daily!$M:$M,das_tank_inventories_daily!$C:$C,calculations!$B25,das_tank_inventories_daily!$H:$H,calculations!K$1)</f>
        <v>579192.906599276</v>
      </c>
      <c r="L25">
        <f>+SUMIFS(das_tank_inventories_daily!$M:$M,das_tank_inventories_daily!$C:$C,calculations!$B25,das_tank_inventories_daily!$H:$H,calculations!L$1)</f>
        <v>-81616.992761582704</v>
      </c>
      <c r="M25">
        <f>+SUMIFS(das_tank_inventories_daily!$M:$M,das_tank_inventories_daily!$C:$C,calculations!$B25,das_tank_inventories_daily!$H:$H,calculations!M$1)</f>
        <v>30.538977043150201</v>
      </c>
      <c r="N25">
        <f>+SUMIFS(das_tank_inventories_daily!$M:$M,das_tank_inventories_daily!$C:$C,calculations!$B25,das_tank_inventories_daily!$H:$H,calculations!N$1)</f>
        <v>-81676.174952479094</v>
      </c>
      <c r="O25">
        <f>+SUMIFS(das_tank_inventories_daily!$M:$M,das_tank_inventories_daily!$C:$C,calculations!$B25,das_tank_inventories_daily!$H:$H,calculations!O$1)</f>
        <v>-439649.12342134898</v>
      </c>
      <c r="P25">
        <f>+SUMIFS(das_tank_inventories_daily!$M:$M,das_tank_inventories_daily!$C:$C,calculations!$B25,das_tank_inventories_daily!$H:$H,calculations!P$1)</f>
        <v>0</v>
      </c>
      <c r="Q25">
        <f>+SUMIFS(das_tank_inventories_daily!$M:$M,das_tank_inventories_daily!$C:$C,calculations!$B25,das_tank_inventories_daily!$H:$H,calculations!Q$1)</f>
        <v>0</v>
      </c>
      <c r="R25">
        <f>+SUMIFS(das_tank_inventories_daily!$M:$M,das_tank_inventories_daily!$C:$C,calculations!$B25,das_tank_inventories_daily!$H:$H,calculations!R$1)</f>
        <v>-96621.145236144002</v>
      </c>
      <c r="S25">
        <f>+SUMIFS(das_tank_inventories_daily!$M:$M,das_tank_inventories_daily!$C:$C,calculations!$B25,das_tank_inventories_daily!$H:$H,calculations!S$1)</f>
        <v>-19760.939620983601</v>
      </c>
      <c r="T25">
        <f>+SUMIFS(das_tank_inventories_daily!$M:$M,das_tank_inventories_daily!$C:$C,calculations!$B25,das_tank_inventories_daily!$H:$H,calculations!T$1)</f>
        <v>-10984.540222792501</v>
      </c>
      <c r="U25">
        <f>+SUMIFS(das_tank_inventories_daily!$M:$M,das_tank_inventories_daily!$C:$C,calculations!$B25,das_tank_inventories_daily!$H:$H,calculations!U$1)</f>
        <v>-31989.480909573402</v>
      </c>
      <c r="W25" s="2">
        <f>+B25</f>
        <v>46046.999988425923</v>
      </c>
      <c r="X25" s="3">
        <f>+SUMIFS(C25:U25,C25:U25,"&lt;0")</f>
        <v>-925355.22016673256</v>
      </c>
      <c r="Y25" s="3">
        <f>+SUMIFS(C25:U25,C25:U25,"&lt;0")</f>
        <v>-925355.22016673256</v>
      </c>
      <c r="Z25" s="3">
        <f t="shared" ref="Z25" si="10">+Y25+X25</f>
        <v>-1850710.4403334651</v>
      </c>
      <c r="AB25" s="2">
        <f>+B25</f>
        <v>46046.999988425923</v>
      </c>
      <c r="AC25" s="3">
        <f t="shared" si="3"/>
        <v>-20.095885082618278</v>
      </c>
      <c r="AD25" s="3">
        <f t="shared" si="4"/>
        <v>22.018100238535862</v>
      </c>
      <c r="AE25" s="3">
        <f t="shared" si="6"/>
        <v>1.9222151559175842</v>
      </c>
    </row>
    <row r="26" spans="2:37" x14ac:dyDescent="0.25">
      <c r="B26" s="1"/>
      <c r="W26" s="2" t="e">
        <f>+#REF!</f>
        <v>#REF!</v>
      </c>
      <c r="X26" s="3" t="e">
        <f>+SUMIFS(#REF!,#REF!,"&lt;0")</f>
        <v>#REF!</v>
      </c>
      <c r="Y26" s="3" t="e">
        <f>+SUMIFS(#REF!,#REF!,"&gt;0")</f>
        <v>#REF!</v>
      </c>
      <c r="Z26" s="3" t="e">
        <f t="shared" si="0"/>
        <v>#REF!</v>
      </c>
      <c r="AB26" s="2"/>
      <c r="AC26" s="3" t="e">
        <f t="shared" si="3"/>
        <v>#DIV/0!</v>
      </c>
      <c r="AD26" s="3" t="e">
        <f t="shared" si="4"/>
        <v>#DIV/0!</v>
      </c>
      <c r="AE26" s="3"/>
    </row>
    <row r="27" spans="2:37" x14ac:dyDescent="0.25">
      <c r="B27" s="1"/>
      <c r="W27" s="2" t="e">
        <f>+#REF!</f>
        <v>#REF!</v>
      </c>
      <c r="X27" s="3" t="e">
        <f>+SUMIFS(#REF!,#REF!,"&lt;0")</f>
        <v>#REF!</v>
      </c>
      <c r="Y27" s="3" t="e">
        <f>+SUMIFS(#REF!,#REF!,"&gt;0")</f>
        <v>#REF!</v>
      </c>
      <c r="Z27" s="3" t="e">
        <f t="shared" si="0"/>
        <v>#REF!</v>
      </c>
      <c r="AB27" s="2"/>
      <c r="AC27" s="3" t="e">
        <f t="shared" si="3"/>
        <v>#DIV/0!</v>
      </c>
      <c r="AD27" s="3" t="e">
        <f t="shared" si="4"/>
        <v>#DIV/0!</v>
      </c>
      <c r="AE27" s="3"/>
    </row>
    <row r="28" spans="2:37" x14ac:dyDescent="0.25">
      <c r="B28" s="1">
        <v>46049.999988425923</v>
      </c>
      <c r="C28">
        <f>+SUMIFS(das_tank_inventories_daily!$M:$M,das_tank_inventories_daily!$C:$C,calculations!$B28,das_tank_inventories_daily!$H:$H,calculations!C$1)</f>
        <v>-2792.6799591082599</v>
      </c>
      <c r="D28">
        <f>+SUMIFS(das_tank_inventories_daily!$M:$M,das_tank_inventories_daily!$C:$C,calculations!$B28,das_tank_inventories_daily!$H:$H,calculations!D$1)</f>
        <v>-5443.8267374274101</v>
      </c>
      <c r="E28">
        <f>+SUMIFS(das_tank_inventories_daily!$M:$M,das_tank_inventories_daily!$C:$C,calculations!$B28,das_tank_inventories_daily!$H:$H,calculations!E$1)</f>
        <v>-378551.21860876301</v>
      </c>
      <c r="F28">
        <f>+SUMIFS(das_tank_inventories_daily!$M:$M,das_tank_inventories_daily!$C:$C,calculations!$B28,das_tank_inventories_daily!$H:$H,calculations!F$1)</f>
        <v>-9537.8366993793697</v>
      </c>
      <c r="G28">
        <f>+SUMIFS(das_tank_inventories_daily!$M:$M,das_tank_inventories_daily!$C:$C,calculations!$B28,das_tank_inventories_daily!$H:$H,calculations!G$1)</f>
        <v>-7697.6319469378795</v>
      </c>
      <c r="H28">
        <f>+SUMIFS(das_tank_inventories_daily!$M:$M,das_tank_inventories_daily!$C:$C,calculations!$B28,das_tank_inventories_daily!$H:$H,calculations!H$1)</f>
        <v>-440053.670189125</v>
      </c>
      <c r="I28">
        <f>+SUMIFS(das_tank_inventories_daily!$M:$M,das_tank_inventories_daily!$C:$C,calculations!$B28,das_tank_inventories_daily!$H:$H,calculations!I$1)</f>
        <v>-68856.282870221505</v>
      </c>
      <c r="J28">
        <f>+SUMIFS(das_tank_inventories_daily!$M:$M,das_tank_inventories_daily!$C:$C,calculations!$B28,das_tank_inventories_daily!$H:$H,calculations!J$1)</f>
        <v>-6019.3851562338496</v>
      </c>
      <c r="K28">
        <f>+SUMIFS(das_tank_inventories_daily!$M:$M,das_tank_inventories_daily!$C:$C,calculations!$B28,das_tank_inventories_daily!$H:$H,calculations!K$1)</f>
        <v>-3593.0279117436098</v>
      </c>
      <c r="L28">
        <f>+SUMIFS(das_tank_inventories_daily!$M:$M,das_tank_inventories_daily!$C:$C,calculations!$B28,das_tank_inventories_daily!$H:$H,calculations!L$1)</f>
        <v>-28250.970240922801</v>
      </c>
      <c r="M28">
        <f>+SUMIFS(das_tank_inventories_daily!$M:$M,das_tank_inventories_daily!$C:$C,calculations!$B28,das_tank_inventories_daily!$H:$H,calculations!M$1)</f>
        <v>10861.5065858937</v>
      </c>
      <c r="N28">
        <f>+SUMIFS(das_tank_inventories_daily!$M:$M,das_tank_inventories_daily!$C:$C,calculations!$B28,das_tank_inventories_daily!$H:$H,calculations!N$1)</f>
        <v>60239.651213457102</v>
      </c>
      <c r="O28">
        <f>+SUMIFS(das_tank_inventories_daily!$M:$M,das_tank_inventories_daily!$C:$C,calculations!$B28,das_tank_inventories_daily!$H:$H,calculations!O$1)</f>
        <v>421022.357114502</v>
      </c>
      <c r="P28">
        <f>+SUMIFS(das_tank_inventories_daily!$M:$M,das_tank_inventories_daily!$C:$C,calculations!$B28,das_tank_inventories_daily!$H:$H,calculations!P$1)</f>
        <v>465588.74848843802</v>
      </c>
      <c r="Q28">
        <f>+SUMIFS(das_tank_inventories_daily!$M:$M,das_tank_inventories_daily!$C:$C,calculations!$B28,das_tank_inventories_daily!$H:$H,calculations!Q$1)</f>
        <v>0</v>
      </c>
      <c r="R28">
        <f>+SUMIFS(das_tank_inventories_daily!$M:$M,das_tank_inventories_daily!$C:$C,calculations!$B28,das_tank_inventories_daily!$H:$H,calculations!R$1)</f>
        <v>12635.270161091799</v>
      </c>
      <c r="S28">
        <f>+SUMIFS(das_tank_inventories_daily!$M:$M,das_tank_inventories_daily!$C:$C,calculations!$B28,das_tank_inventories_daily!$H:$H,calculations!S$1)</f>
        <v>0</v>
      </c>
      <c r="T28">
        <f>+SUMIFS(das_tank_inventories_daily!$M:$M,das_tank_inventories_daily!$C:$C,calculations!$B28,das_tank_inventories_daily!$H:$H,calculations!T$1)</f>
        <v>6009.9803364181998</v>
      </c>
      <c r="U28">
        <f>+SUMIFS(das_tank_inventories_daily!$M:$M,das_tank_inventories_daily!$C:$C,calculations!$B28,das_tank_inventories_daily!$H:$H,calculations!U$1)</f>
        <v>424151.99934773502</v>
      </c>
      <c r="W28" s="2">
        <f>+B28</f>
        <v>46049.999988425923</v>
      </c>
      <c r="X28" s="3">
        <f>+SUMIFS(C28:U28,C28:U28,"&lt;0")</f>
        <v>-950796.53031986265</v>
      </c>
      <c r="Y28" s="3">
        <f>+SUMIFS(C28:U28,C28:U28,"&lt;0")</f>
        <v>-950796.53031986265</v>
      </c>
      <c r="Z28" s="3">
        <f t="shared" ref="Z28" si="11">+Y28+X28</f>
        <v>-1901593.0606397253</v>
      </c>
      <c r="AB28" s="2">
        <f>+B28</f>
        <v>46049.999988425923</v>
      </c>
      <c r="AC28" s="3">
        <f t="shared" si="3"/>
        <v>-316932.17677328753</v>
      </c>
      <c r="AD28" s="3">
        <f t="shared" si="4"/>
        <v>466836.50441584527</v>
      </c>
      <c r="AE28" s="3">
        <f t="shared" si="6"/>
        <v>149904.32764255774</v>
      </c>
    </row>
    <row r="29" spans="2:37" x14ac:dyDescent="0.25">
      <c r="B29" s="1"/>
      <c r="W29" s="2" t="e">
        <f>+#REF!</f>
        <v>#REF!</v>
      </c>
      <c r="X29" s="3" t="e">
        <f>+SUMIFS(#REF!,#REF!,"&lt;0")</f>
        <v>#REF!</v>
      </c>
      <c r="Y29" s="3" t="e">
        <f>+SUMIFS(#REF!,#REF!,"&gt;0")</f>
        <v>#REF!</v>
      </c>
      <c r="Z29" s="3" t="e">
        <f t="shared" si="0"/>
        <v>#REF!</v>
      </c>
      <c r="AB29" s="2"/>
      <c r="AC29" s="3" t="e">
        <f t="shared" si="3"/>
        <v>#DIV/0!</v>
      </c>
      <c r="AD29" s="3" t="e">
        <f t="shared" si="4"/>
        <v>#DIV/0!</v>
      </c>
      <c r="AE29" s="3"/>
    </row>
    <row r="30" spans="2:37" x14ac:dyDescent="0.25">
      <c r="B30" s="1"/>
      <c r="W30" s="2" t="e">
        <f>+#REF!</f>
        <v>#REF!</v>
      </c>
      <c r="X30" s="3" t="e">
        <f>+SUMIFS(#REF!,#REF!,"&lt;0")</f>
        <v>#REF!</v>
      </c>
      <c r="Y30" s="3" t="e">
        <f>+SUMIFS(#REF!,#REF!,"&gt;0")</f>
        <v>#REF!</v>
      </c>
      <c r="Z30" s="3" t="e">
        <f t="shared" si="0"/>
        <v>#REF!</v>
      </c>
      <c r="AB30" s="2"/>
      <c r="AC30" s="3" t="e">
        <f t="shared" si="3"/>
        <v>#DIV/0!</v>
      </c>
      <c r="AD30" s="3" t="e">
        <f t="shared" si="4"/>
        <v>#DIV/0!</v>
      </c>
      <c r="AE30" s="3"/>
      <c r="AI30">
        <v>0</v>
      </c>
      <c r="AJ30">
        <v>0</v>
      </c>
      <c r="AK30">
        <v>0</v>
      </c>
    </row>
    <row r="31" spans="2:37" x14ac:dyDescent="0.25">
      <c r="B31" s="1">
        <v>46052.999988425923</v>
      </c>
      <c r="C31">
        <f>+SUMIFS(das_tank_inventories_daily!$M:$M,das_tank_inventories_daily!$C:$C,calculations!$B31,das_tank_inventories_daily!$H:$H,calculations!C$1)</f>
        <v>4478.1030487672797</v>
      </c>
      <c r="D31">
        <f>+SUMIFS(das_tank_inventories_daily!$M:$M,das_tank_inventories_daily!$C:$C,calculations!$B31,das_tank_inventories_daily!$H:$H,calculations!D$1)</f>
        <v>5876.6817052980095</v>
      </c>
      <c r="E31">
        <f>+SUMIFS(das_tank_inventories_daily!$M:$M,das_tank_inventories_daily!$C:$C,calculations!$B31,das_tank_inventories_daily!$H:$H,calculations!E$1)</f>
        <v>25148.786095880001</v>
      </c>
      <c r="F31">
        <f>+SUMIFS(das_tank_inventories_daily!$M:$M,das_tank_inventories_daily!$C:$C,calculations!$B31,das_tank_inventories_daily!$H:$H,calculations!F$1)</f>
        <v>4582.9430508818396</v>
      </c>
      <c r="G31">
        <f>+SUMIFS(das_tank_inventories_daily!$M:$M,das_tank_inventories_daily!$C:$C,calculations!$B31,das_tank_inventories_daily!$H:$H,calculations!G$1)</f>
        <v>12450.8308776371</v>
      </c>
      <c r="H31">
        <f>+SUMIFS(das_tank_inventories_daily!$M:$M,das_tank_inventories_daily!$C:$C,calculations!$B31,das_tank_inventories_daily!$H:$H,calculations!H$1)</f>
        <v>393018.77424361202</v>
      </c>
      <c r="I31">
        <f>+SUMIFS(das_tank_inventories_daily!$M:$M,das_tank_inventories_daily!$C:$C,calculations!$B31,das_tank_inventories_daily!$H:$H,calculations!I$1)</f>
        <v>504014.67354660103</v>
      </c>
      <c r="J31">
        <f>+SUMIFS(das_tank_inventories_daily!$M:$M,das_tank_inventories_daily!$C:$C,calculations!$B31,das_tank_inventories_daily!$H:$H,calculations!J$1)</f>
        <v>-384633.68091181101</v>
      </c>
      <c r="K31">
        <f>+SUMIFS(das_tank_inventories_daily!$M:$M,das_tank_inventories_daily!$C:$C,calculations!$B31,das_tank_inventories_daily!$H:$H,calculations!K$1)</f>
        <v>-616010.57532995404</v>
      </c>
      <c r="L31">
        <f>+SUMIFS(das_tank_inventories_daily!$M:$M,das_tank_inventories_daily!$C:$C,calculations!$B31,das_tank_inventories_daily!$H:$H,calculations!L$1)</f>
        <v>10436.0214487587</v>
      </c>
      <c r="M31">
        <f>+SUMIFS(das_tank_inventories_daily!$M:$M,das_tank_inventories_daily!$C:$C,calculations!$B31,das_tank_inventories_daily!$H:$H,calculations!M$1)</f>
        <v>-22805.948358395199</v>
      </c>
      <c r="N31">
        <f>+SUMIFS(das_tank_inventories_daily!$M:$M,das_tank_inventories_daily!$C:$C,calculations!$B31,das_tank_inventories_daily!$H:$H,calculations!N$1)</f>
        <v>-360944.45403684699</v>
      </c>
      <c r="O31">
        <f>+SUMIFS(das_tank_inventories_daily!$M:$M,das_tank_inventories_daily!$C:$C,calculations!$B31,das_tank_inventories_daily!$H:$H,calculations!O$1)</f>
        <v>6377.8236466837698</v>
      </c>
      <c r="P31">
        <f>+SUMIFS(das_tank_inventories_daily!$M:$M,das_tank_inventories_daily!$C:$C,calculations!$B31,das_tank_inventories_daily!$H:$H,calculations!P$1)</f>
        <v>-465588.74848843802</v>
      </c>
      <c r="Q31">
        <f>+SUMIFS(das_tank_inventories_daily!$M:$M,das_tank_inventories_daily!$C:$C,calculations!$B31,das_tank_inventories_daily!$H:$H,calculations!Q$1)</f>
        <v>0</v>
      </c>
      <c r="R31">
        <f>+SUMIFS(das_tank_inventories_daily!$M:$M,das_tank_inventories_daily!$C:$C,calculations!$B31,das_tank_inventories_daily!$H:$H,calculations!R$1)</f>
        <v>260070.56759246299</v>
      </c>
      <c r="S31">
        <f>+SUMIFS(das_tank_inventories_daily!$M:$M,das_tank_inventories_daily!$C:$C,calculations!$B31,das_tank_inventories_daily!$H:$H,calculations!S$1)</f>
        <v>207370.55070928199</v>
      </c>
      <c r="T31">
        <f>+SUMIFS(das_tank_inventories_daily!$M:$M,das_tank_inventories_daily!$C:$C,calculations!$B31,das_tank_inventories_daily!$H:$H,calculations!T$1)</f>
        <v>50.728134087286797</v>
      </c>
      <c r="U31">
        <f>+SUMIFS(das_tank_inventories_daily!$M:$M,das_tank_inventories_daily!$C:$C,calculations!$B31,das_tank_inventories_daily!$H:$H,calculations!U$1)</f>
        <v>-75926.4539652448</v>
      </c>
      <c r="W31" s="2">
        <f>+B31</f>
        <v>46052.999988425923</v>
      </c>
      <c r="X31" s="3">
        <f>+SUMIFS(C31:U31,C31:U31,"&lt;0")</f>
        <v>-1925909.8610906901</v>
      </c>
      <c r="Y31" s="3">
        <f>+SUMIFS(C31:U31,C31:U31,"&lt;0")</f>
        <v>-1925909.8610906901</v>
      </c>
      <c r="Z31" s="3">
        <f t="shared" ref="Z31" si="12">+Y31+X31</f>
        <v>-3851819.7221813803</v>
      </c>
      <c r="AB31" s="2">
        <f>+B31</f>
        <v>46052.999988425923</v>
      </c>
      <c r="AC31" s="3">
        <f t="shared" si="3"/>
        <v>-641969.95369689667</v>
      </c>
      <c r="AD31" s="3">
        <f t="shared" si="4"/>
        <v>477958.82803331735</v>
      </c>
      <c r="AE31" s="3">
        <f t="shared" si="6"/>
        <v>-164011.12566357933</v>
      </c>
      <c r="AH31" s="2">
        <f>+AB31</f>
        <v>46052.999988425923</v>
      </c>
      <c r="AI31" s="4">
        <f>+AI30+AC31</f>
        <v>-641969.95369689667</v>
      </c>
      <c r="AJ31" s="4">
        <f>+AJ30+AD31</f>
        <v>477958.82803331735</v>
      </c>
      <c r="AK31" s="4">
        <f>+AK30+AE31</f>
        <v>-164011.12566357933</v>
      </c>
    </row>
    <row r="32" spans="2:37" x14ac:dyDescent="0.25">
      <c r="B32" s="1"/>
      <c r="W32" s="2" t="e">
        <f>+#REF!</f>
        <v>#REF!</v>
      </c>
      <c r="X32" s="3" t="e">
        <f>+SUMIFS(#REF!,#REF!,"&lt;0")</f>
        <v>#REF!</v>
      </c>
      <c r="Y32" s="3" t="e">
        <f>+SUMIFS(#REF!,#REF!,"&gt;0")</f>
        <v>#REF!</v>
      </c>
      <c r="Z32" s="3" t="e">
        <f t="shared" si="0"/>
        <v>#REF!</v>
      </c>
      <c r="AB32" s="2"/>
      <c r="AC32" s="3" t="e">
        <f t="shared" si="3"/>
        <v>#DIV/0!</v>
      </c>
      <c r="AD32" s="3" t="e">
        <f t="shared" si="4"/>
        <v>#DIV/0!</v>
      </c>
      <c r="AE32" s="3"/>
      <c r="AH32" s="2">
        <f t="shared" ref="AH32:AH95" si="13">+AB32</f>
        <v>0</v>
      </c>
      <c r="AI32" s="4" t="e">
        <f t="shared" ref="AI32:AI95" si="14">+AI31+AC32</f>
        <v>#DIV/0!</v>
      </c>
      <c r="AJ32" s="4" t="e">
        <f t="shared" ref="AJ32:AJ95" si="15">+AJ31+AD32</f>
        <v>#DIV/0!</v>
      </c>
      <c r="AK32" s="4">
        <f t="shared" ref="AK32:AK95" si="16">+AK31+AE32</f>
        <v>-164011.12566357933</v>
      </c>
    </row>
    <row r="33" spans="2:37" x14ac:dyDescent="0.25">
      <c r="B33" s="1"/>
      <c r="W33" s="2" t="e">
        <f>+#REF!</f>
        <v>#REF!</v>
      </c>
      <c r="X33" s="3" t="e">
        <f>+SUMIFS(#REF!,#REF!,"&lt;0")</f>
        <v>#REF!</v>
      </c>
      <c r="Y33" s="3" t="e">
        <f>+SUMIFS(#REF!,#REF!,"&gt;0")</f>
        <v>#REF!</v>
      </c>
      <c r="Z33" s="3" t="e">
        <f t="shared" si="0"/>
        <v>#REF!</v>
      </c>
      <c r="AB33" s="2"/>
      <c r="AC33" s="3" t="e">
        <f t="shared" si="3"/>
        <v>#DIV/0!</v>
      </c>
      <c r="AD33" s="3" t="e">
        <f t="shared" si="4"/>
        <v>#DIV/0!</v>
      </c>
      <c r="AE33" s="3"/>
      <c r="AH33" s="2">
        <f t="shared" si="13"/>
        <v>0</v>
      </c>
      <c r="AI33" s="4" t="e">
        <f t="shared" si="14"/>
        <v>#DIV/0!</v>
      </c>
      <c r="AJ33" s="4" t="e">
        <f t="shared" si="15"/>
        <v>#DIV/0!</v>
      </c>
      <c r="AK33" s="4">
        <f t="shared" si="16"/>
        <v>-164011.12566357933</v>
      </c>
    </row>
    <row r="34" spans="2:37" x14ac:dyDescent="0.25">
      <c r="B34" s="1">
        <v>46055.999988425923</v>
      </c>
      <c r="C34">
        <f>+SUMIFS(das_tank_inventories_daily!$M:$M,das_tank_inventories_daily!$C:$C,calculations!$B34,das_tank_inventories_daily!$H:$H,calculations!C$1)</f>
        <v>-4348.7939238167</v>
      </c>
      <c r="D34">
        <f>+SUMIFS(das_tank_inventories_daily!$M:$M,das_tank_inventories_daily!$C:$C,calculations!$B34,das_tank_inventories_daily!$H:$H,calculations!D$1)</f>
        <v>-9004.1206638371496</v>
      </c>
      <c r="E34">
        <f>+SUMIFS(das_tank_inventories_daily!$M:$M,das_tank_inventories_daily!$C:$C,calculations!$B34,das_tank_inventories_daily!$H:$H,calculations!E$1)</f>
        <v>325769.96781336202</v>
      </c>
      <c r="F34">
        <f>+SUMIFS(das_tank_inventories_daily!$M:$M,das_tank_inventories_daily!$C:$C,calculations!$B34,das_tank_inventories_daily!$H:$H,calculations!F$1)</f>
        <v>-36895.706668042199</v>
      </c>
      <c r="G34">
        <f>+SUMIFS(das_tank_inventories_daily!$M:$M,das_tank_inventories_daily!$C:$C,calculations!$B34,das_tank_inventories_daily!$H:$H,calculations!G$1)</f>
        <v>-14859.300856990099</v>
      </c>
      <c r="H34">
        <f>+SUMIFS(das_tank_inventories_daily!$M:$M,das_tank_inventories_daily!$C:$C,calculations!$B34,das_tank_inventories_daily!$H:$H,calculations!H$1)</f>
        <v>12350.236581736701</v>
      </c>
      <c r="I34">
        <f>+SUMIFS(das_tank_inventories_daily!$M:$M,das_tank_inventories_daily!$C:$C,calculations!$B34,das_tank_inventories_daily!$H:$H,calculations!I$1)</f>
        <v>-421937.83120760199</v>
      </c>
      <c r="J34">
        <f>+SUMIFS(das_tank_inventories_daily!$M:$M,das_tank_inventories_daily!$C:$C,calculations!$B34,das_tank_inventories_daily!$H:$H,calculations!J$1)</f>
        <v>398538.76601181802</v>
      </c>
      <c r="K34">
        <f>+SUMIFS(das_tank_inventories_daily!$M:$M,das_tank_inventories_daily!$C:$C,calculations!$B34,das_tank_inventories_daily!$H:$H,calculations!K$1)</f>
        <v>631905.98261744599</v>
      </c>
      <c r="L34">
        <f>+SUMIFS(das_tank_inventories_daily!$M:$M,das_tank_inventories_daily!$C:$C,calculations!$B34,das_tank_inventories_daily!$H:$H,calculations!L$1)</f>
        <v>-2141.41133674705</v>
      </c>
      <c r="M34">
        <f>+SUMIFS(das_tank_inventories_daily!$M:$M,das_tank_inventories_daily!$C:$C,calculations!$B34,das_tank_inventories_daily!$H:$H,calculations!M$1)</f>
        <v>-129.06036959541899</v>
      </c>
      <c r="N34">
        <f>+SUMIFS(das_tank_inventories_daily!$M:$M,das_tank_inventories_daily!$C:$C,calculations!$B34,das_tank_inventories_daily!$H:$H,calculations!N$1)</f>
        <v>458807.96080960898</v>
      </c>
      <c r="O34">
        <f>+SUMIFS(das_tank_inventories_daily!$M:$M,das_tank_inventories_daily!$C:$C,calculations!$B34,das_tank_inventories_daily!$H:$H,calculations!O$1)</f>
        <v>-427400.18076118501</v>
      </c>
      <c r="P34">
        <f>+SUMIFS(das_tank_inventories_daily!$M:$M,das_tank_inventories_daily!$C:$C,calculations!$B34,das_tank_inventories_daily!$H:$H,calculations!P$1)</f>
        <v>461662.01002955303</v>
      </c>
      <c r="Q34">
        <f>+SUMIFS(das_tank_inventories_daily!$M:$M,das_tank_inventories_daily!$C:$C,calculations!$B34,das_tank_inventories_daily!$H:$H,calculations!Q$1)</f>
        <v>0</v>
      </c>
      <c r="R34">
        <f>+SUMIFS(das_tank_inventories_daily!$M:$M,das_tank_inventories_daily!$C:$C,calculations!$B34,das_tank_inventories_daily!$H:$H,calculations!R$1)</f>
        <v>-610686.31165788602</v>
      </c>
      <c r="S34">
        <f>+SUMIFS(das_tank_inventories_daily!$M:$M,das_tank_inventories_daily!$C:$C,calculations!$B34,das_tank_inventories_daily!$H:$H,calculations!S$1)</f>
        <v>54397.260708331698</v>
      </c>
      <c r="T34">
        <f>+SUMIFS(das_tank_inventories_daily!$M:$M,das_tank_inventories_daily!$C:$C,calculations!$B34,das_tank_inventories_daily!$H:$H,calculations!T$1)</f>
        <v>425.92366315238098</v>
      </c>
      <c r="U34">
        <f>+SUMIFS(das_tank_inventories_daily!$M:$M,das_tank_inventories_daily!$C:$C,calculations!$B34,das_tank_inventories_daily!$H:$H,calculations!U$1)</f>
        <v>-36203.851871241503</v>
      </c>
      <c r="W34" s="2">
        <f>+B34</f>
        <v>46055.999988425923</v>
      </c>
      <c r="X34" s="3">
        <f>+SUMIFS(C34:U34,C34:U34,"&lt;0")</f>
        <v>-1563606.5693169432</v>
      </c>
      <c r="Y34" s="3">
        <f>+SUMIFS(C34:U34,C34:U34,"&lt;0")</f>
        <v>-1563606.5693169432</v>
      </c>
      <c r="Z34" s="3">
        <f t="shared" ref="Z34" si="17">+Y34+X34</f>
        <v>-3127213.1386338864</v>
      </c>
      <c r="AB34" s="2">
        <f>+B34</f>
        <v>46055.999988425923</v>
      </c>
      <c r="AC34" s="3">
        <f t="shared" si="3"/>
        <v>-521202.18977231439</v>
      </c>
      <c r="AD34" s="3">
        <f t="shared" si="4"/>
        <v>781286.03607833618</v>
      </c>
      <c r="AE34" s="3">
        <f t="shared" si="6"/>
        <v>260083.84630602179</v>
      </c>
      <c r="AH34" s="2">
        <f t="shared" si="13"/>
        <v>46055.999988425923</v>
      </c>
      <c r="AI34" s="4">
        <f>+AI31+AC34</f>
        <v>-1163172.1434692112</v>
      </c>
      <c r="AJ34" s="4" t="e">
        <f>+AJ33+AD34</f>
        <v>#DIV/0!</v>
      </c>
      <c r="AK34" s="4">
        <f>+AK33+AE34</f>
        <v>96072.720642442466</v>
      </c>
    </row>
    <row r="35" spans="2:37" x14ac:dyDescent="0.25">
      <c r="B35" s="1"/>
      <c r="W35" s="2" t="e">
        <f>+#REF!</f>
        <v>#REF!</v>
      </c>
      <c r="X35" s="3" t="e">
        <f>+SUMIFS(#REF!,#REF!,"&lt;0")</f>
        <v>#REF!</v>
      </c>
      <c r="Y35" s="3" t="e">
        <f>+SUMIFS(#REF!,#REF!,"&gt;0")</f>
        <v>#REF!</v>
      </c>
      <c r="Z35" s="3" t="e">
        <f t="shared" si="0"/>
        <v>#REF!</v>
      </c>
      <c r="AB35" s="2"/>
      <c r="AC35" s="3" t="e">
        <f t="shared" si="3"/>
        <v>#DIV/0!</v>
      </c>
      <c r="AD35" s="3" t="e">
        <f t="shared" si="4"/>
        <v>#DIV/0!</v>
      </c>
      <c r="AE35" s="3"/>
      <c r="AH35" s="2">
        <f t="shared" si="13"/>
        <v>0</v>
      </c>
      <c r="AI35" s="4" t="e">
        <f t="shared" si="14"/>
        <v>#DIV/0!</v>
      </c>
      <c r="AJ35" s="4" t="e">
        <f t="shared" si="15"/>
        <v>#DIV/0!</v>
      </c>
      <c r="AK35" s="4">
        <f t="shared" si="16"/>
        <v>96072.720642442466</v>
      </c>
    </row>
    <row r="36" spans="2:37" x14ac:dyDescent="0.25">
      <c r="B36" s="1"/>
      <c r="W36" s="2" t="e">
        <f>+#REF!</f>
        <v>#REF!</v>
      </c>
      <c r="X36" s="3" t="e">
        <f>+SUMIFS(#REF!,#REF!,"&lt;0")</f>
        <v>#REF!</v>
      </c>
      <c r="Y36" s="3" t="e">
        <f>+SUMIFS(#REF!,#REF!,"&gt;0")</f>
        <v>#REF!</v>
      </c>
      <c r="Z36" s="3" t="e">
        <f t="shared" si="0"/>
        <v>#REF!</v>
      </c>
      <c r="AB36" s="2"/>
      <c r="AC36" s="3" t="e">
        <f t="shared" si="3"/>
        <v>#DIV/0!</v>
      </c>
      <c r="AD36" s="3" t="e">
        <f t="shared" si="4"/>
        <v>#DIV/0!</v>
      </c>
      <c r="AE36" s="3"/>
      <c r="AH36" s="2">
        <f t="shared" si="13"/>
        <v>0</v>
      </c>
      <c r="AI36" s="4" t="e">
        <f t="shared" si="14"/>
        <v>#DIV/0!</v>
      </c>
      <c r="AJ36" s="4" t="e">
        <f t="shared" si="15"/>
        <v>#DIV/0!</v>
      </c>
      <c r="AK36" s="4">
        <f t="shared" si="16"/>
        <v>96072.720642442466</v>
      </c>
    </row>
    <row r="37" spans="2:37" x14ac:dyDescent="0.25">
      <c r="B37" s="1">
        <v>46058.999988425923</v>
      </c>
      <c r="C37">
        <f>+SUMIFS(das_tank_inventories_daily!$M:$M,das_tank_inventories_daily!$C:$C,calculations!$B37,das_tank_inventories_daily!$H:$H,calculations!C$1)</f>
        <v>3613.36548926055</v>
      </c>
      <c r="D37">
        <f>+SUMIFS(das_tank_inventories_daily!$M:$M,das_tank_inventories_daily!$C:$C,calculations!$B37,das_tank_inventories_daily!$H:$H,calculations!D$1)</f>
        <v>10403.8577112031</v>
      </c>
      <c r="E37">
        <f>+SUMIFS(das_tank_inventories_daily!$M:$M,das_tank_inventories_daily!$C:$C,calculations!$B37,das_tank_inventories_daily!$H:$H,calculations!E$1)</f>
        <v>33547.410492350602</v>
      </c>
      <c r="F37">
        <f>+SUMIFS(das_tank_inventories_daily!$M:$M,das_tank_inventories_daily!$C:$C,calculations!$B37,das_tank_inventories_daily!$H:$H,calculations!F$1)</f>
        <v>52726.408097219602</v>
      </c>
      <c r="G37">
        <f>+SUMIFS(das_tank_inventories_daily!$M:$M,das_tank_inventories_daily!$C:$C,calculations!$B37,das_tank_inventories_daily!$H:$H,calculations!G$1)</f>
        <v>15797.642063290201</v>
      </c>
      <c r="H37">
        <f>+SUMIFS(das_tank_inventories_daily!$M:$M,das_tank_inventories_daily!$C:$C,calculations!$B37,das_tank_inventories_daily!$H:$H,calculations!H$1)</f>
        <v>-390363.07434589602</v>
      </c>
      <c r="I37">
        <f>+SUMIFS(das_tank_inventories_daily!$M:$M,das_tank_inventories_daily!$C:$C,calculations!$B37,das_tank_inventories_daily!$H:$H,calculations!I$1)</f>
        <v>364652.34816989599</v>
      </c>
      <c r="J37">
        <f>+SUMIFS(das_tank_inventories_daily!$M:$M,das_tank_inventories_daily!$C:$C,calculations!$B37,das_tank_inventories_daily!$H:$H,calculations!J$1)</f>
        <v>-318782.37609992397</v>
      </c>
      <c r="K37">
        <f>+SUMIFS(das_tank_inventories_daily!$M:$M,das_tank_inventories_daily!$C:$C,calculations!$B37,das_tank_inventories_daily!$H:$H,calculations!K$1)</f>
        <v>12158.5224787815</v>
      </c>
      <c r="L37">
        <f>+SUMIFS(das_tank_inventories_daily!$M:$M,das_tank_inventories_daily!$C:$C,calculations!$B37,das_tank_inventories_daily!$H:$H,calculations!L$1)</f>
        <v>245457.548523768</v>
      </c>
      <c r="M37">
        <f>+SUMIFS(das_tank_inventories_daily!$M:$M,das_tank_inventories_daily!$C:$C,calculations!$B37,das_tank_inventories_daily!$H:$H,calculations!M$1)</f>
        <v>-16538.901681988002</v>
      </c>
      <c r="N37">
        <f>+SUMIFS(das_tank_inventories_daily!$M:$M,das_tank_inventories_daily!$C:$C,calculations!$B37,das_tank_inventories_daily!$H:$H,calculations!N$1)</f>
        <v>-445932.70120721997</v>
      </c>
      <c r="O37">
        <f>+SUMIFS(das_tank_inventories_daily!$M:$M,das_tank_inventories_daily!$C:$C,calculations!$B37,das_tank_inventories_daily!$H:$H,calculations!O$1)</f>
        <v>152456.486325098</v>
      </c>
      <c r="P37">
        <f>+SUMIFS(das_tank_inventories_daily!$M:$M,das_tank_inventories_daily!$C:$C,calculations!$B37,das_tank_inventories_daily!$H:$H,calculations!P$1)</f>
        <v>-461662.01002955303</v>
      </c>
      <c r="Q37">
        <f>+SUMIFS(das_tank_inventories_daily!$M:$M,das_tank_inventories_daily!$C:$C,calculations!$B37,das_tank_inventories_daily!$H:$H,calculations!Q$1)</f>
        <v>0</v>
      </c>
      <c r="R37">
        <f>+SUMIFS(das_tank_inventories_daily!$M:$M,das_tank_inventories_daily!$C:$C,calculations!$B37,das_tank_inventories_daily!$H:$H,calculations!R$1)</f>
        <v>533546.592524476</v>
      </c>
      <c r="S37">
        <f>+SUMIFS(das_tank_inventories_daily!$M:$M,das_tank_inventories_daily!$C:$C,calculations!$B37,das_tank_inventories_daily!$H:$H,calculations!S$1)</f>
        <v>-261767.81141761399</v>
      </c>
      <c r="T37">
        <f>+SUMIFS(das_tank_inventories_daily!$M:$M,das_tank_inventories_daily!$C:$C,calculations!$B37,das_tank_inventories_daily!$H:$H,calculations!T$1)</f>
        <v>-765.89678670541605</v>
      </c>
      <c r="U37">
        <f>+SUMIFS(das_tank_inventories_daily!$M:$M,das_tank_inventories_daily!$C:$C,calculations!$B37,das_tank_inventories_daily!$H:$H,calculations!U$1)</f>
        <v>-19475.044395336001</v>
      </c>
      <c r="W37" s="2">
        <f>+B37</f>
        <v>46058.999988425923</v>
      </c>
      <c r="X37" s="3">
        <f>+SUMIFS(C37:U37,C37:U37,"&lt;0")</f>
        <v>-1915287.8159642362</v>
      </c>
      <c r="Y37" s="3">
        <f>+SUMIFS(C37:U37,C37:U37,"&lt;0")</f>
        <v>-1915287.8159642362</v>
      </c>
      <c r="Z37" s="3">
        <f t="shared" ref="Z37" si="18">+Y37+X37</f>
        <v>-3830575.6319284723</v>
      </c>
      <c r="AB37" s="2">
        <f>+B37</f>
        <v>46058.999988425923</v>
      </c>
      <c r="AC37" s="3">
        <f t="shared" si="3"/>
        <v>-638429.27198807872</v>
      </c>
      <c r="AD37" s="3">
        <f t="shared" si="4"/>
        <v>474786.72729178116</v>
      </c>
      <c r="AE37" s="3">
        <f t="shared" si="6"/>
        <v>-163642.54469629755</v>
      </c>
      <c r="AH37" s="2">
        <f t="shared" si="13"/>
        <v>46058.999988425923</v>
      </c>
      <c r="AI37" s="4" t="e">
        <f>+AI36+AC37</f>
        <v>#DIV/0!</v>
      </c>
      <c r="AJ37" s="4" t="e">
        <f>+AJ36+AD37</f>
        <v>#DIV/0!</v>
      </c>
      <c r="AK37" s="4">
        <f>+AK36+AE37</f>
        <v>-67569.824053855089</v>
      </c>
    </row>
    <row r="38" spans="2:37" x14ac:dyDescent="0.25">
      <c r="B38" s="1"/>
      <c r="W38" s="2" t="e">
        <f>+#REF!</f>
        <v>#REF!</v>
      </c>
      <c r="X38" s="3" t="e">
        <f>+SUMIFS(#REF!,#REF!,"&lt;0")</f>
        <v>#REF!</v>
      </c>
      <c r="Y38" s="3" t="e">
        <f>+SUMIFS(#REF!,#REF!,"&gt;0")</f>
        <v>#REF!</v>
      </c>
      <c r="Z38" s="3" t="e">
        <f t="shared" si="0"/>
        <v>#REF!</v>
      </c>
      <c r="AB38" s="2"/>
      <c r="AC38" s="3" t="e">
        <f t="shared" si="3"/>
        <v>#DIV/0!</v>
      </c>
      <c r="AD38" s="3" t="e">
        <f t="shared" si="4"/>
        <v>#DIV/0!</v>
      </c>
      <c r="AE38" s="3"/>
      <c r="AH38" s="2">
        <f t="shared" si="13"/>
        <v>0</v>
      </c>
      <c r="AI38" s="4" t="e">
        <f t="shared" si="14"/>
        <v>#DIV/0!</v>
      </c>
      <c r="AJ38" s="4" t="e">
        <f t="shared" si="15"/>
        <v>#DIV/0!</v>
      </c>
      <c r="AK38" s="4">
        <f t="shared" si="16"/>
        <v>-67569.824053855089</v>
      </c>
    </row>
    <row r="39" spans="2:37" x14ac:dyDescent="0.25">
      <c r="B39" s="1"/>
      <c r="W39" s="2" t="e">
        <f>+#REF!</f>
        <v>#REF!</v>
      </c>
      <c r="X39" s="3" t="e">
        <f>+SUMIFS(#REF!,#REF!,"&lt;0")</f>
        <v>#REF!</v>
      </c>
      <c r="Y39" s="3" t="e">
        <f>+SUMIFS(#REF!,#REF!,"&gt;0")</f>
        <v>#REF!</v>
      </c>
      <c r="Z39" s="3" t="e">
        <f t="shared" si="0"/>
        <v>#REF!</v>
      </c>
      <c r="AB39" s="2"/>
      <c r="AC39" s="3" t="e">
        <f t="shared" si="3"/>
        <v>#DIV/0!</v>
      </c>
      <c r="AD39" s="3" t="e">
        <f t="shared" si="4"/>
        <v>#DIV/0!</v>
      </c>
      <c r="AE39" s="3"/>
      <c r="AH39" s="2">
        <f t="shared" si="13"/>
        <v>0</v>
      </c>
      <c r="AI39" s="4" t="e">
        <f t="shared" si="14"/>
        <v>#DIV/0!</v>
      </c>
      <c r="AJ39" s="4" t="e">
        <f t="shared" si="15"/>
        <v>#DIV/0!</v>
      </c>
      <c r="AK39" s="4">
        <f t="shared" si="16"/>
        <v>-67569.824053855089</v>
      </c>
    </row>
    <row r="40" spans="2:37" x14ac:dyDescent="0.25">
      <c r="B40" s="1">
        <v>46061.999988425923</v>
      </c>
      <c r="C40">
        <f>+SUMIFS(das_tank_inventories_daily!$M:$M,das_tank_inventories_daily!$C:$C,calculations!$B40,das_tank_inventories_daily!$H:$H,calculations!C$1)</f>
        <v>-4350.23581837437</v>
      </c>
      <c r="D40">
        <f>+SUMIFS(das_tank_inventories_daily!$M:$M,das_tank_inventories_daily!$C:$C,calculations!$B40,das_tank_inventories_daily!$H:$H,calculations!D$1)</f>
        <v>-6689.9288921587804</v>
      </c>
      <c r="E40">
        <f>+SUMIFS(das_tank_inventories_daily!$M:$M,das_tank_inventories_daily!$C:$C,calculations!$B40,das_tank_inventories_daily!$H:$H,calculations!E$1)</f>
        <v>-31610.1304688327</v>
      </c>
      <c r="F40">
        <f>+SUMIFS(das_tank_inventories_daily!$M:$M,das_tank_inventories_daily!$C:$C,calculations!$B40,das_tank_inventories_daily!$H:$H,calculations!F$1)</f>
        <v>427658.78169972601</v>
      </c>
      <c r="G40">
        <f>+SUMIFS(das_tank_inventories_daily!$M:$M,das_tank_inventories_daily!$C:$C,calculations!$B40,das_tank_inventories_daily!$H:$H,calculations!G$1)</f>
        <v>-14700.4644326464</v>
      </c>
      <c r="H40">
        <f>+SUMIFS(das_tank_inventories_daily!$M:$M,das_tank_inventories_daily!$C:$C,calculations!$B40,das_tank_inventories_daily!$H:$H,calculations!H$1)</f>
        <v>481425.31221377797</v>
      </c>
      <c r="I40">
        <f>+SUMIFS(das_tank_inventories_daily!$M:$M,das_tank_inventories_daily!$C:$C,calculations!$B40,das_tank_inventories_daily!$H:$H,calculations!I$1)</f>
        <v>75680.990102113006</v>
      </c>
      <c r="J40">
        <f>+SUMIFS(das_tank_inventories_daily!$M:$M,das_tank_inventories_daily!$C:$C,calculations!$B40,das_tank_inventories_daily!$H:$H,calculations!J$1)</f>
        <v>-66604.253927482103</v>
      </c>
      <c r="K40">
        <f>+SUMIFS(das_tank_inventories_daily!$M:$M,das_tank_inventories_daily!$C:$C,calculations!$B40,das_tank_inventories_daily!$H:$H,calculations!K$1)</f>
        <v>-644064.50509622798</v>
      </c>
      <c r="L40">
        <f>+SUMIFS(das_tank_inventories_daily!$M:$M,das_tank_inventories_daily!$C:$C,calculations!$B40,das_tank_inventories_daily!$H:$H,calculations!L$1)</f>
        <v>-10528.854306551</v>
      </c>
      <c r="M40">
        <f>+SUMIFS(das_tank_inventories_daily!$M:$M,das_tank_inventories_daily!$C:$C,calculations!$B40,das_tank_inventories_daily!$H:$H,calculations!M$1)</f>
        <v>-7621.8696864603198</v>
      </c>
      <c r="N40">
        <f>+SUMIFS(das_tank_inventories_daily!$M:$M,das_tank_inventories_daily!$C:$C,calculations!$B40,das_tank_inventories_daily!$H:$H,calculations!N$1)</f>
        <v>-12875.2596023887</v>
      </c>
      <c r="O40">
        <f>+SUMIFS(das_tank_inventories_daily!$M:$M,das_tank_inventories_daily!$C:$C,calculations!$B40,das_tank_inventories_daily!$H:$H,calculations!O$1)</f>
        <v>188835.41907479099</v>
      </c>
      <c r="P40">
        <f>+SUMIFS(das_tank_inventories_daily!$M:$M,das_tank_inventories_daily!$C:$C,calculations!$B40,das_tank_inventories_daily!$H:$H,calculations!P$1)</f>
        <v>464105.914440664</v>
      </c>
      <c r="Q40">
        <f>+SUMIFS(das_tank_inventories_daily!$M:$M,das_tank_inventories_daily!$C:$C,calculations!$B40,das_tank_inventories_daily!$H:$H,calculations!Q$1)</f>
        <v>0</v>
      </c>
      <c r="R40">
        <f>+SUMIFS(das_tank_inventories_daily!$M:$M,das_tank_inventories_daily!$C:$C,calculations!$B40,das_tank_inventories_daily!$H:$H,calculations!R$1)</f>
        <v>-533546.592524476</v>
      </c>
      <c r="S40">
        <f>+SUMIFS(das_tank_inventories_daily!$M:$M,das_tank_inventories_daily!$C:$C,calculations!$B40,das_tank_inventories_daily!$H:$H,calculations!S$1)</f>
        <v>371897.17205736903</v>
      </c>
      <c r="T40">
        <f>+SUMIFS(das_tank_inventories_daily!$M:$M,das_tank_inventories_daily!$C:$C,calculations!$B40,das_tank_inventories_daily!$H:$H,calculations!T$1)</f>
        <v>1216.03968975064</v>
      </c>
      <c r="U40">
        <f>+SUMIFS(das_tank_inventories_daily!$M:$M,das_tank_inventories_daily!$C:$C,calculations!$B40,das_tank_inventories_daily!$H:$H,calculations!U$1)</f>
        <v>-195147.75475308899</v>
      </c>
      <c r="W40" s="2">
        <f>+B40</f>
        <v>46061.999988425923</v>
      </c>
      <c r="X40" s="3">
        <f>+SUMIFS(C40:U40,C40:U40,"&lt;0")</f>
        <v>-1527739.8495086874</v>
      </c>
      <c r="Y40" s="3">
        <f>+SUMIFS(C40:U40,C40:U40,"&lt;0")</f>
        <v>-1527739.8495086874</v>
      </c>
      <c r="Z40" s="3">
        <f t="shared" ref="Z40" si="19">+Y40+X40</f>
        <v>-3055479.6990173748</v>
      </c>
      <c r="AB40" s="2">
        <f>+B40</f>
        <v>46061.999988425923</v>
      </c>
      <c r="AC40" s="3">
        <f t="shared" si="3"/>
        <v>-509246.61650289578</v>
      </c>
      <c r="AD40" s="3">
        <f t="shared" si="4"/>
        <v>670273.2097593972</v>
      </c>
      <c r="AE40" s="3">
        <f t="shared" si="6"/>
        <v>161026.59325650142</v>
      </c>
      <c r="AH40" s="2">
        <f t="shared" si="13"/>
        <v>46061.999988425923</v>
      </c>
      <c r="AI40" s="4" t="e">
        <f>+AI39+AC40</f>
        <v>#DIV/0!</v>
      </c>
      <c r="AJ40" s="4" t="e">
        <f>+AJ39+AD40</f>
        <v>#DIV/0!</v>
      </c>
      <c r="AK40" s="4">
        <f>+AK39+AE40</f>
        <v>93456.769202646334</v>
      </c>
    </row>
    <row r="41" spans="2:37" x14ac:dyDescent="0.25">
      <c r="B41" s="1"/>
      <c r="W41" s="2" t="e">
        <f>+#REF!</f>
        <v>#REF!</v>
      </c>
      <c r="X41" s="3" t="e">
        <f>+SUMIFS(#REF!,#REF!,"&lt;0")</f>
        <v>#REF!</v>
      </c>
      <c r="Y41" s="3" t="e">
        <f>+SUMIFS(#REF!,#REF!,"&gt;0")</f>
        <v>#REF!</v>
      </c>
      <c r="Z41" s="3" t="e">
        <f t="shared" si="0"/>
        <v>#REF!</v>
      </c>
      <c r="AB41" s="2"/>
      <c r="AC41" s="3" t="e">
        <f t="shared" si="3"/>
        <v>#DIV/0!</v>
      </c>
      <c r="AD41" s="3" t="e">
        <f t="shared" si="4"/>
        <v>#DIV/0!</v>
      </c>
      <c r="AE41" s="3"/>
      <c r="AH41" s="2">
        <f t="shared" si="13"/>
        <v>0</v>
      </c>
      <c r="AI41" s="4" t="e">
        <f t="shared" si="14"/>
        <v>#DIV/0!</v>
      </c>
      <c r="AJ41" s="4" t="e">
        <f t="shared" si="15"/>
        <v>#DIV/0!</v>
      </c>
      <c r="AK41" s="4">
        <f t="shared" si="16"/>
        <v>93456.769202646334</v>
      </c>
    </row>
    <row r="42" spans="2:37" x14ac:dyDescent="0.25">
      <c r="B42" s="1"/>
      <c r="W42" s="2" t="e">
        <f>+#REF!</f>
        <v>#REF!</v>
      </c>
      <c r="X42" s="3" t="e">
        <f>+SUMIFS(#REF!,#REF!,"&lt;0")</f>
        <v>#REF!</v>
      </c>
      <c r="Y42" s="3" t="e">
        <f>+SUMIFS(#REF!,#REF!,"&gt;0")</f>
        <v>#REF!</v>
      </c>
      <c r="Z42" s="3" t="e">
        <f t="shared" si="0"/>
        <v>#REF!</v>
      </c>
      <c r="AB42" s="2"/>
      <c r="AC42" s="3" t="e">
        <f t="shared" si="3"/>
        <v>#DIV/0!</v>
      </c>
      <c r="AD42" s="3" t="e">
        <f t="shared" si="4"/>
        <v>#DIV/0!</v>
      </c>
      <c r="AE42" s="3"/>
      <c r="AH42" s="2">
        <f t="shared" si="13"/>
        <v>0</v>
      </c>
      <c r="AI42" s="4" t="e">
        <f t="shared" si="14"/>
        <v>#DIV/0!</v>
      </c>
      <c r="AJ42" s="4" t="e">
        <f t="shared" si="15"/>
        <v>#DIV/0!</v>
      </c>
      <c r="AK42" s="4">
        <f t="shared" si="16"/>
        <v>93456.769202646334</v>
      </c>
    </row>
    <row r="43" spans="2:37" x14ac:dyDescent="0.25">
      <c r="B43" s="1">
        <v>46064.999988425923</v>
      </c>
      <c r="C43">
        <f>+SUMIFS(das_tank_inventories_daily!$M:$M,das_tank_inventories_daily!$C:$C,calculations!$B43,das_tank_inventories_daily!$H:$H,calculations!C$1)</f>
        <v>3914.21889114851</v>
      </c>
      <c r="D43">
        <f>+SUMIFS(das_tank_inventories_daily!$M:$M,das_tank_inventories_daily!$C:$C,calculations!$B43,das_tank_inventories_daily!$H:$H,calculations!D$1)</f>
        <v>4915.5298841978602</v>
      </c>
      <c r="E43">
        <f>+SUMIFS(das_tank_inventories_daily!$M:$M,das_tank_inventories_daily!$C:$C,calculations!$B43,das_tank_inventories_daily!$H:$H,calculations!E$1)</f>
        <v>-272031.24473240098</v>
      </c>
      <c r="F43">
        <f>+SUMIFS(das_tank_inventories_daily!$M:$M,das_tank_inventories_daily!$C:$C,calculations!$B43,das_tank_inventories_daily!$H:$H,calculations!F$1)</f>
        <v>-516.80976979393699</v>
      </c>
      <c r="G43">
        <f>+SUMIFS(das_tank_inventories_daily!$M:$M,das_tank_inventories_daily!$C:$C,calculations!$B43,das_tank_inventories_daily!$H:$H,calculations!G$1)</f>
        <v>12340.433993979101</v>
      </c>
      <c r="H43">
        <f>+SUMIFS(das_tank_inventories_daily!$M:$M,das_tank_inventories_daily!$C:$C,calculations!$B43,das_tank_inventories_daily!$H:$H,calculations!H$1)</f>
        <v>-481434.40665628901</v>
      </c>
      <c r="I43">
        <f>+SUMIFS(das_tank_inventories_daily!$M:$M,das_tank_inventories_daily!$C:$C,calculations!$B43,das_tank_inventories_daily!$H:$H,calculations!I$1)</f>
        <v>-229183.277528787</v>
      </c>
      <c r="J43">
        <f>+SUMIFS(das_tank_inventories_daily!$M:$M,das_tank_inventories_daily!$C:$C,calculations!$B43,das_tank_inventories_daily!$H:$H,calculations!J$1)</f>
        <v>303319.03885019198</v>
      </c>
      <c r="K43">
        <f>+SUMIFS(das_tank_inventories_daily!$M:$M,das_tank_inventories_daily!$C:$C,calculations!$B43,das_tank_inventories_daily!$H:$H,calculations!K$1)</f>
        <v>648110.961742908</v>
      </c>
      <c r="L43">
        <f>+SUMIFS(das_tank_inventories_daily!$M:$M,das_tank_inventories_daily!$C:$C,calculations!$B43,das_tank_inventories_daily!$H:$H,calculations!L$1)</f>
        <v>8621.7183658814101</v>
      </c>
      <c r="M43">
        <f>+SUMIFS(das_tank_inventories_daily!$M:$M,das_tank_inventories_daily!$C:$C,calculations!$B43,das_tank_inventories_daily!$H:$H,calculations!M$1)</f>
        <v>-5808.6514046931898</v>
      </c>
      <c r="N43">
        <f>+SUMIFS(das_tank_inventories_daily!$M:$M,das_tank_inventories_daily!$C:$C,calculations!$B43,das_tank_inventories_daily!$H:$H,calculations!N$1)</f>
        <v>378242.02972495701</v>
      </c>
      <c r="O43">
        <f>+SUMIFS(das_tank_inventories_daily!$M:$M,das_tank_inventories_daily!$C:$C,calculations!$B43,das_tank_inventories_daily!$H:$H,calculations!O$1)</f>
        <v>90935.653502281202</v>
      </c>
      <c r="P43">
        <f>+SUMIFS(das_tank_inventories_daily!$M:$M,das_tank_inventories_daily!$C:$C,calculations!$B43,das_tank_inventories_daily!$H:$H,calculations!P$1)</f>
        <v>-464105.914440664</v>
      </c>
      <c r="Q43">
        <f>+SUMIFS(das_tank_inventories_daily!$M:$M,das_tank_inventories_daily!$C:$C,calculations!$B43,das_tank_inventories_daily!$H:$H,calculations!Q$1)</f>
        <v>0</v>
      </c>
      <c r="R43">
        <f>+SUMIFS(das_tank_inventories_daily!$M:$M,das_tank_inventories_daily!$C:$C,calculations!$B43,das_tank_inventories_daily!$H:$H,calculations!R$1)</f>
        <v>200315.86251902199</v>
      </c>
      <c r="S43">
        <f>+SUMIFS(das_tank_inventories_daily!$M:$M,das_tank_inventories_daily!$C:$C,calculations!$B43,das_tank_inventories_daily!$H:$H,calculations!S$1)</f>
        <v>20508.8495543641</v>
      </c>
      <c r="T43">
        <f>+SUMIFS(das_tank_inventories_daily!$M:$M,das_tank_inventories_daily!$C:$C,calculations!$B43,das_tank_inventories_daily!$H:$H,calculations!T$1)</f>
        <v>-3056.15954851266</v>
      </c>
      <c r="U43">
        <f>+SUMIFS(das_tank_inventories_daily!$M:$M,das_tank_inventories_daily!$C:$C,calculations!$B43,das_tank_inventories_daily!$H:$H,calculations!U$1)</f>
        <v>-73190.873484674099</v>
      </c>
      <c r="W43" s="2">
        <f>+B43</f>
        <v>46064.999988425923</v>
      </c>
      <c r="X43" s="3">
        <f>+SUMIFS(C43:U43,C43:U43,"&lt;0")</f>
        <v>-1529327.3375658148</v>
      </c>
      <c r="Y43" s="3">
        <f>+SUMIFS(C43:U43,C43:U43,"&lt;0")</f>
        <v>-1529327.3375658148</v>
      </c>
      <c r="Z43" s="3">
        <f t="shared" ref="Z43" si="20">+Y43+X43</f>
        <v>-3058654.6751316297</v>
      </c>
      <c r="AB43" s="2">
        <f>+B43</f>
        <v>46064.999988425923</v>
      </c>
      <c r="AC43" s="3">
        <f t="shared" si="3"/>
        <v>-509775.77918860497</v>
      </c>
      <c r="AD43" s="3">
        <f t="shared" si="4"/>
        <v>557074.7656763104</v>
      </c>
      <c r="AE43" s="3">
        <f t="shared" si="6"/>
        <v>47298.986487705435</v>
      </c>
      <c r="AH43" s="2">
        <f t="shared" si="13"/>
        <v>46064.999988425923</v>
      </c>
      <c r="AI43" s="4" t="e">
        <f>+AI42+AC43</f>
        <v>#DIV/0!</v>
      </c>
      <c r="AJ43" s="4" t="e">
        <f>+AJ42+AD43</f>
        <v>#DIV/0!</v>
      </c>
      <c r="AK43" s="4">
        <f>+AK42+AE43</f>
        <v>140755.75569035177</v>
      </c>
    </row>
    <row r="44" spans="2:37" x14ac:dyDescent="0.25">
      <c r="B44" s="1"/>
      <c r="W44" s="2" t="e">
        <f>+#REF!</f>
        <v>#REF!</v>
      </c>
      <c r="X44" s="3" t="e">
        <f>+SUMIFS(#REF!,#REF!,"&lt;0")</f>
        <v>#REF!</v>
      </c>
      <c r="Y44" s="3" t="e">
        <f>+SUMIFS(#REF!,#REF!,"&gt;0")</f>
        <v>#REF!</v>
      </c>
      <c r="Z44" s="3" t="e">
        <f t="shared" si="0"/>
        <v>#REF!</v>
      </c>
      <c r="AB44" s="2"/>
      <c r="AC44" s="3" t="e">
        <f t="shared" si="3"/>
        <v>#DIV/0!</v>
      </c>
      <c r="AD44" s="3" t="e">
        <f t="shared" si="4"/>
        <v>#DIV/0!</v>
      </c>
      <c r="AE44" s="3"/>
      <c r="AH44" s="2">
        <f t="shared" si="13"/>
        <v>0</v>
      </c>
      <c r="AI44" s="4" t="e">
        <f t="shared" si="14"/>
        <v>#DIV/0!</v>
      </c>
      <c r="AJ44" s="4" t="e">
        <f t="shared" si="15"/>
        <v>#DIV/0!</v>
      </c>
      <c r="AK44" s="4">
        <f t="shared" si="16"/>
        <v>140755.75569035177</v>
      </c>
    </row>
    <row r="45" spans="2:37" x14ac:dyDescent="0.25">
      <c r="B45" s="1"/>
      <c r="W45" s="2" t="e">
        <f>+#REF!</f>
        <v>#REF!</v>
      </c>
      <c r="X45" s="3" t="e">
        <f>+SUMIFS(#REF!,#REF!,"&lt;0")</f>
        <v>#REF!</v>
      </c>
      <c r="Y45" s="3" t="e">
        <f>+SUMIFS(#REF!,#REF!,"&gt;0")</f>
        <v>#REF!</v>
      </c>
      <c r="Z45" s="3" t="e">
        <f t="shared" si="0"/>
        <v>#REF!</v>
      </c>
      <c r="AB45" s="2"/>
      <c r="AC45" s="3" t="e">
        <f t="shared" si="3"/>
        <v>#DIV/0!</v>
      </c>
      <c r="AD45" s="3" t="e">
        <f t="shared" si="4"/>
        <v>#DIV/0!</v>
      </c>
      <c r="AE45" s="3"/>
      <c r="AH45" s="2">
        <f t="shared" si="13"/>
        <v>0</v>
      </c>
      <c r="AI45" s="4" t="e">
        <f t="shared" si="14"/>
        <v>#DIV/0!</v>
      </c>
      <c r="AJ45" s="4" t="e">
        <f t="shared" si="15"/>
        <v>#DIV/0!</v>
      </c>
      <c r="AK45" s="4">
        <f t="shared" si="16"/>
        <v>140755.75569035177</v>
      </c>
    </row>
    <row r="46" spans="2:37" x14ac:dyDescent="0.25">
      <c r="B46" s="1">
        <v>46067.999988425923</v>
      </c>
      <c r="C46">
        <f>+SUMIFS(das_tank_inventories_daily!$M:$M,das_tank_inventories_daily!$C:$C,calculations!$B46,das_tank_inventories_daily!$H:$H,calculations!C$1)</f>
        <v>-4076.4584158900202</v>
      </c>
      <c r="D46">
        <f>+SUMIFS(das_tank_inventories_daily!$M:$M,das_tank_inventories_daily!$C:$C,calculations!$B46,das_tank_inventories_daily!$H:$H,calculations!D$1)</f>
        <v>-5810.1519113738595</v>
      </c>
      <c r="E46">
        <f>+SUMIFS(das_tank_inventories_daily!$M:$M,das_tank_inventories_daily!$C:$C,calculations!$B46,das_tank_inventories_daily!$H:$H,calculations!E$1)</f>
        <v>-163073.77991840799</v>
      </c>
      <c r="F46">
        <f>+SUMIFS(das_tank_inventories_daily!$M:$M,das_tank_inventories_daily!$C:$C,calculations!$B46,das_tank_inventories_daily!$H:$H,calculations!F$1)</f>
        <v>408.67028222622997</v>
      </c>
      <c r="G46">
        <f>+SUMIFS(das_tank_inventories_daily!$M:$M,das_tank_inventories_daily!$C:$C,calculations!$B46,das_tank_inventories_daily!$H:$H,calculations!G$1)</f>
        <v>-11845.497706571899</v>
      </c>
      <c r="H46">
        <f>+SUMIFS(das_tank_inventories_daily!$M:$M,das_tank_inventories_daily!$C:$C,calculations!$B46,das_tank_inventories_daily!$H:$H,calculations!H$1)</f>
        <v>438823.49862229999</v>
      </c>
      <c r="I46">
        <f>+SUMIFS(das_tank_inventories_daily!$M:$M,das_tank_inventories_daily!$C:$C,calculations!$B46,das_tank_inventories_daily!$H:$H,calculations!I$1)</f>
        <v>-293226.90308222099</v>
      </c>
      <c r="J46">
        <f>+SUMIFS(das_tank_inventories_daily!$M:$M,das_tank_inventories_daily!$C:$C,calculations!$B46,das_tank_inventories_daily!$H:$H,calculations!J$1)</f>
        <v>18737.939017258501</v>
      </c>
      <c r="K46">
        <f>+SUMIFS(das_tank_inventories_daily!$M:$M,das_tank_inventories_daily!$C:$C,calculations!$B46,das_tank_inventories_daily!$H:$H,calculations!K$1)</f>
        <v>-33368.460525526498</v>
      </c>
      <c r="L46">
        <f>+SUMIFS(das_tank_inventories_daily!$M:$M,das_tank_inventories_daily!$C:$C,calculations!$B46,das_tank_inventories_daily!$H:$H,calculations!L$1)</f>
        <v>-10882.0563149677</v>
      </c>
      <c r="M46">
        <f>+SUMIFS(das_tank_inventories_daily!$M:$M,das_tank_inventories_daily!$C:$C,calculations!$B46,das_tank_inventories_daily!$H:$H,calculations!M$1)</f>
        <v>-11249.9672925835</v>
      </c>
      <c r="N46">
        <f>+SUMIFS(das_tank_inventories_daily!$M:$M,das_tank_inventories_daily!$C:$C,calculations!$B46,das_tank_inventories_daily!$H:$H,calculations!N$1)</f>
        <v>-378242.02972495701</v>
      </c>
      <c r="O46">
        <f>+SUMIFS(das_tank_inventories_daily!$M:$M,das_tank_inventories_daily!$C:$C,calculations!$B46,das_tank_inventories_daily!$H:$H,calculations!O$1)</f>
        <v>-432227.55890217097</v>
      </c>
      <c r="P46">
        <f>+SUMIFS(das_tank_inventories_daily!$M:$M,das_tank_inventories_daily!$C:$C,calculations!$B46,das_tank_inventories_daily!$H:$H,calculations!P$1)</f>
        <v>465560.65191376302</v>
      </c>
      <c r="Q46">
        <f>+SUMIFS(das_tank_inventories_daily!$M:$M,das_tank_inventories_daily!$C:$C,calculations!$B46,das_tank_inventories_daily!$H:$H,calculations!Q$1)</f>
        <v>0</v>
      </c>
      <c r="R46">
        <f>+SUMIFS(das_tank_inventories_daily!$M:$M,das_tank_inventories_daily!$C:$C,calculations!$B46,das_tank_inventories_daily!$H:$H,calculations!R$1)</f>
        <v>441559.10307298799</v>
      </c>
      <c r="S46">
        <f>+SUMIFS(das_tank_inventories_daily!$M:$M,das_tank_inventories_daily!$C:$C,calculations!$B46,das_tank_inventories_daily!$H:$H,calculations!S$1)</f>
        <v>-392406.02161173301</v>
      </c>
      <c r="T46">
        <f>+SUMIFS(das_tank_inventories_daily!$M:$M,das_tank_inventories_daily!$C:$C,calculations!$B46,das_tank_inventories_daily!$H:$H,calculations!T$1)</f>
        <v>4021.0051893149998</v>
      </c>
      <c r="U46">
        <f>+SUMIFS(das_tank_inventories_daily!$M:$M,das_tank_inventories_daily!$C:$C,calculations!$B46,das_tank_inventories_daily!$H:$H,calculations!U$1)</f>
        <v>403456.503495135</v>
      </c>
      <c r="W46" s="2">
        <f>+B46</f>
        <v>46067.999988425923</v>
      </c>
      <c r="X46" s="3">
        <f>+SUMIFS(C46:U46,C46:U46,"&lt;0")</f>
        <v>-1736408.8854064033</v>
      </c>
      <c r="Y46" s="3">
        <f>+SUMIFS(C46:U46,C46:U46,"&lt;0")</f>
        <v>-1736408.8854064033</v>
      </c>
      <c r="Z46" s="3">
        <f t="shared" ref="Z46" si="21">+Y46+X46</f>
        <v>-3472817.7708128067</v>
      </c>
      <c r="AB46" s="2">
        <f>+B46</f>
        <v>46067.999988425923</v>
      </c>
      <c r="AC46" s="3">
        <f t="shared" si="3"/>
        <v>-578802.96180213441</v>
      </c>
      <c r="AD46" s="3">
        <f t="shared" si="4"/>
        <v>590855.79053099512</v>
      </c>
      <c r="AE46" s="3">
        <f t="shared" si="6"/>
        <v>12052.82872886071</v>
      </c>
      <c r="AH46" s="2">
        <f t="shared" si="13"/>
        <v>46067.999988425923</v>
      </c>
      <c r="AI46" s="4" t="e">
        <f>+AI45+AC46</f>
        <v>#DIV/0!</v>
      </c>
      <c r="AJ46" s="4" t="e">
        <f>+AJ45+AD46</f>
        <v>#DIV/0!</v>
      </c>
      <c r="AK46" s="4">
        <f>+AK45+AE46</f>
        <v>152808.58441921248</v>
      </c>
    </row>
    <row r="47" spans="2:37" x14ac:dyDescent="0.25">
      <c r="B47" s="1"/>
      <c r="W47" s="2" t="e">
        <f>+#REF!</f>
        <v>#REF!</v>
      </c>
      <c r="X47" s="3" t="e">
        <f>+SUMIFS(#REF!,#REF!,"&lt;0")</f>
        <v>#REF!</v>
      </c>
      <c r="Y47" s="3" t="e">
        <f>+SUMIFS(#REF!,#REF!,"&gt;0")</f>
        <v>#REF!</v>
      </c>
      <c r="Z47" s="3" t="e">
        <f t="shared" si="0"/>
        <v>#REF!</v>
      </c>
      <c r="AB47" s="2"/>
      <c r="AC47" s="3" t="e">
        <f t="shared" si="3"/>
        <v>#DIV/0!</v>
      </c>
      <c r="AD47" s="3" t="e">
        <f t="shared" si="4"/>
        <v>#DIV/0!</v>
      </c>
      <c r="AE47" s="3"/>
      <c r="AH47" s="2">
        <f t="shared" si="13"/>
        <v>0</v>
      </c>
      <c r="AI47" s="4" t="e">
        <f t="shared" si="14"/>
        <v>#DIV/0!</v>
      </c>
      <c r="AJ47" s="4" t="e">
        <f t="shared" si="15"/>
        <v>#DIV/0!</v>
      </c>
      <c r="AK47" s="4">
        <f t="shared" si="16"/>
        <v>152808.58441921248</v>
      </c>
    </row>
    <row r="48" spans="2:37" x14ac:dyDescent="0.25">
      <c r="B48" s="1"/>
      <c r="W48" s="2" t="e">
        <f>+#REF!</f>
        <v>#REF!</v>
      </c>
      <c r="X48" s="3" t="e">
        <f>+SUMIFS(#REF!,#REF!,"&lt;0")</f>
        <v>#REF!</v>
      </c>
      <c r="Y48" s="3" t="e">
        <f>+SUMIFS(#REF!,#REF!,"&gt;0")</f>
        <v>#REF!</v>
      </c>
      <c r="Z48" s="3" t="e">
        <f t="shared" si="0"/>
        <v>#REF!</v>
      </c>
      <c r="AB48" s="2"/>
      <c r="AC48" s="3" t="e">
        <f t="shared" si="3"/>
        <v>#DIV/0!</v>
      </c>
      <c r="AD48" s="3" t="e">
        <f t="shared" si="4"/>
        <v>#DIV/0!</v>
      </c>
      <c r="AE48" s="3"/>
      <c r="AH48" s="2">
        <f t="shared" si="13"/>
        <v>0</v>
      </c>
      <c r="AI48" s="4" t="e">
        <f t="shared" si="14"/>
        <v>#DIV/0!</v>
      </c>
      <c r="AJ48" s="4" t="e">
        <f t="shared" si="15"/>
        <v>#DIV/0!</v>
      </c>
      <c r="AK48" s="4">
        <f t="shared" si="16"/>
        <v>152808.58441921248</v>
      </c>
    </row>
    <row r="49" spans="2:37" x14ac:dyDescent="0.25">
      <c r="B49" s="1">
        <v>46070.999988425923</v>
      </c>
      <c r="C49">
        <f>+SUMIFS(das_tank_inventories_daily!$M:$M,das_tank_inventories_daily!$C:$C,calculations!$B49,das_tank_inventories_daily!$H:$H,calculations!C$1)</f>
        <v>3119.8900551390502</v>
      </c>
      <c r="D49">
        <f>+SUMIFS(das_tank_inventories_daily!$M:$M,das_tank_inventories_daily!$C:$C,calculations!$B49,das_tank_inventories_daily!$H:$H,calculations!D$1)</f>
        <v>4790.7959315143498</v>
      </c>
      <c r="E49">
        <f>+SUMIFS(das_tank_inventories_daily!$M:$M,das_tank_inventories_daily!$C:$C,calculations!$B49,das_tank_inventories_daily!$H:$H,calculations!E$1)</f>
        <v>105600.605059416</v>
      </c>
      <c r="F49">
        <f>+SUMIFS(das_tank_inventories_daily!$M:$M,das_tank_inventories_daily!$C:$C,calculations!$B49,das_tank_inventories_daily!$H:$H,calculations!F$1)</f>
        <v>-79.984406561474302</v>
      </c>
      <c r="G49">
        <f>+SUMIFS(das_tank_inventories_daily!$M:$M,das_tank_inventories_daily!$C:$C,calculations!$B49,das_tank_inventories_daily!$H:$H,calculations!G$1)</f>
        <v>12349.977283365601</v>
      </c>
      <c r="H49">
        <f>+SUMIFS(das_tank_inventories_daily!$M:$M,das_tank_inventories_daily!$C:$C,calculations!$B49,das_tank_inventories_daily!$H:$H,calculations!H$1)</f>
        <v>-425362.70456527499</v>
      </c>
      <c r="I49">
        <f>+SUMIFS(das_tank_inventories_daily!$M:$M,das_tank_inventories_daily!$C:$C,calculations!$B49,das_tank_inventories_daily!$H:$H,calculations!I$1)</f>
        <v>462826.91029838403</v>
      </c>
      <c r="J49">
        <f>+SUMIFS(das_tank_inventories_daily!$M:$M,das_tank_inventories_daily!$C:$C,calculations!$B49,das_tank_inventories_daily!$H:$H,calculations!J$1)</f>
        <v>-335209.11385186203</v>
      </c>
      <c r="K49">
        <f>+SUMIFS(das_tank_inventories_daily!$M:$M,das_tank_inventories_daily!$C:$C,calculations!$B49,das_tank_inventories_daily!$H:$H,calculations!K$1)</f>
        <v>10683.027401224001</v>
      </c>
      <c r="L49">
        <f>+SUMIFS(das_tank_inventories_daily!$M:$M,das_tank_inventories_daily!$C:$C,calculations!$B49,das_tank_inventories_daily!$H:$H,calculations!L$1)</f>
        <v>9109.5874235757492</v>
      </c>
      <c r="M49">
        <f>+SUMIFS(das_tank_inventories_daily!$M:$M,das_tank_inventories_daily!$C:$C,calculations!$B49,das_tank_inventories_daily!$H:$H,calculations!M$1)</f>
        <v>-28273.6081497665</v>
      </c>
      <c r="N49">
        <f>+SUMIFS(das_tank_inventories_daily!$M:$M,das_tank_inventories_daily!$C:$C,calculations!$B49,das_tank_inventories_daily!$H:$H,calculations!N$1)</f>
        <v>458574.74490021099</v>
      </c>
      <c r="O49">
        <f>+SUMIFS(das_tank_inventories_daily!$M:$M,das_tank_inventories_daily!$C:$C,calculations!$B49,das_tank_inventories_daily!$H:$H,calculations!O$1)</f>
        <v>170928.74007262499</v>
      </c>
      <c r="P49">
        <f>+SUMIFS(das_tank_inventories_daily!$M:$M,das_tank_inventories_daily!$C:$C,calculations!$B49,das_tank_inventories_daily!$H:$H,calculations!P$1)</f>
        <v>-18257.8033038051</v>
      </c>
      <c r="Q49">
        <f>+SUMIFS(das_tank_inventories_daily!$M:$M,das_tank_inventories_daily!$C:$C,calculations!$B49,das_tank_inventories_daily!$H:$H,calculations!Q$1)</f>
        <v>0</v>
      </c>
      <c r="R49">
        <f>+SUMIFS(das_tank_inventories_daily!$M:$M,das_tank_inventories_daily!$C:$C,calculations!$B49,das_tank_inventories_daily!$H:$H,calculations!R$1)</f>
        <v>-550987.34754141804</v>
      </c>
      <c r="S49">
        <f>+SUMIFS(das_tank_inventories_daily!$M:$M,das_tank_inventories_daily!$C:$C,calculations!$B49,das_tank_inventories_daily!$H:$H,calculations!S$1)</f>
        <v>0</v>
      </c>
      <c r="T49">
        <f>+SUMIFS(das_tank_inventories_daily!$M:$M,das_tank_inventories_daily!$C:$C,calculations!$B49,das_tank_inventories_daily!$H:$H,calculations!T$1)</f>
        <v>-4779.0102287703703</v>
      </c>
      <c r="U49">
        <f>+SUMIFS(das_tank_inventories_daily!$M:$M,das_tank_inventories_daily!$C:$C,calculations!$B49,das_tank_inventories_daily!$H:$H,calculations!U$1)</f>
        <v>-409347.29644628102</v>
      </c>
      <c r="W49" s="2">
        <f>+B49</f>
        <v>46070.999988425923</v>
      </c>
      <c r="X49" s="3">
        <f>+SUMIFS(C49:U49,C49:U49,"&lt;0")</f>
        <v>-1772296.8684937395</v>
      </c>
      <c r="Y49" s="3">
        <f>+SUMIFS(C49:U49,C49:U49,"&lt;0")</f>
        <v>-1772296.8684937395</v>
      </c>
      <c r="Z49" s="3">
        <f t="shared" ref="Z49" si="22">+Y49+X49</f>
        <v>-3544593.736987479</v>
      </c>
      <c r="AB49" s="2">
        <f>+B49</f>
        <v>46070.999988425923</v>
      </c>
      <c r="AC49" s="3">
        <f t="shared" si="3"/>
        <v>-590765.62283124647</v>
      </c>
      <c r="AD49" s="3">
        <f t="shared" si="4"/>
        <v>412661.42614181829</v>
      </c>
      <c r="AE49" s="3">
        <f t="shared" si="6"/>
        <v>-178104.19668942818</v>
      </c>
      <c r="AH49" s="2">
        <f t="shared" si="13"/>
        <v>46070.999988425923</v>
      </c>
      <c r="AI49" s="4" t="e">
        <f>+AI48+AC49</f>
        <v>#DIV/0!</v>
      </c>
      <c r="AJ49" s="4" t="e">
        <f>+AJ48+AD49</f>
        <v>#DIV/0!</v>
      </c>
      <c r="AK49" s="4">
        <f>+AK48+AE49</f>
        <v>-25295.612270215701</v>
      </c>
    </row>
    <row r="50" spans="2:37" x14ac:dyDescent="0.25">
      <c r="B50" s="1"/>
      <c r="W50" s="2" t="e">
        <f>+#REF!</f>
        <v>#REF!</v>
      </c>
      <c r="X50" s="3" t="e">
        <f>+SUMIFS(#REF!,#REF!,"&lt;0")</f>
        <v>#REF!</v>
      </c>
      <c r="Y50" s="3" t="e">
        <f>+SUMIFS(#REF!,#REF!,"&gt;0")</f>
        <v>#REF!</v>
      </c>
      <c r="Z50" s="3" t="e">
        <f t="shared" si="0"/>
        <v>#REF!</v>
      </c>
      <c r="AB50" s="2"/>
      <c r="AC50" s="3" t="e">
        <f t="shared" si="3"/>
        <v>#DIV/0!</v>
      </c>
      <c r="AD50" s="3" t="e">
        <f t="shared" si="4"/>
        <v>#DIV/0!</v>
      </c>
      <c r="AE50" s="3"/>
      <c r="AH50" s="2">
        <f t="shared" si="13"/>
        <v>0</v>
      </c>
      <c r="AI50" s="4" t="e">
        <f t="shared" si="14"/>
        <v>#DIV/0!</v>
      </c>
      <c r="AJ50" s="4" t="e">
        <f t="shared" si="15"/>
        <v>#DIV/0!</v>
      </c>
      <c r="AK50" s="4">
        <f t="shared" si="16"/>
        <v>-25295.612270215701</v>
      </c>
    </row>
    <row r="51" spans="2:37" x14ac:dyDescent="0.25">
      <c r="B51" s="1"/>
      <c r="W51" s="2" t="e">
        <f>+#REF!</f>
        <v>#REF!</v>
      </c>
      <c r="X51" s="3" t="e">
        <f>+SUMIFS(#REF!,#REF!,"&lt;0")</f>
        <v>#REF!</v>
      </c>
      <c r="Y51" s="3" t="e">
        <f>+SUMIFS(#REF!,#REF!,"&gt;0")</f>
        <v>#REF!</v>
      </c>
      <c r="Z51" s="3" t="e">
        <f t="shared" si="0"/>
        <v>#REF!</v>
      </c>
      <c r="AB51" s="2"/>
      <c r="AC51" s="3" t="e">
        <f t="shared" si="3"/>
        <v>#DIV/0!</v>
      </c>
      <c r="AD51" s="3" t="e">
        <f t="shared" si="4"/>
        <v>#DIV/0!</v>
      </c>
      <c r="AE51" s="3"/>
      <c r="AH51" s="2">
        <f t="shared" si="13"/>
        <v>0</v>
      </c>
      <c r="AI51" s="4" t="e">
        <f t="shared" si="14"/>
        <v>#DIV/0!</v>
      </c>
      <c r="AJ51" s="4" t="e">
        <f t="shared" si="15"/>
        <v>#DIV/0!</v>
      </c>
      <c r="AK51" s="4">
        <f t="shared" si="16"/>
        <v>-25295.612270215701</v>
      </c>
    </row>
    <row r="52" spans="2:37" x14ac:dyDescent="0.25">
      <c r="B52" s="1">
        <v>46073.999988425923</v>
      </c>
      <c r="C52">
        <f>+SUMIFS(das_tank_inventories_daily!$M:$M,das_tank_inventories_daily!$C:$C,calculations!$B52,das_tank_inventories_daily!$H:$H,calculations!C$1)</f>
        <v>-2822.9698142785601</v>
      </c>
      <c r="D52">
        <f>+SUMIFS(das_tank_inventories_daily!$M:$M,das_tank_inventories_daily!$C:$C,calculations!$B52,das_tank_inventories_daily!$H:$H,calculations!D$1)</f>
        <v>-8282.0566236119994</v>
      </c>
      <c r="E52">
        <f>+SUMIFS(das_tank_inventories_daily!$M:$M,das_tank_inventories_daily!$C:$C,calculations!$B52,das_tank_inventories_daily!$H:$H,calculations!E$1)</f>
        <v>321594.87587205198</v>
      </c>
      <c r="F52">
        <f>+SUMIFS(das_tank_inventories_daily!$M:$M,das_tank_inventories_daily!$C:$C,calculations!$B52,das_tank_inventories_daily!$H:$H,calculations!F$1)</f>
        <v>-11280.688265643101</v>
      </c>
      <c r="G52">
        <f>+SUMIFS(das_tank_inventories_daily!$M:$M,das_tank_inventories_daily!$C:$C,calculations!$B52,das_tank_inventories_daily!$H:$H,calculations!G$1)</f>
        <v>-13037.0549827061</v>
      </c>
      <c r="H52">
        <f>+SUMIFS(das_tank_inventories_daily!$M:$M,das_tank_inventories_daily!$C:$C,calculations!$B52,das_tank_inventories_daily!$H:$H,calculations!H$1)</f>
        <v>415226.08238207898</v>
      </c>
      <c r="I52">
        <f>+SUMIFS(das_tank_inventories_daily!$M:$M,das_tank_inventories_daily!$C:$C,calculations!$B52,das_tank_inventories_daily!$H:$H,calculations!I$1)</f>
        <v>40175.997338692599</v>
      </c>
      <c r="J52">
        <f>+SUMIFS(das_tank_inventories_daily!$M:$M,das_tank_inventories_daily!$C:$C,calculations!$B52,das_tank_inventories_daily!$H:$H,calculations!J$1)</f>
        <v>383376.22911834298</v>
      </c>
      <c r="K52">
        <f>+SUMIFS(das_tank_inventories_daily!$M:$M,das_tank_inventories_daily!$C:$C,calculations!$B52,das_tank_inventories_daily!$H:$H,calculations!K$1)</f>
        <v>-625425.52861860604</v>
      </c>
      <c r="L52">
        <f>+SUMIFS(das_tank_inventories_daily!$M:$M,das_tank_inventories_daily!$C:$C,calculations!$B52,das_tank_inventories_daily!$H:$H,calculations!L$1)</f>
        <v>-16853.911496233599</v>
      </c>
      <c r="M52">
        <f>+SUMIFS(das_tank_inventories_daily!$M:$M,das_tank_inventories_daily!$C:$C,calculations!$B52,das_tank_inventories_daily!$H:$H,calculations!M$1)</f>
        <v>14057.770687919599</v>
      </c>
      <c r="N52">
        <f>+SUMIFS(das_tank_inventories_daily!$M:$M,das_tank_inventories_daily!$C:$C,calculations!$B52,das_tank_inventories_daily!$H:$H,calculations!N$1)</f>
        <v>-458574.74490021099</v>
      </c>
      <c r="O52">
        <f>+SUMIFS(das_tank_inventories_daily!$M:$M,das_tank_inventories_daily!$C:$C,calculations!$B52,das_tank_inventories_daily!$H:$H,calculations!O$1)</f>
        <v>-170928.74007262499</v>
      </c>
      <c r="P52">
        <f>+SUMIFS(das_tank_inventories_daily!$M:$M,das_tank_inventories_daily!$C:$C,calculations!$B52,das_tank_inventories_daily!$H:$H,calculations!P$1)</f>
        <v>20139.770022726199</v>
      </c>
      <c r="Q52">
        <f>+SUMIFS(das_tank_inventories_daily!$M:$M,das_tank_inventories_daily!$C:$C,calculations!$B52,das_tank_inventories_daily!$H:$H,calculations!Q$1)</f>
        <v>0</v>
      </c>
      <c r="R52">
        <f>+SUMIFS(das_tank_inventories_daily!$M:$M,das_tank_inventories_daily!$C:$C,calculations!$B52,das_tank_inventories_daily!$H:$H,calculations!R$1)</f>
        <v>555198.892320488</v>
      </c>
      <c r="S52">
        <f>+SUMIFS(das_tank_inventories_daily!$M:$M,das_tank_inventories_daily!$C:$C,calculations!$B52,das_tank_inventories_daily!$H:$H,calculations!S$1)</f>
        <v>176899.952881618</v>
      </c>
      <c r="T52">
        <f>+SUMIFS(das_tank_inventories_daily!$M:$M,das_tank_inventories_daily!$C:$C,calculations!$B52,das_tank_inventories_daily!$H:$H,calculations!T$1)</f>
        <v>4170.0657731016399</v>
      </c>
      <c r="U52">
        <f>+SUMIFS(das_tank_inventories_daily!$M:$M,das_tank_inventories_daily!$C:$C,calculations!$B52,das_tank_inventories_daily!$H:$H,calculations!U$1)</f>
        <v>373676.82192618801</v>
      </c>
      <c r="W52" s="2">
        <f>+B52</f>
        <v>46073.999988425923</v>
      </c>
      <c r="X52" s="3">
        <f>+SUMIFS(C52:U52,C52:U52,"&lt;0")</f>
        <v>-1307205.6947739155</v>
      </c>
      <c r="Y52" s="3">
        <f>+SUMIFS(C52:U52,C52:U52,"&lt;0")</f>
        <v>-1307205.6947739155</v>
      </c>
      <c r="Z52" s="3">
        <f t="shared" ref="Z52" si="23">+Y52+X52</f>
        <v>-2614411.3895478309</v>
      </c>
      <c r="AB52" s="2">
        <f>+B52</f>
        <v>46073.999988425923</v>
      </c>
      <c r="AC52" s="3">
        <f t="shared" si="3"/>
        <v>-435735.23159130517</v>
      </c>
      <c r="AD52" s="3">
        <f t="shared" si="4"/>
        <v>768172.15277440276</v>
      </c>
      <c r="AE52" s="3">
        <f t="shared" si="6"/>
        <v>332436.92118309758</v>
      </c>
      <c r="AH52" s="2">
        <f t="shared" si="13"/>
        <v>46073.999988425923</v>
      </c>
      <c r="AI52" s="4" t="e">
        <f>+AI51+AC52</f>
        <v>#DIV/0!</v>
      </c>
      <c r="AJ52" s="4" t="e">
        <f>+AJ51+AD52</f>
        <v>#DIV/0!</v>
      </c>
      <c r="AK52" s="4">
        <f>+AK51+AE52</f>
        <v>307141.30891288188</v>
      </c>
    </row>
    <row r="53" spans="2:37" x14ac:dyDescent="0.25">
      <c r="B53" s="1"/>
      <c r="W53" s="2" t="e">
        <f>+#REF!</f>
        <v>#REF!</v>
      </c>
      <c r="X53" s="3" t="e">
        <f>+SUMIFS(#REF!,#REF!,"&lt;0")</f>
        <v>#REF!</v>
      </c>
      <c r="Y53" s="3" t="e">
        <f>+SUMIFS(#REF!,#REF!,"&gt;0")</f>
        <v>#REF!</v>
      </c>
      <c r="Z53" s="3" t="e">
        <f t="shared" si="0"/>
        <v>#REF!</v>
      </c>
      <c r="AB53" s="2"/>
      <c r="AC53" s="3" t="e">
        <f t="shared" si="3"/>
        <v>#DIV/0!</v>
      </c>
      <c r="AD53" s="3" t="e">
        <f t="shared" si="4"/>
        <v>#DIV/0!</v>
      </c>
      <c r="AE53" s="3"/>
      <c r="AH53" s="2">
        <f t="shared" si="13"/>
        <v>0</v>
      </c>
      <c r="AI53" s="4" t="e">
        <f t="shared" si="14"/>
        <v>#DIV/0!</v>
      </c>
      <c r="AJ53" s="4" t="e">
        <f t="shared" si="15"/>
        <v>#DIV/0!</v>
      </c>
      <c r="AK53" s="4">
        <f t="shared" si="16"/>
        <v>307141.30891288188</v>
      </c>
    </row>
    <row r="54" spans="2:37" x14ac:dyDescent="0.25">
      <c r="B54" s="1"/>
      <c r="W54" s="2" t="e">
        <f>+#REF!</f>
        <v>#REF!</v>
      </c>
      <c r="X54" s="3" t="e">
        <f>+SUMIFS(#REF!,#REF!,"&lt;0")</f>
        <v>#REF!</v>
      </c>
      <c r="Y54" s="3" t="e">
        <f>+SUMIFS(#REF!,#REF!,"&gt;0")</f>
        <v>#REF!</v>
      </c>
      <c r="Z54" s="3" t="e">
        <f t="shared" si="0"/>
        <v>#REF!</v>
      </c>
      <c r="AB54" s="2"/>
      <c r="AC54" s="3" t="e">
        <f t="shared" si="3"/>
        <v>#DIV/0!</v>
      </c>
      <c r="AD54" s="3" t="e">
        <f t="shared" si="4"/>
        <v>#DIV/0!</v>
      </c>
      <c r="AE54" s="3"/>
      <c r="AH54" s="2">
        <f t="shared" si="13"/>
        <v>0</v>
      </c>
      <c r="AI54" s="4" t="e">
        <f t="shared" si="14"/>
        <v>#DIV/0!</v>
      </c>
      <c r="AJ54" s="4" t="e">
        <f t="shared" si="15"/>
        <v>#DIV/0!</v>
      </c>
      <c r="AK54" s="4">
        <f t="shared" si="16"/>
        <v>307141.30891288188</v>
      </c>
    </row>
    <row r="55" spans="2:37" x14ac:dyDescent="0.25">
      <c r="B55" s="1">
        <v>46076.999988425923</v>
      </c>
      <c r="C55">
        <f>+SUMIFS(das_tank_inventories_daily!$M:$M,das_tank_inventories_daily!$C:$C,calculations!$B55,das_tank_inventories_daily!$H:$H,calculations!C$1)</f>
        <v>3464.73924918987</v>
      </c>
      <c r="D55">
        <f>+SUMIFS(das_tank_inventories_daily!$M:$M,das_tank_inventories_daily!$C:$C,calculations!$B55,das_tank_inventories_daily!$H:$H,calculations!D$1)</f>
        <v>8493.4515422864606</v>
      </c>
      <c r="E55">
        <f>+SUMIFS(das_tank_inventories_daily!$M:$M,das_tank_inventories_daily!$C:$C,calculations!$B55,das_tank_inventories_daily!$H:$H,calculations!E$1)</f>
        <v>-297285.52650532703</v>
      </c>
      <c r="F55">
        <f>+SUMIFS(das_tank_inventories_daily!$M:$M,das_tank_inventories_daily!$C:$C,calculations!$B55,das_tank_inventories_daily!$H:$H,calculations!F$1)</f>
        <v>-88035.718045776899</v>
      </c>
      <c r="G55">
        <f>+SUMIFS(das_tank_inventories_daily!$M:$M,das_tank_inventories_daily!$C:$C,calculations!$B55,das_tank_inventories_daily!$H:$H,calculations!G$1)</f>
        <v>12471.0410273159</v>
      </c>
      <c r="H55">
        <f>+SUMIFS(das_tank_inventories_daily!$M:$M,das_tank_inventories_daily!$C:$C,calculations!$B55,das_tank_inventories_daily!$H:$H,calculations!H$1)</f>
        <v>-18044.626981876499</v>
      </c>
      <c r="I55">
        <f>+SUMIFS(das_tank_inventories_daily!$M:$M,das_tank_inventories_daily!$C:$C,calculations!$B55,das_tank_inventories_daily!$H:$H,calculations!I$1)</f>
        <v>-26343.072411865101</v>
      </c>
      <c r="J55">
        <f>+SUMIFS(das_tank_inventories_daily!$M:$M,das_tank_inventories_daily!$C:$C,calculations!$B55,das_tank_inventories_daily!$H:$H,calculations!J$1)</f>
        <v>-383376.22911834298</v>
      </c>
      <c r="K55">
        <f>+SUMIFS(das_tank_inventories_daily!$M:$M,das_tank_inventories_daily!$C:$C,calculations!$B55,das_tank_inventories_daily!$H:$H,calculations!K$1)</f>
        <v>224983.55353907699</v>
      </c>
      <c r="L55">
        <f>+SUMIFS(das_tank_inventories_daily!$M:$M,das_tank_inventories_daily!$C:$C,calculations!$B55,das_tank_inventories_daily!$H:$H,calculations!L$1)</f>
        <v>22040.736037196999</v>
      </c>
      <c r="M55">
        <f>+SUMIFS(das_tank_inventories_daily!$M:$M,das_tank_inventories_daily!$C:$C,calculations!$B55,das_tank_inventories_daily!$H:$H,calculations!M$1)</f>
        <v>72632.7602399608</v>
      </c>
      <c r="N55">
        <f>+SUMIFS(das_tank_inventories_daily!$M:$M,das_tank_inventories_daily!$C:$C,calculations!$B55,das_tank_inventories_daily!$H:$H,calculations!N$1)</f>
        <v>0</v>
      </c>
      <c r="O55">
        <f>+SUMIFS(das_tank_inventories_daily!$M:$M,das_tank_inventories_daily!$C:$C,calculations!$B55,das_tank_inventories_daily!$H:$H,calculations!O$1)</f>
        <v>48068.318136438</v>
      </c>
      <c r="P55">
        <f>+SUMIFS(das_tank_inventories_daily!$M:$M,das_tank_inventories_daily!$C:$C,calculations!$B55,das_tank_inventories_daily!$H:$H,calculations!P$1)</f>
        <v>-467442.618632684</v>
      </c>
      <c r="Q55">
        <f>+SUMIFS(das_tank_inventories_daily!$M:$M,das_tank_inventories_daily!$C:$C,calculations!$B55,das_tank_inventories_daily!$H:$H,calculations!Q$1)</f>
        <v>0</v>
      </c>
      <c r="R55">
        <f>+SUMIFS(das_tank_inventories_daily!$M:$M,das_tank_inventories_daily!$C:$C,calculations!$B55,das_tank_inventories_daily!$H:$H,calculations!R$1)</f>
        <v>-323468.84261910198</v>
      </c>
      <c r="S55">
        <f>+SUMIFS(das_tank_inventories_daily!$M:$M,das_tank_inventories_daily!$C:$C,calculations!$B55,das_tank_inventories_daily!$H:$H,calculations!S$1)</f>
        <v>-176899.952881618</v>
      </c>
      <c r="T55">
        <f>+SUMIFS(das_tank_inventories_daily!$M:$M,das_tank_inventories_daily!$C:$C,calculations!$B55,das_tank_inventories_daily!$H:$H,calculations!T$1)</f>
        <v>-6386.35613485879</v>
      </c>
      <c r="U55">
        <f>+SUMIFS(das_tank_inventories_daily!$M:$M,das_tank_inventories_daily!$C:$C,calculations!$B55,das_tank_inventories_daily!$H:$H,calculations!U$1)</f>
        <v>-383844.53447022499</v>
      </c>
      <c r="W55" s="2">
        <f>+B55</f>
        <v>46076.999988425923</v>
      </c>
      <c r="X55" s="3">
        <f>+SUMIFS(C55:U55,C55:U55,"&lt;0")</f>
        <v>-2171127.4778016759</v>
      </c>
      <c r="Y55" s="3">
        <f>+SUMIFS(C55:U55,C55:U55,"&lt;0")</f>
        <v>-2171127.4778016759</v>
      </c>
      <c r="Z55" s="3">
        <f t="shared" ref="Z55" si="24">+Y55+X55</f>
        <v>-4342254.9556033518</v>
      </c>
      <c r="AB55" s="2">
        <f>+B55</f>
        <v>46076.999988425923</v>
      </c>
      <c r="AC55" s="3">
        <f t="shared" si="3"/>
        <v>-723709.1592672253</v>
      </c>
      <c r="AD55" s="3">
        <f t="shared" si="4"/>
        <v>130718.19992382168</v>
      </c>
      <c r="AE55" s="3">
        <f t="shared" si="6"/>
        <v>-592990.95934340358</v>
      </c>
      <c r="AH55" s="2">
        <f t="shared" si="13"/>
        <v>46076.999988425923</v>
      </c>
      <c r="AI55" s="4" t="e">
        <f>+AI54+AC55</f>
        <v>#DIV/0!</v>
      </c>
      <c r="AJ55" s="4" t="e">
        <f>+AJ54+AD55</f>
        <v>#DIV/0!</v>
      </c>
      <c r="AK55" s="4">
        <f>+AK54+AE55</f>
        <v>-285849.65043052169</v>
      </c>
    </row>
    <row r="56" spans="2:37" x14ac:dyDescent="0.25">
      <c r="B56" s="1"/>
      <c r="W56" s="2" t="e">
        <f>+#REF!</f>
        <v>#REF!</v>
      </c>
      <c r="X56" s="3" t="e">
        <f>+SUMIFS(#REF!,#REF!,"&lt;0")</f>
        <v>#REF!</v>
      </c>
      <c r="Y56" s="3" t="e">
        <f>+SUMIFS(#REF!,#REF!,"&gt;0")</f>
        <v>#REF!</v>
      </c>
      <c r="Z56" s="3" t="e">
        <f t="shared" si="0"/>
        <v>#REF!</v>
      </c>
      <c r="AB56" s="2"/>
      <c r="AC56" s="3" t="e">
        <f t="shared" si="3"/>
        <v>#DIV/0!</v>
      </c>
      <c r="AD56" s="3" t="e">
        <f t="shared" si="4"/>
        <v>#DIV/0!</v>
      </c>
      <c r="AE56" s="3"/>
      <c r="AH56" s="2">
        <f t="shared" si="13"/>
        <v>0</v>
      </c>
      <c r="AI56" s="4" t="e">
        <f t="shared" si="14"/>
        <v>#DIV/0!</v>
      </c>
      <c r="AJ56" s="4" t="e">
        <f t="shared" si="15"/>
        <v>#DIV/0!</v>
      </c>
      <c r="AK56" s="4">
        <f t="shared" si="16"/>
        <v>-285849.65043052169</v>
      </c>
    </row>
    <row r="57" spans="2:37" x14ac:dyDescent="0.25">
      <c r="B57" s="1"/>
      <c r="W57" s="2" t="e">
        <f>+#REF!</f>
        <v>#REF!</v>
      </c>
      <c r="X57" s="3" t="e">
        <f>+SUMIFS(#REF!,#REF!,"&lt;0")</f>
        <v>#REF!</v>
      </c>
      <c r="Y57" s="3" t="e">
        <f>+SUMIFS(#REF!,#REF!,"&gt;0")</f>
        <v>#REF!</v>
      </c>
      <c r="Z57" s="3" t="e">
        <f t="shared" si="0"/>
        <v>#REF!</v>
      </c>
      <c r="AB57" s="2"/>
      <c r="AC57" s="3" t="e">
        <f t="shared" si="3"/>
        <v>#DIV/0!</v>
      </c>
      <c r="AD57" s="3" t="e">
        <f t="shared" si="4"/>
        <v>#DIV/0!</v>
      </c>
      <c r="AE57" s="3"/>
      <c r="AH57" s="2">
        <f t="shared" si="13"/>
        <v>0</v>
      </c>
      <c r="AI57" s="4" t="e">
        <f t="shared" si="14"/>
        <v>#DIV/0!</v>
      </c>
      <c r="AJ57" s="4" t="e">
        <f t="shared" si="15"/>
        <v>#DIV/0!</v>
      </c>
      <c r="AK57" s="4">
        <f t="shared" si="16"/>
        <v>-285849.65043052169</v>
      </c>
    </row>
    <row r="58" spans="2:37" x14ac:dyDescent="0.25">
      <c r="B58" s="1">
        <v>46079.999988425923</v>
      </c>
      <c r="C58">
        <f>+SUMIFS(das_tank_inventories_daily!$M:$M,das_tank_inventories_daily!$C:$C,calculations!$B58,das_tank_inventories_daily!$H:$H,calculations!C$1)</f>
        <v>-2333.5150697662898</v>
      </c>
      <c r="D58">
        <f>+SUMIFS(das_tank_inventories_daily!$M:$M,das_tank_inventories_daily!$C:$C,calculations!$B58,das_tank_inventories_daily!$H:$H,calculations!D$1)</f>
        <v>-7039.5966161937304</v>
      </c>
      <c r="E58">
        <f>+SUMIFS(das_tank_inventories_daily!$M:$M,das_tank_inventories_daily!$C:$C,calculations!$B58,das_tank_inventories_daily!$H:$H,calculations!E$1)</f>
        <v>302777.41722766397</v>
      </c>
      <c r="F58">
        <f>+SUMIFS(das_tank_inventories_daily!$M:$M,das_tank_inventories_daily!$C:$C,calculations!$B58,das_tank_inventories_daily!$H:$H,calculations!F$1)</f>
        <v>-48239.153399843999</v>
      </c>
      <c r="G58">
        <f>+SUMIFS(das_tank_inventories_daily!$M:$M,das_tank_inventories_daily!$C:$C,calculations!$B58,das_tank_inventories_daily!$H:$H,calculations!G$1)</f>
        <v>-4192.7019123341797</v>
      </c>
      <c r="H58">
        <f>+SUMIFS(das_tank_inventories_daily!$M:$M,das_tank_inventories_daily!$C:$C,calculations!$B58,das_tank_inventories_daily!$H:$H,calculations!H$1)</f>
        <v>35264.943812767</v>
      </c>
      <c r="I58">
        <f>+SUMIFS(das_tank_inventories_daily!$M:$M,das_tank_inventories_daily!$C:$C,calculations!$B58,das_tank_inventories_daily!$H:$H,calculations!I$1)</f>
        <v>-476659.83522521099</v>
      </c>
      <c r="J58">
        <f>+SUMIFS(das_tank_inventories_daily!$M:$M,das_tank_inventories_daily!$C:$C,calculations!$B58,das_tank_inventories_daily!$H:$H,calculations!J$1)</f>
        <v>228308.53299966501</v>
      </c>
      <c r="K58">
        <f>+SUMIFS(das_tank_inventories_daily!$M:$M,das_tank_inventories_daily!$C:$C,calculations!$B58,das_tank_inventories_daily!$H:$H,calculations!K$1)</f>
        <v>-224983.55353907699</v>
      </c>
      <c r="L58">
        <f>+SUMIFS(das_tank_inventories_daily!$M:$M,das_tank_inventories_daily!$C:$C,calculations!$B58,das_tank_inventories_daily!$H:$H,calculations!L$1)</f>
        <v>-17940.614821046402</v>
      </c>
      <c r="M58">
        <f>+SUMIFS(das_tank_inventories_daily!$M:$M,das_tank_inventories_daily!$C:$C,calculations!$B58,das_tank_inventories_daily!$H:$H,calculations!M$1)</f>
        <v>-4099.5720704612604</v>
      </c>
      <c r="N58">
        <f>+SUMIFS(das_tank_inventories_daily!$M:$M,das_tank_inventories_daily!$C:$C,calculations!$B58,das_tank_inventories_daily!$H:$H,calculations!N$1)</f>
        <v>398838.56873616599</v>
      </c>
      <c r="O58">
        <f>+SUMIFS(das_tank_inventories_daily!$M:$M,das_tank_inventories_daily!$C:$C,calculations!$B58,das_tank_inventories_daily!$H:$H,calculations!O$1)</f>
        <v>-48068.318136438</v>
      </c>
      <c r="P58">
        <f>+SUMIFS(das_tank_inventories_daily!$M:$M,das_tank_inventories_daily!$C:$C,calculations!$B58,das_tank_inventories_daily!$H:$H,calculations!P$1)</f>
        <v>467882.23257848801</v>
      </c>
      <c r="Q58">
        <f>+SUMIFS(das_tank_inventories_daily!$M:$M,das_tank_inventories_daily!$C:$C,calculations!$B58,das_tank_inventories_daily!$H:$H,calculations!Q$1)</f>
        <v>0</v>
      </c>
      <c r="R58">
        <f>+SUMIFS(das_tank_inventories_daily!$M:$M,das_tank_inventories_daily!$C:$C,calculations!$B58,das_tank_inventories_daily!$H:$H,calculations!R$1)</f>
        <v>-45589.199313538702</v>
      </c>
      <c r="S58">
        <f>+SUMIFS(das_tank_inventories_daily!$M:$M,das_tank_inventories_daily!$C:$C,calculations!$B58,das_tank_inventories_daily!$H:$H,calculations!S$1)</f>
        <v>287567.79228766402</v>
      </c>
      <c r="T58">
        <f>+SUMIFS(das_tank_inventories_daily!$M:$M,das_tank_inventories_daily!$C:$C,calculations!$B58,das_tank_inventories_daily!$H:$H,calculations!T$1)</f>
        <v>8774.8174703674104</v>
      </c>
      <c r="U58">
        <f>+SUMIFS(das_tank_inventories_daily!$M:$M,das_tank_inventories_daily!$C:$C,calculations!$B58,das_tank_inventories_daily!$H:$H,calculations!U$1)</f>
        <v>29807.446113193899</v>
      </c>
      <c r="W58" s="2">
        <f>+B58</f>
        <v>46079.999988425923</v>
      </c>
      <c r="X58" s="3">
        <f>+SUMIFS(C58:U58,C58:U58,"&lt;0")</f>
        <v>-879146.06010391063</v>
      </c>
      <c r="Y58" s="3">
        <f>+SUMIFS(C58:U58,C58:U58,"&lt;0")</f>
        <v>-879146.06010391063</v>
      </c>
      <c r="Z58" s="3">
        <f t="shared" ref="Z58" si="25">+Y58+X58</f>
        <v>-1758292.1202078213</v>
      </c>
      <c r="AB58" s="2">
        <f>+B58</f>
        <v>46079.999988425923</v>
      </c>
      <c r="AC58" s="3">
        <f t="shared" si="3"/>
        <v>-293048.68670130352</v>
      </c>
      <c r="AD58" s="3">
        <f t="shared" si="4"/>
        <v>586407.25040865841</v>
      </c>
      <c r="AE58" s="3">
        <f t="shared" si="6"/>
        <v>293358.56370735489</v>
      </c>
      <c r="AH58" s="2">
        <f t="shared" si="13"/>
        <v>46079.999988425923</v>
      </c>
      <c r="AI58" s="4" t="e">
        <f>+AI57+AC58</f>
        <v>#DIV/0!</v>
      </c>
      <c r="AJ58" s="4" t="e">
        <f>+AJ57+AD58</f>
        <v>#DIV/0!</v>
      </c>
      <c r="AK58" s="4">
        <f>+AK57+AE58</f>
        <v>7508.913276833191</v>
      </c>
    </row>
    <row r="59" spans="2:37" x14ac:dyDescent="0.25">
      <c r="B59" s="1"/>
      <c r="W59" s="2" t="e">
        <f>+#REF!</f>
        <v>#REF!</v>
      </c>
      <c r="X59" s="3" t="e">
        <f>+SUMIFS(#REF!,#REF!,"&lt;0")</f>
        <v>#REF!</v>
      </c>
      <c r="Y59" s="3" t="e">
        <f>+SUMIFS(#REF!,#REF!,"&gt;0")</f>
        <v>#REF!</v>
      </c>
      <c r="Z59" s="3" t="e">
        <f t="shared" si="0"/>
        <v>#REF!</v>
      </c>
      <c r="AB59" s="2"/>
      <c r="AC59" s="3" t="e">
        <f t="shared" si="3"/>
        <v>#DIV/0!</v>
      </c>
      <c r="AD59" s="3" t="e">
        <f t="shared" si="4"/>
        <v>#DIV/0!</v>
      </c>
      <c r="AE59" s="3"/>
      <c r="AH59" s="2">
        <f t="shared" si="13"/>
        <v>0</v>
      </c>
      <c r="AI59" s="4" t="e">
        <f t="shared" si="14"/>
        <v>#DIV/0!</v>
      </c>
      <c r="AJ59" s="4" t="e">
        <f t="shared" si="15"/>
        <v>#DIV/0!</v>
      </c>
      <c r="AK59" s="4">
        <f t="shared" si="16"/>
        <v>7508.913276833191</v>
      </c>
    </row>
    <row r="60" spans="2:37" x14ac:dyDescent="0.25">
      <c r="B60" s="1"/>
      <c r="W60" s="2" t="e">
        <f>+#REF!</f>
        <v>#REF!</v>
      </c>
      <c r="X60" s="3" t="e">
        <f>+SUMIFS(#REF!,#REF!,"&lt;0")</f>
        <v>#REF!</v>
      </c>
      <c r="Y60" s="3" t="e">
        <f>+SUMIFS(#REF!,#REF!,"&gt;0")</f>
        <v>#REF!</v>
      </c>
      <c r="Z60" s="3" t="e">
        <f t="shared" si="0"/>
        <v>#REF!</v>
      </c>
      <c r="AB60" s="2"/>
      <c r="AC60" s="3" t="e">
        <f t="shared" si="3"/>
        <v>#DIV/0!</v>
      </c>
      <c r="AD60" s="3" t="e">
        <f t="shared" si="4"/>
        <v>#DIV/0!</v>
      </c>
      <c r="AE60" s="3"/>
      <c r="AH60" s="2">
        <f t="shared" si="13"/>
        <v>0</v>
      </c>
      <c r="AI60" s="4" t="e">
        <f t="shared" si="14"/>
        <v>#DIV/0!</v>
      </c>
      <c r="AJ60" s="4" t="e">
        <f t="shared" si="15"/>
        <v>#DIV/0!</v>
      </c>
      <c r="AK60" s="4">
        <f t="shared" si="16"/>
        <v>7508.913276833191</v>
      </c>
    </row>
    <row r="61" spans="2:37" x14ac:dyDescent="0.25">
      <c r="B61" s="1">
        <v>46082.999988425923</v>
      </c>
      <c r="C61">
        <f>+SUMIFS(das_tank_inventories_daily!$M:$M,das_tank_inventories_daily!$C:$C,calculations!$B61,das_tank_inventories_daily!$H:$H,calculations!C$1)</f>
        <v>3778.1842348738501</v>
      </c>
      <c r="D61">
        <f>+SUMIFS(das_tank_inventories_daily!$M:$M,das_tank_inventories_daily!$C:$C,calculations!$B61,das_tank_inventories_daily!$H:$H,calculations!D$1)</f>
        <v>9418.1161760897903</v>
      </c>
      <c r="E61">
        <f>+SUMIFS(das_tank_inventories_daily!$M:$M,das_tank_inventories_daily!$C:$C,calculations!$B61,das_tank_inventories_daily!$H:$H,calculations!E$1)</f>
        <v>-120629.734410722</v>
      </c>
      <c r="F61">
        <f>+SUMIFS(das_tank_inventories_daily!$M:$M,das_tank_inventories_daily!$C:$C,calculations!$B61,das_tank_inventories_daily!$H:$H,calculations!F$1)</f>
        <v>-82211.257802159394</v>
      </c>
      <c r="G61">
        <f>+SUMIFS(das_tank_inventories_daily!$M:$M,das_tank_inventories_daily!$C:$C,calculations!$B61,das_tank_inventories_daily!$H:$H,calculations!G$1)</f>
        <v>7482.9618163567502</v>
      </c>
      <c r="H61">
        <f>+SUMIFS(das_tank_inventories_daily!$M:$M,das_tank_inventories_daily!$C:$C,calculations!$B61,das_tank_inventories_daily!$H:$H,calculations!H$1)</f>
        <v>-438334.013265774</v>
      </c>
      <c r="I61">
        <f>+SUMIFS(das_tank_inventories_daily!$M:$M,das_tank_inventories_daily!$C:$C,calculations!$B61,das_tank_inventories_daily!$H:$H,calculations!I$1)</f>
        <v>129075.796181761</v>
      </c>
      <c r="J61">
        <f>+SUMIFS(das_tank_inventories_daily!$M:$M,das_tank_inventories_daily!$C:$C,calculations!$B61,das_tank_inventories_daily!$H:$H,calculations!J$1)</f>
        <v>-228308.53299966501</v>
      </c>
      <c r="K61">
        <f>+SUMIFS(das_tank_inventories_daily!$M:$M,das_tank_inventories_daily!$C:$C,calculations!$B61,das_tank_inventories_daily!$H:$H,calculations!K$1)</f>
        <v>581885.546120891</v>
      </c>
      <c r="L61">
        <f>+SUMIFS(das_tank_inventories_daily!$M:$M,das_tank_inventories_daily!$C:$C,calculations!$B61,das_tank_inventories_daily!$H:$H,calculations!L$1)</f>
        <v>-3865.6445752494301</v>
      </c>
      <c r="M61">
        <f>+SUMIFS(das_tank_inventories_daily!$M:$M,das_tank_inventories_daily!$C:$C,calculations!$B61,das_tank_inventories_daily!$H:$H,calculations!M$1)</f>
        <v>4919.7744755314397</v>
      </c>
      <c r="N61">
        <f>+SUMIFS(das_tank_inventories_daily!$M:$M,das_tank_inventories_daily!$C:$C,calculations!$B61,das_tank_inventories_daily!$H:$H,calculations!N$1)</f>
        <v>-324661.680095813</v>
      </c>
      <c r="O61">
        <f>+SUMIFS(das_tank_inventories_daily!$M:$M,das_tank_inventories_daily!$C:$C,calculations!$B61,das_tank_inventories_daily!$H:$H,calculations!O$1)</f>
        <v>450254.32034464797</v>
      </c>
      <c r="P61">
        <f>+SUMIFS(das_tank_inventories_daily!$M:$M,das_tank_inventories_daily!$C:$C,calculations!$B61,das_tank_inventories_daily!$H:$H,calculations!P$1)</f>
        <v>-467882.23257848801</v>
      </c>
      <c r="Q61">
        <f>+SUMIFS(das_tank_inventories_daily!$M:$M,das_tank_inventories_daily!$C:$C,calculations!$B61,das_tank_inventories_daily!$H:$H,calculations!Q$1)</f>
        <v>0</v>
      </c>
      <c r="R61">
        <f>+SUMIFS(das_tank_inventories_daily!$M:$M,das_tank_inventories_daily!$C:$C,calculations!$B61,das_tank_inventories_daily!$H:$H,calculations!R$1)</f>
        <v>339684.31538644398</v>
      </c>
      <c r="S61">
        <f>+SUMIFS(das_tank_inventories_daily!$M:$M,das_tank_inventories_daily!$C:$C,calculations!$B61,das_tank_inventories_daily!$H:$H,calculations!S$1)</f>
        <v>65597.901223792098</v>
      </c>
      <c r="T61">
        <f>+SUMIFS(das_tank_inventories_daily!$M:$M,das_tank_inventories_daily!$C:$C,calculations!$B61,das_tank_inventories_daily!$H:$H,calculations!T$1)</f>
        <v>-2415.8659598189902</v>
      </c>
      <c r="U61">
        <f>+SUMIFS(das_tank_inventories_daily!$M:$M,das_tank_inventories_daily!$C:$C,calculations!$B61,das_tank_inventories_daily!$H:$H,calculations!U$1)</f>
        <v>-16316.2715367869</v>
      </c>
      <c r="W61" s="2">
        <f>+B61</f>
        <v>46082.999988425923</v>
      </c>
      <c r="X61" s="3">
        <f>+SUMIFS(C61:U61,C61:U61,"&lt;0")</f>
        <v>-1684625.2332244767</v>
      </c>
      <c r="Y61" s="3">
        <f>+SUMIFS(C61:U61,C61:U61,"&lt;0")</f>
        <v>-1684625.2332244767</v>
      </c>
      <c r="Z61" s="3">
        <f t="shared" ref="Z61" si="26">+Y61+X61</f>
        <v>-3369250.4664489534</v>
      </c>
      <c r="AB61" s="2">
        <f>+B61</f>
        <v>46082.999988425923</v>
      </c>
      <c r="AC61" s="3">
        <f t="shared" si="3"/>
        <v>-561541.74440815893</v>
      </c>
      <c r="AD61" s="3">
        <f t="shared" si="4"/>
        <v>530698.97198679589</v>
      </c>
      <c r="AE61" s="3">
        <f t="shared" si="6"/>
        <v>-30842.772421363043</v>
      </c>
      <c r="AH61" s="2">
        <f t="shared" si="13"/>
        <v>46082.999988425923</v>
      </c>
      <c r="AI61" s="4" t="e">
        <f>+AI60+AC61</f>
        <v>#DIV/0!</v>
      </c>
      <c r="AJ61" s="4" t="e">
        <f>+AJ60+AD61</f>
        <v>#DIV/0!</v>
      </c>
      <c r="AK61" s="4">
        <f>+AK60+AE61</f>
        <v>-23333.859144529852</v>
      </c>
    </row>
    <row r="62" spans="2:37" x14ac:dyDescent="0.25">
      <c r="B62" s="1"/>
      <c r="W62" s="2" t="e">
        <f>+#REF!</f>
        <v>#REF!</v>
      </c>
      <c r="X62" s="3" t="e">
        <f>+SUMIFS(#REF!,#REF!,"&lt;0")</f>
        <v>#REF!</v>
      </c>
      <c r="Y62" s="3" t="e">
        <f>+SUMIFS(#REF!,#REF!,"&gt;0")</f>
        <v>#REF!</v>
      </c>
      <c r="Z62" s="3" t="e">
        <f t="shared" si="0"/>
        <v>#REF!</v>
      </c>
      <c r="AB62" s="2"/>
      <c r="AC62" s="3" t="e">
        <f t="shared" si="3"/>
        <v>#DIV/0!</v>
      </c>
      <c r="AD62" s="3" t="e">
        <f t="shared" si="4"/>
        <v>#DIV/0!</v>
      </c>
      <c r="AE62" s="3"/>
      <c r="AH62" s="2">
        <f t="shared" si="13"/>
        <v>0</v>
      </c>
      <c r="AI62" s="4" t="e">
        <f t="shared" si="14"/>
        <v>#DIV/0!</v>
      </c>
      <c r="AJ62" s="4" t="e">
        <f t="shared" si="15"/>
        <v>#DIV/0!</v>
      </c>
      <c r="AK62" s="4">
        <f t="shared" si="16"/>
        <v>-23333.859144529852</v>
      </c>
    </row>
    <row r="63" spans="2:37" x14ac:dyDescent="0.25">
      <c r="B63" s="1"/>
      <c r="W63" s="2" t="e">
        <f>+#REF!</f>
        <v>#REF!</v>
      </c>
      <c r="X63" s="3" t="e">
        <f>+SUMIFS(#REF!,#REF!,"&lt;0")</f>
        <v>#REF!</v>
      </c>
      <c r="Y63" s="3" t="e">
        <f>+SUMIFS(#REF!,#REF!,"&gt;0")</f>
        <v>#REF!</v>
      </c>
      <c r="Z63" s="3" t="e">
        <f t="shared" si="0"/>
        <v>#REF!</v>
      </c>
      <c r="AB63" s="2"/>
      <c r="AC63" s="3" t="e">
        <f t="shared" si="3"/>
        <v>#DIV/0!</v>
      </c>
      <c r="AD63" s="3" t="e">
        <f t="shared" si="4"/>
        <v>#DIV/0!</v>
      </c>
      <c r="AE63" s="3"/>
      <c r="AH63" s="2">
        <f t="shared" si="13"/>
        <v>0</v>
      </c>
      <c r="AI63" s="4" t="e">
        <f t="shared" si="14"/>
        <v>#DIV/0!</v>
      </c>
      <c r="AJ63" s="4" t="e">
        <f t="shared" si="15"/>
        <v>#DIV/0!</v>
      </c>
      <c r="AK63" s="4">
        <f t="shared" si="16"/>
        <v>-23333.859144529852</v>
      </c>
    </row>
    <row r="64" spans="2:37" x14ac:dyDescent="0.25">
      <c r="B64" s="1">
        <v>46085.999988425923</v>
      </c>
      <c r="C64">
        <f>+SUMIFS(das_tank_inventories_daily!$M:$M,das_tank_inventories_daily!$C:$C,calculations!$B64,das_tank_inventories_daily!$H:$H,calculations!C$1)</f>
        <v>-4991.7780629813496</v>
      </c>
      <c r="D64">
        <f>+SUMIFS(das_tank_inventories_daily!$M:$M,das_tank_inventories_daily!$C:$C,calculations!$B64,das_tank_inventories_daily!$H:$H,calculations!D$1)</f>
        <v>-7101.6847831453997</v>
      </c>
      <c r="E64">
        <f>+SUMIFS(das_tank_inventories_daily!$M:$M,das_tank_inventories_daily!$C:$C,calculations!$B64,das_tank_inventories_daily!$H:$H,calculations!E$1)</f>
        <v>110852.262793552</v>
      </c>
      <c r="F64">
        <f>+SUMIFS(das_tank_inventories_daily!$M:$M,das_tank_inventories_daily!$C:$C,calculations!$B64,das_tank_inventories_daily!$H:$H,calculations!F$1)</f>
        <v>-50762.978837281298</v>
      </c>
      <c r="G64">
        <f>+SUMIFS(das_tank_inventories_daily!$M:$M,das_tank_inventories_daily!$C:$C,calculations!$B64,das_tank_inventories_daily!$H:$H,calculations!G$1)</f>
        <v>-14456.5951638069</v>
      </c>
      <c r="H64">
        <f>+SUMIFS(das_tank_inventories_daily!$M:$M,das_tank_inventories_daily!$C:$C,calculations!$B64,das_tank_inventories_daily!$H:$H,calculations!H$1)</f>
        <v>180570.135889292</v>
      </c>
      <c r="I64">
        <f>+SUMIFS(das_tank_inventories_daily!$M:$M,das_tank_inventories_daily!$C:$C,calculations!$B64,das_tank_inventories_daily!$H:$H,calculations!I$1)</f>
        <v>-129075.796181761</v>
      </c>
      <c r="J64">
        <f>+SUMIFS(das_tank_inventories_daily!$M:$M,das_tank_inventories_daily!$C:$C,calculations!$B64,das_tank_inventories_daily!$H:$H,calculations!J$1)</f>
        <v>399569.29983794299</v>
      </c>
      <c r="K64">
        <f>+SUMIFS(das_tank_inventories_daily!$M:$M,das_tank_inventories_daily!$C:$C,calculations!$B64,das_tank_inventories_daily!$H:$H,calculations!K$1)</f>
        <v>-3682.95111199235</v>
      </c>
      <c r="L64">
        <f>+SUMIFS(das_tank_inventories_daily!$M:$M,das_tank_inventories_daily!$C:$C,calculations!$B64,das_tank_inventories_daily!$H:$H,calculations!L$1)</f>
        <v>-23627.227656777399</v>
      </c>
      <c r="M64">
        <f>+SUMIFS(das_tank_inventories_daily!$M:$M,das_tank_inventories_daily!$C:$C,calculations!$B64,das_tank_inventories_daily!$H:$H,calculations!M$1)</f>
        <v>1133.7002270543001</v>
      </c>
      <c r="N64">
        <f>+SUMIFS(das_tank_inventories_daily!$M:$M,das_tank_inventories_daily!$C:$C,calculations!$B64,das_tank_inventories_daily!$H:$H,calculations!N$1)</f>
        <v>-74176.888640353005</v>
      </c>
      <c r="O64">
        <f>+SUMIFS(das_tank_inventories_daily!$M:$M,das_tank_inventories_daily!$C:$C,calculations!$B64,das_tank_inventories_daily!$H:$H,calculations!O$1)</f>
        <v>-369369.83429515699</v>
      </c>
      <c r="P64">
        <f>+SUMIFS(das_tank_inventories_daily!$M:$M,das_tank_inventories_daily!$C:$C,calculations!$B64,das_tank_inventories_daily!$H:$H,calculations!P$1)</f>
        <v>464345.71473268099</v>
      </c>
      <c r="Q64">
        <f>+SUMIFS(das_tank_inventories_daily!$M:$M,das_tank_inventories_daily!$C:$C,calculations!$B64,das_tank_inventories_daily!$H:$H,calculations!Q$1)</f>
        <v>0</v>
      </c>
      <c r="R64">
        <f>+SUMIFS(das_tank_inventories_daily!$M:$M,das_tank_inventories_daily!$C:$C,calculations!$B64,das_tank_inventories_daily!$H:$H,calculations!R$1)</f>
        <v>-616712.78382488398</v>
      </c>
      <c r="S64">
        <f>+SUMIFS(das_tank_inventories_daily!$M:$M,das_tank_inventories_daily!$C:$C,calculations!$B64,das_tank_inventories_daily!$H:$H,calculations!S$1)</f>
        <v>35839.570703860998</v>
      </c>
      <c r="T64">
        <f>+SUMIFS(das_tank_inventories_daily!$M:$M,das_tank_inventories_daily!$C:$C,calculations!$B64,das_tank_inventories_daily!$H:$H,calculations!T$1)</f>
        <v>1390.40165539592</v>
      </c>
      <c r="U64">
        <f>+SUMIFS(das_tank_inventories_daily!$M:$M,das_tank_inventories_daily!$C:$C,calculations!$B64,das_tank_inventories_daily!$H:$H,calculations!U$1)</f>
        <v>427203.35333580797</v>
      </c>
      <c r="W64" s="2">
        <f>+B64</f>
        <v>46085.999988425923</v>
      </c>
      <c r="X64" s="3">
        <f>+SUMIFS(C64:U64,C64:U64,"&lt;0")</f>
        <v>-1293958.5185581397</v>
      </c>
      <c r="Y64" s="3">
        <f>+SUMIFS(C64:U64,C64:U64,"&lt;0")</f>
        <v>-1293958.5185581397</v>
      </c>
      <c r="Z64" s="3">
        <f t="shared" ref="Z64" si="27">+Y64+X64</f>
        <v>-2587917.0371162794</v>
      </c>
      <c r="AB64" s="2">
        <f>+B64</f>
        <v>46085.999988425923</v>
      </c>
      <c r="AC64" s="3">
        <f t="shared" si="3"/>
        <v>-431319.50618604658</v>
      </c>
      <c r="AD64" s="3">
        <f t="shared" si="4"/>
        <v>540301.47972519579</v>
      </c>
      <c r="AE64" s="3">
        <f t="shared" si="6"/>
        <v>108981.97353914921</v>
      </c>
      <c r="AH64" s="2">
        <f t="shared" si="13"/>
        <v>46085.999988425923</v>
      </c>
      <c r="AI64" s="4" t="e">
        <f>+AI63+AC64</f>
        <v>#DIV/0!</v>
      </c>
      <c r="AJ64" s="4" t="e">
        <f>+AJ63+AD64</f>
        <v>#DIV/0!</v>
      </c>
      <c r="AK64" s="4">
        <f>+AK63+AE64</f>
        <v>85648.114394619362</v>
      </c>
    </row>
    <row r="65" spans="2:37" x14ac:dyDescent="0.25">
      <c r="B65" s="1"/>
      <c r="W65" s="2" t="e">
        <f>+#REF!</f>
        <v>#REF!</v>
      </c>
      <c r="X65" s="3" t="e">
        <f>+SUMIFS(#REF!,#REF!,"&lt;0")</f>
        <v>#REF!</v>
      </c>
      <c r="Y65" s="3" t="e">
        <f>+SUMIFS(#REF!,#REF!,"&gt;0")</f>
        <v>#REF!</v>
      </c>
      <c r="Z65" s="3" t="e">
        <f t="shared" si="0"/>
        <v>#REF!</v>
      </c>
      <c r="AB65" s="2"/>
      <c r="AC65" s="3" t="e">
        <f t="shared" si="3"/>
        <v>#DIV/0!</v>
      </c>
      <c r="AD65" s="3" t="e">
        <f t="shared" si="4"/>
        <v>#DIV/0!</v>
      </c>
      <c r="AE65" s="3"/>
      <c r="AH65" s="2">
        <f t="shared" si="13"/>
        <v>0</v>
      </c>
      <c r="AI65" s="4" t="e">
        <f t="shared" si="14"/>
        <v>#DIV/0!</v>
      </c>
      <c r="AJ65" s="4" t="e">
        <f t="shared" si="15"/>
        <v>#DIV/0!</v>
      </c>
      <c r="AK65" s="4">
        <f t="shared" si="16"/>
        <v>85648.114394619362</v>
      </c>
    </row>
    <row r="66" spans="2:37" x14ac:dyDescent="0.25">
      <c r="B66" s="1"/>
      <c r="W66" s="2" t="e">
        <f>+#REF!</f>
        <v>#REF!</v>
      </c>
      <c r="X66" s="3" t="e">
        <f>+SUMIFS(#REF!,#REF!,"&lt;0")</f>
        <v>#REF!</v>
      </c>
      <c r="Y66" s="3" t="e">
        <f>+SUMIFS(#REF!,#REF!,"&gt;0")</f>
        <v>#REF!</v>
      </c>
      <c r="Z66" s="3" t="e">
        <f t="shared" ref="Z66:Z79" si="28">+Y66+X66</f>
        <v>#REF!</v>
      </c>
      <c r="AB66" s="2"/>
      <c r="AC66" s="3" t="e">
        <f t="shared" si="3"/>
        <v>#DIV/0!</v>
      </c>
      <c r="AD66" s="3" t="e">
        <f t="shared" si="4"/>
        <v>#DIV/0!</v>
      </c>
      <c r="AE66" s="3"/>
      <c r="AH66" s="2">
        <f t="shared" si="13"/>
        <v>0</v>
      </c>
      <c r="AI66" s="4" t="e">
        <f t="shared" si="14"/>
        <v>#DIV/0!</v>
      </c>
      <c r="AJ66" s="4" t="e">
        <f t="shared" si="15"/>
        <v>#DIV/0!</v>
      </c>
      <c r="AK66" s="4">
        <f t="shared" si="16"/>
        <v>85648.114394619362</v>
      </c>
    </row>
    <row r="67" spans="2:37" x14ac:dyDescent="0.25">
      <c r="B67" s="1">
        <v>46088.999988425923</v>
      </c>
      <c r="C67">
        <f>+SUMIFS(das_tank_inventories_daily!$M:$M,das_tank_inventories_daily!$C:$C,calculations!$B67,das_tank_inventories_daily!$H:$H,calculations!C$1)</f>
        <v>6257.2853495160198</v>
      </c>
      <c r="D67">
        <f>+SUMIFS(das_tank_inventories_daily!$M:$M,das_tank_inventories_daily!$C:$C,calculations!$B67,das_tank_inventories_daily!$H:$H,calculations!D$1)</f>
        <v>5812.3607004880296</v>
      </c>
      <c r="E67">
        <f>+SUMIFS(das_tank_inventories_daily!$M:$M,das_tank_inventories_daily!$C:$C,calculations!$B67,das_tank_inventories_daily!$H:$H,calculations!E$1)</f>
        <v>26536.143350869701</v>
      </c>
      <c r="F67">
        <f>+SUMIFS(das_tank_inventories_daily!$M:$M,das_tank_inventories_daily!$C:$C,calculations!$B67,das_tank_inventories_daily!$H:$H,calculations!F$1)</f>
        <v>-48313.283840049102</v>
      </c>
      <c r="G67">
        <f>+SUMIFS(das_tank_inventories_daily!$M:$M,das_tank_inventories_daily!$C:$C,calculations!$B67,das_tank_inventories_daily!$H:$H,calculations!G$1)</f>
        <v>12830.545311341801</v>
      </c>
      <c r="H67">
        <f>+SUMIFS(das_tank_inventories_daily!$M:$M,das_tank_inventories_daily!$C:$C,calculations!$B67,das_tank_inventories_daily!$H:$H,calculations!H$1)</f>
        <v>272363.13108011999</v>
      </c>
      <c r="I67">
        <f>+SUMIFS(das_tank_inventories_daily!$M:$M,das_tank_inventories_daily!$C:$C,calculations!$B67,das_tank_inventories_daily!$H:$H,calculations!I$1)</f>
        <v>280819.24587136903</v>
      </c>
      <c r="J67">
        <f>+SUMIFS(das_tank_inventories_daily!$M:$M,das_tank_inventories_daily!$C:$C,calculations!$B67,das_tank_inventories_daily!$H:$H,calculations!J$1)</f>
        <v>-399569.29983794299</v>
      </c>
      <c r="K67">
        <f>+SUMIFS(das_tank_inventories_daily!$M:$M,das_tank_inventories_daily!$C:$C,calculations!$B67,das_tank_inventories_daily!$H:$H,calculations!K$1)</f>
        <v>8158.7483697277403</v>
      </c>
      <c r="L67">
        <f>+SUMIFS(das_tank_inventories_daily!$M:$M,das_tank_inventories_daily!$C:$C,calculations!$B67,das_tank_inventories_daily!$H:$H,calculations!L$1)</f>
        <v>4696.4432206340098</v>
      </c>
      <c r="M67">
        <f>+SUMIFS(das_tank_inventories_daily!$M:$M,das_tank_inventories_daily!$C:$C,calculations!$B67,das_tank_inventories_daily!$H:$H,calculations!M$1)</f>
        <v>3426.25126127153</v>
      </c>
      <c r="N67">
        <f>+SUMIFS(das_tank_inventories_daily!$M:$M,das_tank_inventories_daily!$C:$C,calculations!$B67,das_tank_inventories_daily!$H:$H,calculations!N$1)</f>
        <v>470537.98644304898</v>
      </c>
      <c r="O67">
        <f>+SUMIFS(das_tank_inventories_daily!$M:$M,das_tank_inventories_daily!$C:$C,calculations!$B67,das_tank_inventories_daily!$H:$H,calculations!O$1)</f>
        <v>355285.80451848003</v>
      </c>
      <c r="P67">
        <f>+SUMIFS(das_tank_inventories_daily!$M:$M,das_tank_inventories_daily!$C:$C,calculations!$B67,das_tank_inventories_daily!$H:$H,calculations!P$1)</f>
        <v>-464345.71473268099</v>
      </c>
      <c r="Q67">
        <f>+SUMIFS(das_tank_inventories_daily!$M:$M,das_tank_inventories_daily!$C:$C,calculations!$B67,das_tank_inventories_daily!$H:$H,calculations!Q$1)</f>
        <v>0</v>
      </c>
      <c r="R67">
        <f>+SUMIFS(das_tank_inventories_daily!$M:$M,das_tank_inventories_daily!$C:$C,calculations!$B67,das_tank_inventories_daily!$H:$H,calculations!R$1)</f>
        <v>621967.13310693798</v>
      </c>
      <c r="S67">
        <f>+SUMIFS(das_tank_inventories_daily!$M:$M,das_tank_inventories_daily!$C:$C,calculations!$B67,das_tank_inventories_daily!$H:$H,calculations!S$1)</f>
        <v>-9030.2384013074297</v>
      </c>
      <c r="T67">
        <f>+SUMIFS(das_tank_inventories_daily!$M:$M,das_tank_inventories_daily!$C:$C,calculations!$B67,das_tank_inventories_daily!$H:$H,calculations!T$1)</f>
        <v>770.60032477049299</v>
      </c>
      <c r="U67">
        <f>+SUMIFS(das_tank_inventories_daily!$M:$M,das_tank_inventories_daily!$C:$C,calculations!$B67,das_tank_inventories_daily!$H:$H,calculations!U$1)</f>
        <v>-116335.013064103</v>
      </c>
      <c r="W67" s="2">
        <f>+B67</f>
        <v>46088.999988425923</v>
      </c>
      <c r="X67" s="3">
        <f>+SUMIFS(C67:U67,C67:U67,"&lt;0")</f>
        <v>-1037593.5498760835</v>
      </c>
      <c r="Y67" s="3">
        <f>+SUMIFS(C67:U67,C67:U67,"&lt;0")</f>
        <v>-1037593.5498760835</v>
      </c>
      <c r="Z67" s="3">
        <f t="shared" si="28"/>
        <v>-2075187.099752167</v>
      </c>
      <c r="AB67" s="2">
        <f>+B67</f>
        <v>46088.999988425923</v>
      </c>
      <c r="AC67" s="3">
        <f t="shared" si="3"/>
        <v>-345864.51662536117</v>
      </c>
      <c r="AD67" s="3">
        <f t="shared" si="4"/>
        <v>689820.55963619181</v>
      </c>
      <c r="AE67" s="3">
        <f t="shared" si="6"/>
        <v>343956.04301083065</v>
      </c>
      <c r="AH67" s="2">
        <f t="shared" si="13"/>
        <v>46088.999988425923</v>
      </c>
      <c r="AI67" s="4" t="e">
        <f>+AI66+AC67</f>
        <v>#DIV/0!</v>
      </c>
      <c r="AJ67" s="4" t="e">
        <f>+AJ66+AD67</f>
        <v>#DIV/0!</v>
      </c>
      <c r="AK67" s="4">
        <f>+AK66+AE67</f>
        <v>429604.15740545001</v>
      </c>
    </row>
    <row r="68" spans="2:37" x14ac:dyDescent="0.25">
      <c r="B68" s="1"/>
      <c r="W68" s="2" t="e">
        <f>+#REF!</f>
        <v>#REF!</v>
      </c>
      <c r="X68" s="3" t="e">
        <f>+SUMIFS(#REF!,#REF!,"&lt;0")</f>
        <v>#REF!</v>
      </c>
      <c r="Y68" s="3" t="e">
        <f>+SUMIFS(#REF!,#REF!,"&gt;0")</f>
        <v>#REF!</v>
      </c>
      <c r="Z68" s="3" t="e">
        <f t="shared" si="28"/>
        <v>#REF!</v>
      </c>
      <c r="AB68" s="2"/>
      <c r="AC68" s="3" t="e">
        <f t="shared" si="3"/>
        <v>#DIV/0!</v>
      </c>
      <c r="AD68" s="3" t="e">
        <f t="shared" si="4"/>
        <v>#DIV/0!</v>
      </c>
      <c r="AE68" s="3"/>
      <c r="AH68" s="2">
        <f t="shared" si="13"/>
        <v>0</v>
      </c>
      <c r="AI68" s="4" t="e">
        <f t="shared" si="14"/>
        <v>#DIV/0!</v>
      </c>
      <c r="AJ68" s="4" t="e">
        <f t="shared" si="15"/>
        <v>#DIV/0!</v>
      </c>
      <c r="AK68" s="4">
        <f t="shared" si="16"/>
        <v>429604.15740545001</v>
      </c>
    </row>
    <row r="69" spans="2:37" x14ac:dyDescent="0.25">
      <c r="B69" s="1"/>
      <c r="W69" s="2" t="e">
        <f>+#REF!</f>
        <v>#REF!</v>
      </c>
      <c r="X69" s="3" t="e">
        <f>+SUMIFS(#REF!,#REF!,"&lt;0")</f>
        <v>#REF!</v>
      </c>
      <c r="Y69" s="3" t="e">
        <f>+SUMIFS(#REF!,#REF!,"&gt;0")</f>
        <v>#REF!</v>
      </c>
      <c r="Z69" s="3" t="e">
        <f t="shared" si="28"/>
        <v>#REF!</v>
      </c>
      <c r="AB69" s="2"/>
      <c r="AC69" s="3" t="e">
        <f t="shared" si="3"/>
        <v>#DIV/0!</v>
      </c>
      <c r="AD69" s="3" t="e">
        <f t="shared" si="4"/>
        <v>#DIV/0!</v>
      </c>
      <c r="AE69" s="3"/>
      <c r="AH69" s="2">
        <f t="shared" si="13"/>
        <v>0</v>
      </c>
      <c r="AI69" s="4" t="e">
        <f t="shared" si="14"/>
        <v>#DIV/0!</v>
      </c>
      <c r="AJ69" s="4" t="e">
        <f t="shared" si="15"/>
        <v>#DIV/0!</v>
      </c>
      <c r="AK69" s="4">
        <f t="shared" si="16"/>
        <v>429604.15740545001</v>
      </c>
    </row>
    <row r="70" spans="2:37" x14ac:dyDescent="0.25">
      <c r="B70" s="1">
        <v>46091.999988425923</v>
      </c>
      <c r="C70">
        <f>+SUMIFS(das_tank_inventories_daily!$M:$M,das_tank_inventories_daily!$C:$C,calculations!$B70,das_tank_inventories_daily!$H:$H,calculations!C$1)</f>
        <v>-4763.3995041510698</v>
      </c>
      <c r="D70">
        <f>+SUMIFS(das_tank_inventories_daily!$M:$M,das_tank_inventories_daily!$C:$C,calculations!$B70,das_tank_inventories_daily!$H:$H,calculations!D$1)</f>
        <v>-6091.39242574543</v>
      </c>
      <c r="E70">
        <f>+SUMIFS(das_tank_inventories_daily!$M:$M,das_tank_inventories_daily!$C:$C,calculations!$B70,das_tank_inventories_daily!$H:$H,calculations!E$1)</f>
        <v>-16577.972207911102</v>
      </c>
      <c r="F70">
        <f>+SUMIFS(das_tank_inventories_daily!$M:$M,das_tank_inventories_daily!$C:$C,calculations!$B70,das_tank_inventories_daily!$H:$H,calculations!F$1)</f>
        <v>-41517.912005150902</v>
      </c>
      <c r="G70">
        <f>+SUMIFS(das_tank_inventories_daily!$M:$M,das_tank_inventories_daily!$C:$C,calculations!$B70,das_tank_inventories_daily!$H:$H,calculations!G$1)</f>
        <v>-14376.659921063499</v>
      </c>
      <c r="H70">
        <f>+SUMIFS(das_tank_inventories_daily!$M:$M,das_tank_inventories_daily!$C:$C,calculations!$B70,das_tank_inventories_daily!$H:$H,calculations!H$1)</f>
        <v>5191.4049182876397</v>
      </c>
      <c r="I70">
        <f>+SUMIFS(das_tank_inventories_daily!$M:$M,das_tank_inventories_daily!$C:$C,calculations!$B70,das_tank_inventories_daily!$H:$H,calculations!I$1)</f>
        <v>-280819.24587136903</v>
      </c>
      <c r="J70">
        <f>+SUMIFS(das_tank_inventories_daily!$M:$M,das_tank_inventories_daily!$C:$C,calculations!$B70,das_tank_inventories_daily!$H:$H,calculations!J$1)</f>
        <v>0</v>
      </c>
      <c r="K70">
        <f>+SUMIFS(das_tank_inventories_daily!$M:$M,das_tank_inventories_daily!$C:$C,calculations!$B70,das_tank_inventories_daily!$H:$H,calculations!K$1)</f>
        <v>-3062.5067093890302</v>
      </c>
      <c r="L70">
        <f>+SUMIFS(das_tank_inventories_daily!$M:$M,das_tank_inventories_daily!$C:$C,calculations!$B70,das_tank_inventories_daily!$H:$H,calculations!L$1)</f>
        <v>-11745.9807885352</v>
      </c>
      <c r="M70">
        <f>+SUMIFS(das_tank_inventories_daily!$M:$M,das_tank_inventories_daily!$C:$C,calculations!$B70,das_tank_inventories_daily!$H:$H,calculations!M$1)</f>
        <v>-5071.1952547148103</v>
      </c>
      <c r="N70">
        <f>+SUMIFS(das_tank_inventories_daily!$M:$M,das_tank_inventories_daily!$C:$C,calculations!$B70,das_tank_inventories_daily!$H:$H,calculations!N$1)</f>
        <v>4007.3120881486602</v>
      </c>
      <c r="O70">
        <f>+SUMIFS(das_tank_inventories_daily!$M:$M,das_tank_inventories_daily!$C:$C,calculations!$B70,das_tank_inventories_daily!$H:$H,calculations!O$1)</f>
        <v>-12128.8818494077</v>
      </c>
      <c r="P70">
        <f>+SUMIFS(das_tank_inventories_daily!$M:$M,das_tank_inventories_daily!$C:$C,calculations!$B70,das_tank_inventories_daily!$H:$H,calculations!P$1)</f>
        <v>465088.15940664802</v>
      </c>
      <c r="Q70">
        <f>+SUMIFS(das_tank_inventories_daily!$M:$M,das_tank_inventories_daily!$C:$C,calculations!$B70,das_tank_inventories_daily!$H:$H,calculations!Q$1)</f>
        <v>0</v>
      </c>
      <c r="R70">
        <f>+SUMIFS(das_tank_inventories_daily!$M:$M,das_tank_inventories_daily!$C:$C,calculations!$B70,das_tank_inventories_daily!$H:$H,calculations!R$1)</f>
        <v>22749.731048780901</v>
      </c>
      <c r="S70">
        <f>+SUMIFS(das_tank_inventories_daily!$M:$M,das_tank_inventories_daily!$C:$C,calculations!$B70,das_tank_inventories_daily!$H:$H,calculations!S$1)</f>
        <v>-11251.763479179899</v>
      </c>
      <c r="T70">
        <f>+SUMIFS(das_tank_inventories_daily!$M:$M,das_tank_inventories_daily!$C:$C,calculations!$B70,das_tank_inventories_daily!$H:$H,calculations!T$1)</f>
        <v>902.84211804444203</v>
      </c>
      <c r="U70">
        <f>+SUMIFS(das_tank_inventories_daily!$M:$M,das_tank_inventories_daily!$C:$C,calculations!$B70,das_tank_inventories_daily!$H:$H,calculations!U$1)</f>
        <v>-3957.30256235139</v>
      </c>
      <c r="W70" s="2">
        <f>+B70</f>
        <v>46091.999988425923</v>
      </c>
      <c r="X70" s="3">
        <f>+SUMIFS(C70:U70,C70:U70,"&lt;0")</f>
        <v>-411364.21257896908</v>
      </c>
      <c r="Y70" s="3">
        <f>+SUMIFS(C70:U70,C70:U70,"&lt;0")</f>
        <v>-411364.21257896908</v>
      </c>
      <c r="Z70" s="3">
        <f t="shared" si="28"/>
        <v>-822728.42515793815</v>
      </c>
      <c r="AB70" s="2">
        <f>+B70</f>
        <v>46091.999988425923</v>
      </c>
      <c r="AC70" s="3">
        <f t="shared" si="3"/>
        <v>-137121.40419298969</v>
      </c>
      <c r="AD70" s="3">
        <f t="shared" si="4"/>
        <v>165979.81652663657</v>
      </c>
      <c r="AE70" s="3">
        <f t="shared" si="6"/>
        <v>28858.412333646877</v>
      </c>
      <c r="AH70" s="2">
        <f t="shared" si="13"/>
        <v>46091.999988425923</v>
      </c>
      <c r="AI70" s="4" t="e">
        <f>+AI69+AC70</f>
        <v>#DIV/0!</v>
      </c>
      <c r="AJ70" s="4" t="e">
        <f>+AJ69+AD70</f>
        <v>#DIV/0!</v>
      </c>
      <c r="AK70" s="4">
        <f>+AK69+AE70</f>
        <v>458462.56973909691</v>
      </c>
    </row>
    <row r="71" spans="2:37" x14ac:dyDescent="0.25">
      <c r="B71" s="1"/>
      <c r="W71" s="2" t="e">
        <f>+#REF!</f>
        <v>#REF!</v>
      </c>
      <c r="X71" s="3" t="e">
        <f>+SUMIFS(#REF!,#REF!,"&lt;0")</f>
        <v>#REF!</v>
      </c>
      <c r="Y71" s="3" t="e">
        <f>+SUMIFS(#REF!,#REF!,"&gt;0")</f>
        <v>#REF!</v>
      </c>
      <c r="Z71" s="3" t="e">
        <f t="shared" si="28"/>
        <v>#REF!</v>
      </c>
      <c r="AB71" s="2"/>
      <c r="AC71" s="3" t="e">
        <f t="shared" si="3"/>
        <v>#DIV/0!</v>
      </c>
      <c r="AD71" s="3" t="e">
        <f t="shared" si="4"/>
        <v>#DIV/0!</v>
      </c>
      <c r="AE71" s="3"/>
      <c r="AH71" s="2">
        <f t="shared" si="13"/>
        <v>0</v>
      </c>
      <c r="AI71" s="4" t="e">
        <f t="shared" si="14"/>
        <v>#DIV/0!</v>
      </c>
      <c r="AJ71" s="4" t="e">
        <f t="shared" si="15"/>
        <v>#DIV/0!</v>
      </c>
      <c r="AK71" s="4">
        <f t="shared" si="16"/>
        <v>458462.56973909691</v>
      </c>
    </row>
    <row r="72" spans="2:37" x14ac:dyDescent="0.25">
      <c r="B72" s="1"/>
      <c r="W72" s="2" t="e">
        <f>+#REF!</f>
        <v>#REF!</v>
      </c>
      <c r="X72" s="3" t="e">
        <f>+SUMIFS(#REF!,#REF!,"&lt;0")</f>
        <v>#REF!</v>
      </c>
      <c r="Y72" s="3" t="e">
        <f>+SUMIFS(#REF!,#REF!,"&gt;0")</f>
        <v>#REF!</v>
      </c>
      <c r="Z72" s="3" t="e">
        <f t="shared" si="28"/>
        <v>#REF!</v>
      </c>
      <c r="AB72" s="2"/>
      <c r="AC72" s="3" t="e">
        <f t="shared" ref="AC72:AC135" si="29">+SUMIFS(C72:U72,C72:U72,"&lt;0")/(AB72-AB69)</f>
        <v>#DIV/0!</v>
      </c>
      <c r="AD72" s="3" t="e">
        <f t="shared" ref="AD72:AD135" si="30">+SUMIFS(C72:U72,C72:U72,"&gt;0")/(AB72-AB69)</f>
        <v>#DIV/0!</v>
      </c>
      <c r="AE72" s="3"/>
      <c r="AH72" s="2">
        <f t="shared" si="13"/>
        <v>0</v>
      </c>
      <c r="AI72" s="4" t="e">
        <f t="shared" si="14"/>
        <v>#DIV/0!</v>
      </c>
      <c r="AJ72" s="4" t="e">
        <f t="shared" si="15"/>
        <v>#DIV/0!</v>
      </c>
      <c r="AK72" s="4">
        <f t="shared" si="16"/>
        <v>458462.56973909691</v>
      </c>
    </row>
    <row r="73" spans="2:37" x14ac:dyDescent="0.25">
      <c r="B73" s="1">
        <v>46094.999988425923</v>
      </c>
      <c r="C73">
        <f>+SUMIFS(das_tank_inventories_daily!$M:$M,das_tank_inventories_daily!$C:$C,calculations!$B73,das_tank_inventories_daily!$H:$H,calculations!C$1)</f>
        <v>3083.6904443712201</v>
      </c>
      <c r="D73">
        <f>+SUMIFS(das_tank_inventories_daily!$M:$M,das_tank_inventories_daily!$C:$C,calculations!$B73,das_tank_inventories_daily!$H:$H,calculations!D$1)</f>
        <v>5662.0056112770399</v>
      </c>
      <c r="E73">
        <f>+SUMIFS(das_tank_inventories_daily!$M:$M,das_tank_inventories_daily!$C:$C,calculations!$B73,das_tank_inventories_daily!$H:$H,calculations!E$1)</f>
        <v>17393.146020114302</v>
      </c>
      <c r="F73">
        <f>+SUMIFS(das_tank_inventories_daily!$M:$M,das_tank_inventories_daily!$C:$C,calculations!$B73,das_tank_inventories_daily!$H:$H,calculations!F$1)</f>
        <v>-17134.116840705501</v>
      </c>
      <c r="G73">
        <f>+SUMIFS(das_tank_inventories_daily!$M:$M,das_tank_inventories_daily!$C:$C,calculations!$B73,das_tank_inventories_daily!$H:$H,calculations!G$1)</f>
        <v>12977.9623586083</v>
      </c>
      <c r="H73">
        <f>+SUMIFS(das_tank_inventories_daily!$M:$M,das_tank_inventories_daily!$C:$C,calculations!$B73,das_tank_inventories_daily!$H:$H,calculations!H$1)</f>
        <v>-8387.1948893091103</v>
      </c>
      <c r="I73">
        <f>+SUMIFS(das_tank_inventories_daily!$M:$M,das_tank_inventories_daily!$C:$C,calculations!$B73,das_tank_inventories_daily!$H:$H,calculations!I$1)</f>
        <v>450447.96953372401</v>
      </c>
      <c r="J73">
        <f>+SUMIFS(das_tank_inventories_daily!$M:$M,das_tank_inventories_daily!$C:$C,calculations!$B73,das_tank_inventories_daily!$H:$H,calculations!J$1)</f>
        <v>421092.45963612699</v>
      </c>
      <c r="K73">
        <f>+SUMIFS(das_tank_inventories_daily!$M:$M,das_tank_inventories_daily!$C:$C,calculations!$B73,das_tank_inventories_daily!$H:$H,calculations!K$1)</f>
        <v>76221.160392639402</v>
      </c>
      <c r="L73">
        <f>+SUMIFS(das_tank_inventories_daily!$M:$M,das_tank_inventories_daily!$C:$C,calculations!$B73,das_tank_inventories_daily!$H:$H,calculations!L$1)</f>
        <v>-931.80035140865903</v>
      </c>
      <c r="M73">
        <f>+SUMIFS(das_tank_inventories_daily!$M:$M,das_tank_inventories_daily!$C:$C,calculations!$B73,das_tank_inventories_daily!$H:$H,calculations!M$1)</f>
        <v>-2957.9211353671799</v>
      </c>
      <c r="N73">
        <f>+SUMIFS(das_tank_inventories_daily!$M:$M,das_tank_inventories_daily!$C:$C,calculations!$B73,das_tank_inventories_daily!$H:$H,calculations!N$1)</f>
        <v>-1610.8613307893299</v>
      </c>
      <c r="O73">
        <f>+SUMIFS(das_tank_inventories_daily!$M:$M,das_tank_inventories_daily!$C:$C,calculations!$B73,das_tank_inventories_daily!$H:$H,calculations!O$1)</f>
        <v>20276.4459958962</v>
      </c>
      <c r="P73">
        <f>+SUMIFS(das_tank_inventories_daily!$M:$M,das_tank_inventories_daily!$C:$C,calculations!$B73,das_tank_inventories_daily!$H:$H,calculations!P$1)</f>
        <v>-465088.15940664802</v>
      </c>
      <c r="Q73">
        <f>+SUMIFS(das_tank_inventories_daily!$M:$M,das_tank_inventories_daily!$C:$C,calculations!$B73,das_tank_inventories_daily!$H:$H,calculations!Q$1)</f>
        <v>0</v>
      </c>
      <c r="R73">
        <f>+SUMIFS(das_tank_inventories_daily!$M:$M,das_tank_inventories_daily!$C:$C,calculations!$B73,das_tank_inventories_daily!$H:$H,calculations!R$1)</f>
        <v>-22822.9368594562</v>
      </c>
      <c r="S73">
        <f>+SUMIFS(das_tank_inventories_daily!$M:$M,das_tank_inventories_daily!$C:$C,calculations!$B73,das_tank_inventories_daily!$H:$H,calculations!S$1)</f>
        <v>9840.8238995745705</v>
      </c>
      <c r="T73">
        <f>+SUMIFS(das_tank_inventories_daily!$M:$M,das_tank_inventories_daily!$C:$C,calculations!$B73,das_tank_inventories_daily!$H:$H,calculations!T$1)</f>
        <v>-4647.0120943100701</v>
      </c>
      <c r="U73">
        <f>+SUMIFS(das_tank_inventories_daily!$M:$M,das_tank_inventories_daily!$C:$C,calculations!$B73,das_tank_inventories_daily!$H:$H,calculations!U$1)</f>
        <v>10888.6837041047</v>
      </c>
      <c r="W73" s="2">
        <f>+B73</f>
        <v>46094.999988425923</v>
      </c>
      <c r="X73" s="3">
        <f>+SUMIFS(C73:U73,C73:U73,"&lt;0")</f>
        <v>-523580.00290799403</v>
      </c>
      <c r="Y73" s="3">
        <f>+SUMIFS(C73:U73,C73:U73,"&lt;0")</f>
        <v>-523580.00290799403</v>
      </c>
      <c r="Z73" s="3">
        <f t="shared" si="28"/>
        <v>-1047160.0058159881</v>
      </c>
      <c r="AB73" s="2">
        <f>+B73</f>
        <v>46094.999988425923</v>
      </c>
      <c r="AC73" s="3">
        <f t="shared" si="29"/>
        <v>-174526.66763599802</v>
      </c>
      <c r="AD73" s="3">
        <f t="shared" si="30"/>
        <v>342628.11586547893</v>
      </c>
      <c r="AE73" s="3">
        <f t="shared" ref="AE73:AE136" si="31">+AD73+AC73</f>
        <v>168101.44822948091</v>
      </c>
      <c r="AH73" s="2">
        <f t="shared" si="13"/>
        <v>46094.999988425923</v>
      </c>
      <c r="AI73" s="4" t="e">
        <f>+AI72+AC73</f>
        <v>#DIV/0!</v>
      </c>
      <c r="AJ73" s="4" t="e">
        <f>+AJ72+AD73</f>
        <v>#DIV/0!</v>
      </c>
      <c r="AK73" s="4">
        <f>+AK72+AE73</f>
        <v>626564.0179685778</v>
      </c>
    </row>
    <row r="74" spans="2:37" x14ac:dyDescent="0.25">
      <c r="B74" s="1"/>
      <c r="W74" s="2" t="e">
        <f>+#REF!</f>
        <v>#REF!</v>
      </c>
      <c r="X74" s="3" t="e">
        <f>+SUMIFS(#REF!,#REF!,"&lt;0")</f>
        <v>#REF!</v>
      </c>
      <c r="Y74" s="3" t="e">
        <f>+SUMIFS(#REF!,#REF!,"&gt;0")</f>
        <v>#REF!</v>
      </c>
      <c r="Z74" s="3" t="e">
        <f t="shared" si="28"/>
        <v>#REF!</v>
      </c>
      <c r="AB74" s="2"/>
      <c r="AC74" s="3" t="e">
        <f t="shared" si="29"/>
        <v>#DIV/0!</v>
      </c>
      <c r="AD74" s="3" t="e">
        <f t="shared" si="30"/>
        <v>#DIV/0!</v>
      </c>
      <c r="AE74" s="3"/>
      <c r="AH74" s="2">
        <f t="shared" si="13"/>
        <v>0</v>
      </c>
      <c r="AI74" s="4" t="e">
        <f t="shared" si="14"/>
        <v>#DIV/0!</v>
      </c>
      <c r="AJ74" s="4" t="e">
        <f t="shared" si="15"/>
        <v>#DIV/0!</v>
      </c>
      <c r="AK74" s="4">
        <f t="shared" si="16"/>
        <v>626564.0179685778</v>
      </c>
    </row>
    <row r="75" spans="2:37" x14ac:dyDescent="0.25">
      <c r="B75" s="1"/>
      <c r="W75" s="2" t="e">
        <f>+#REF!</f>
        <v>#REF!</v>
      </c>
      <c r="X75" s="3" t="e">
        <f>+SUMIFS(#REF!,#REF!,"&lt;0")</f>
        <v>#REF!</v>
      </c>
      <c r="Y75" s="3" t="e">
        <f>+SUMIFS(#REF!,#REF!,"&gt;0")</f>
        <v>#REF!</v>
      </c>
      <c r="Z75" s="3" t="e">
        <f t="shared" si="28"/>
        <v>#REF!</v>
      </c>
      <c r="AB75" s="2"/>
      <c r="AC75" s="3" t="e">
        <f t="shared" si="29"/>
        <v>#DIV/0!</v>
      </c>
      <c r="AD75" s="3" t="e">
        <f t="shared" si="30"/>
        <v>#DIV/0!</v>
      </c>
      <c r="AE75" s="3"/>
      <c r="AH75" s="2">
        <f t="shared" si="13"/>
        <v>0</v>
      </c>
      <c r="AI75" s="4" t="e">
        <f t="shared" si="14"/>
        <v>#DIV/0!</v>
      </c>
      <c r="AJ75" s="4" t="e">
        <f t="shared" si="15"/>
        <v>#DIV/0!</v>
      </c>
      <c r="AK75" s="4">
        <f t="shared" si="16"/>
        <v>626564.0179685778</v>
      </c>
    </row>
    <row r="76" spans="2:37" x14ac:dyDescent="0.25">
      <c r="B76" s="1">
        <v>46097.999988425923</v>
      </c>
      <c r="C76">
        <f>+SUMIFS(das_tank_inventories_daily!$M:$M,das_tank_inventories_daily!$C:$C,calculations!$B76,das_tank_inventories_daily!$H:$H,calculations!C$1)</f>
        <v>-2865.03887644325</v>
      </c>
      <c r="D76">
        <f>+SUMIFS(das_tank_inventories_daily!$M:$M,das_tank_inventories_daily!$C:$C,calculations!$B76,das_tank_inventories_daily!$H:$H,calculations!D$1)</f>
        <v>-5084.0177823054501</v>
      </c>
      <c r="E76">
        <f>+SUMIFS(das_tank_inventories_daily!$M:$M,das_tank_inventories_daily!$C:$C,calculations!$B76,das_tank_inventories_daily!$H:$H,calculations!E$1)</f>
        <v>-23152.133633408201</v>
      </c>
      <c r="F76">
        <f>+SUMIFS(das_tank_inventories_daily!$M:$M,das_tank_inventories_daily!$C:$C,calculations!$B76,das_tank_inventories_daily!$H:$H,calculations!F$1)</f>
        <v>393412.58580024599</v>
      </c>
      <c r="G76">
        <f>+SUMIFS(das_tank_inventories_daily!$M:$M,das_tank_inventories_daily!$C:$C,calculations!$B76,das_tank_inventories_daily!$H:$H,calculations!G$1)</f>
        <v>-13208.1307821681</v>
      </c>
      <c r="H76">
        <f>+SUMIFS(das_tank_inventories_daily!$M:$M,das_tank_inventories_daily!$C:$C,calculations!$B76,das_tank_inventories_daily!$H:$H,calculations!H$1)</f>
        <v>3095.17816882743</v>
      </c>
      <c r="I76">
        <f>+SUMIFS(das_tank_inventories_daily!$M:$M,das_tank_inventories_daily!$C:$C,calculations!$B76,das_tank_inventories_daily!$H:$H,calculations!I$1)</f>
        <v>68732.171595813503</v>
      </c>
      <c r="J76">
        <f>+SUMIFS(das_tank_inventories_daily!$M:$M,das_tank_inventories_daily!$C:$C,calculations!$B76,das_tank_inventories_daily!$H:$H,calculations!J$1)</f>
        <v>-23045.005042770801</v>
      </c>
      <c r="K76">
        <f>+SUMIFS(das_tank_inventories_daily!$M:$M,das_tank_inventories_daily!$C:$C,calculations!$B76,das_tank_inventories_daily!$H:$H,calculations!K$1)</f>
        <v>-29446.4552474583</v>
      </c>
      <c r="L76">
        <f>+SUMIFS(das_tank_inventories_daily!$M:$M,das_tank_inventories_daily!$C:$C,calculations!$B76,das_tank_inventories_daily!$H:$H,calculations!L$1)</f>
        <v>-4010.7010268838399</v>
      </c>
      <c r="M76">
        <f>+SUMIFS(das_tank_inventories_daily!$M:$M,das_tank_inventories_daily!$C:$C,calculations!$B76,das_tank_inventories_daily!$H:$H,calculations!M$1)</f>
        <v>-19485.5029668389</v>
      </c>
      <c r="N76">
        <f>+SUMIFS(das_tank_inventories_daily!$M:$M,das_tank_inventories_daily!$C:$C,calculations!$B76,das_tank_inventories_daily!$H:$H,calculations!N$1)</f>
        <v>-3536.1083773568898</v>
      </c>
      <c r="O76">
        <f>+SUMIFS(das_tank_inventories_daily!$M:$M,das_tank_inventories_daily!$C:$C,calculations!$B76,das_tank_inventories_daily!$H:$H,calculations!O$1)</f>
        <v>-69107.763816966297</v>
      </c>
      <c r="P76">
        <f>+SUMIFS(das_tank_inventories_daily!$M:$M,das_tank_inventories_daily!$C:$C,calculations!$B76,das_tank_inventories_daily!$H:$H,calculations!P$1)</f>
        <v>467569.53279635002</v>
      </c>
      <c r="Q76">
        <f>+SUMIFS(das_tank_inventories_daily!$M:$M,das_tank_inventories_daily!$C:$C,calculations!$B76,das_tank_inventories_daily!$H:$H,calculations!Q$1)</f>
        <v>0</v>
      </c>
      <c r="R76">
        <f>+SUMIFS(das_tank_inventories_daily!$M:$M,das_tank_inventories_daily!$C:$C,calculations!$B76,das_tank_inventories_daily!$H:$H,calculations!R$1)</f>
        <v>24355.3864867296</v>
      </c>
      <c r="S76">
        <f>+SUMIFS(das_tank_inventories_daily!$M:$M,das_tank_inventories_daily!$C:$C,calculations!$B76,das_tank_inventories_daily!$H:$H,calculations!S$1)</f>
        <v>-17173.231713110101</v>
      </c>
      <c r="T76">
        <f>+SUMIFS(das_tank_inventories_daily!$M:$M,das_tank_inventories_daily!$C:$C,calculations!$B76,das_tank_inventories_daily!$H:$H,calculations!T$1)</f>
        <v>3556.9242786886698</v>
      </c>
      <c r="U76">
        <f>+SUMIFS(das_tank_inventories_daily!$M:$M,das_tank_inventories_daily!$C:$C,calculations!$B76,das_tank_inventories_daily!$H:$H,calculations!U$1)</f>
        <v>89936.777861414099</v>
      </c>
      <c r="W76" s="2">
        <f>+B76</f>
        <v>46097.999988425923</v>
      </c>
      <c r="X76" s="3">
        <f>+SUMIFS(C76:U76,C76:U76,"&lt;0")</f>
        <v>-210114.08926571015</v>
      </c>
      <c r="Y76" s="3">
        <f>+SUMIFS(C76:U76,C76:U76,"&lt;0")</f>
        <v>-210114.08926571015</v>
      </c>
      <c r="Z76" s="3">
        <f t="shared" si="28"/>
        <v>-420228.1785314203</v>
      </c>
      <c r="AB76" s="2">
        <f>+B76</f>
        <v>46097.999988425923</v>
      </c>
      <c r="AC76" s="3">
        <f t="shared" si="29"/>
        <v>-70038.029755236712</v>
      </c>
      <c r="AD76" s="3">
        <f t="shared" si="30"/>
        <v>350219.51899602305</v>
      </c>
      <c r="AE76" s="3">
        <f t="shared" si="31"/>
        <v>280181.48924078635</v>
      </c>
      <c r="AH76" s="2">
        <f t="shared" si="13"/>
        <v>46097.999988425923</v>
      </c>
      <c r="AI76" s="4" t="e">
        <f>+AI75+AC76</f>
        <v>#DIV/0!</v>
      </c>
      <c r="AJ76" s="4" t="e">
        <f>+AJ75+AD76</f>
        <v>#DIV/0!</v>
      </c>
      <c r="AK76" s="4">
        <f>+AK75+AE76</f>
        <v>906745.50720936409</v>
      </c>
    </row>
    <row r="77" spans="2:37" x14ac:dyDescent="0.25">
      <c r="B77" s="1"/>
      <c r="W77" s="2" t="e">
        <f>+#REF!</f>
        <v>#REF!</v>
      </c>
      <c r="X77" s="3" t="e">
        <f>+SUMIFS(#REF!,#REF!,"&lt;0")</f>
        <v>#REF!</v>
      </c>
      <c r="Y77" s="3" t="e">
        <f>+SUMIFS(#REF!,#REF!,"&gt;0")</f>
        <v>#REF!</v>
      </c>
      <c r="Z77" s="3" t="e">
        <f t="shared" si="28"/>
        <v>#REF!</v>
      </c>
      <c r="AB77" s="2"/>
      <c r="AC77" s="3" t="e">
        <f t="shared" si="29"/>
        <v>#DIV/0!</v>
      </c>
      <c r="AD77" s="3" t="e">
        <f t="shared" si="30"/>
        <v>#DIV/0!</v>
      </c>
      <c r="AE77" s="3"/>
      <c r="AH77" s="2">
        <f t="shared" si="13"/>
        <v>0</v>
      </c>
      <c r="AI77" s="4" t="e">
        <f t="shared" si="14"/>
        <v>#DIV/0!</v>
      </c>
      <c r="AJ77" s="4" t="e">
        <f t="shared" si="15"/>
        <v>#DIV/0!</v>
      </c>
      <c r="AK77" s="4">
        <f t="shared" si="16"/>
        <v>906745.50720936409</v>
      </c>
    </row>
    <row r="78" spans="2:37" x14ac:dyDescent="0.25">
      <c r="B78" s="1"/>
      <c r="W78" s="2" t="e">
        <f>+#REF!</f>
        <v>#REF!</v>
      </c>
      <c r="X78" s="3" t="e">
        <f>+SUMIFS(#REF!,#REF!,"&lt;0")</f>
        <v>#REF!</v>
      </c>
      <c r="Y78" s="3" t="e">
        <f>+SUMIFS(#REF!,#REF!,"&gt;0")</f>
        <v>#REF!</v>
      </c>
      <c r="Z78" s="3" t="e">
        <f t="shared" si="28"/>
        <v>#REF!</v>
      </c>
      <c r="AB78" s="2"/>
      <c r="AC78" s="3" t="e">
        <f t="shared" si="29"/>
        <v>#DIV/0!</v>
      </c>
      <c r="AD78" s="3" t="e">
        <f t="shared" si="30"/>
        <v>#DIV/0!</v>
      </c>
      <c r="AE78" s="3"/>
      <c r="AH78" s="2">
        <f t="shared" si="13"/>
        <v>0</v>
      </c>
      <c r="AI78" s="4" t="e">
        <f t="shared" si="14"/>
        <v>#DIV/0!</v>
      </c>
      <c r="AJ78" s="4" t="e">
        <f t="shared" si="15"/>
        <v>#DIV/0!</v>
      </c>
      <c r="AK78" s="4">
        <f t="shared" si="16"/>
        <v>906745.50720936409</v>
      </c>
    </row>
    <row r="79" spans="2:37" x14ac:dyDescent="0.25">
      <c r="B79" s="1">
        <v>46100.999988425923</v>
      </c>
      <c r="C79">
        <f>+SUMIFS(das_tank_inventories_daily!$M:$M,das_tank_inventories_daily!$C:$C,calculations!$B79,das_tank_inventories_daily!$H:$H,calculations!C$1)</f>
        <v>2056.5900161907098</v>
      </c>
      <c r="D79">
        <f>+SUMIFS(das_tank_inventories_daily!$M:$M,das_tank_inventories_daily!$C:$C,calculations!$B79,das_tank_inventories_daily!$H:$H,calculations!D$1)</f>
        <v>4496.2641537405098</v>
      </c>
      <c r="E79">
        <f>+SUMIFS(das_tank_inventories_daily!$M:$M,das_tank_inventories_daily!$C:$C,calculations!$B79,das_tank_inventories_daily!$H:$H,calculations!E$1)</f>
        <v>20728.180638757</v>
      </c>
      <c r="F79">
        <f>+SUMIFS(das_tank_inventories_daily!$M:$M,das_tank_inventories_daily!$C:$C,calculations!$B79,das_tank_inventories_daily!$H:$H,calculations!F$1)</f>
        <v>0</v>
      </c>
      <c r="G79">
        <f>+SUMIFS(das_tank_inventories_daily!$M:$M,das_tank_inventories_daily!$C:$C,calculations!$B79,das_tank_inventories_daily!$H:$H,calculations!G$1)</f>
        <v>14244.307486923401</v>
      </c>
      <c r="H79">
        <f>+SUMIFS(das_tank_inventories_daily!$M:$M,das_tank_inventories_daily!$C:$C,calculations!$B79,das_tank_inventories_daily!$H:$H,calculations!H$1)</f>
        <v>7422.2486609505704</v>
      </c>
      <c r="I79">
        <f>+SUMIFS(das_tank_inventories_daily!$M:$M,das_tank_inventories_daily!$C:$C,calculations!$B79,das_tank_inventories_daily!$H:$H,calculations!I$1)</f>
        <v>3505.1736591979202</v>
      </c>
      <c r="J79">
        <f>+SUMIFS(das_tank_inventories_daily!$M:$M,das_tank_inventories_daily!$C:$C,calculations!$B79,das_tank_inventories_daily!$H:$H,calculations!J$1)</f>
        <v>24119.5223756909</v>
      </c>
      <c r="K79">
        <f>+SUMIFS(das_tank_inventories_daily!$M:$M,das_tank_inventories_daily!$C:$C,calculations!$B79,das_tank_inventories_daily!$H:$H,calculations!K$1)</f>
        <v>38033.355740126499</v>
      </c>
      <c r="L79">
        <f>+SUMIFS(das_tank_inventories_daily!$M:$M,das_tank_inventories_daily!$C:$C,calculations!$B79,das_tank_inventories_daily!$H:$H,calculations!L$1)</f>
        <v>2668.5268705133299</v>
      </c>
      <c r="M79">
        <f>+SUMIFS(das_tank_inventories_daily!$M:$M,das_tank_inventories_daily!$C:$C,calculations!$B79,das_tank_inventories_daily!$H:$H,calculations!M$1)</f>
        <v>23501.077141298701</v>
      </c>
      <c r="N79">
        <f>+SUMIFS(das_tank_inventories_daily!$M:$M,das_tank_inventories_daily!$C:$C,calculations!$B79,das_tank_inventories_daily!$H:$H,calculations!N$1)</f>
        <v>170.96477071783701</v>
      </c>
      <c r="O79">
        <f>+SUMIFS(das_tank_inventories_daily!$M:$M,das_tank_inventories_daily!$C:$C,calculations!$B79,das_tank_inventories_daily!$H:$H,calculations!O$1)</f>
        <v>-47014.181430250603</v>
      </c>
      <c r="P79">
        <f>+SUMIFS(das_tank_inventories_daily!$M:$M,das_tank_inventories_daily!$C:$C,calculations!$B79,das_tank_inventories_daily!$H:$H,calculations!P$1)</f>
        <v>-467569.53279635002</v>
      </c>
      <c r="Q79">
        <f>+SUMIFS(das_tank_inventories_daily!$M:$M,das_tank_inventories_daily!$C:$C,calculations!$B79,das_tank_inventories_daily!$H:$H,calculations!Q$1)</f>
        <v>0</v>
      </c>
      <c r="R79">
        <f>+SUMIFS(das_tank_inventories_daily!$M:$M,das_tank_inventories_daily!$C:$C,calculations!$B79,das_tank_inventories_daily!$H:$H,calculations!R$1)</f>
        <v>-26169.804550417899</v>
      </c>
      <c r="S79">
        <f>+SUMIFS(das_tank_inventories_daily!$M:$M,das_tank_inventories_daily!$C:$C,calculations!$B79,das_tank_inventories_daily!$H:$H,calculations!S$1)</f>
        <v>27501.285893353899</v>
      </c>
      <c r="T79">
        <f>+SUMIFS(das_tank_inventories_daily!$M:$M,das_tank_inventories_daily!$C:$C,calculations!$B79,das_tank_inventories_daily!$H:$H,calculations!T$1)</f>
        <v>-4036.8981184141498</v>
      </c>
      <c r="U79">
        <f>+SUMIFS(das_tank_inventories_daily!$M:$M,das_tank_inventories_daily!$C:$C,calculations!$B79,das_tank_inventories_daily!$H:$H,calculations!U$1)</f>
        <v>-78543.791290041496</v>
      </c>
      <c r="W79" s="2">
        <f>+B79</f>
        <v>46100.999988425923</v>
      </c>
      <c r="X79" s="3">
        <f>+SUMIFS(C79:U79,C79:U79,"&lt;0")</f>
        <v>-623334.20818547416</v>
      </c>
      <c r="Y79" s="3">
        <f>+SUMIFS(C79:U79,C79:U79,"&lt;0")</f>
        <v>-623334.20818547416</v>
      </c>
      <c r="Z79" s="3">
        <f t="shared" si="28"/>
        <v>-1246668.4163709483</v>
      </c>
      <c r="AB79" s="2">
        <f>+B79</f>
        <v>46100.999988425923</v>
      </c>
      <c r="AC79" s="3">
        <f t="shared" si="29"/>
        <v>-207778.06939515806</v>
      </c>
      <c r="AD79" s="3">
        <f t="shared" si="30"/>
        <v>56149.165802487092</v>
      </c>
      <c r="AE79" s="3">
        <f t="shared" si="31"/>
        <v>-151628.90359267098</v>
      </c>
      <c r="AH79" s="2">
        <f t="shared" si="13"/>
        <v>46100.999988425923</v>
      </c>
      <c r="AI79" s="4" t="e">
        <f>+AI78+AC79</f>
        <v>#DIV/0!</v>
      </c>
      <c r="AJ79" s="4" t="e">
        <f>+AJ78+AD79</f>
        <v>#DIV/0!</v>
      </c>
      <c r="AK79" s="4">
        <f>+AK78+AE79</f>
        <v>755116.60361669306</v>
      </c>
    </row>
    <row r="80" spans="2:37" x14ac:dyDescent="0.25">
      <c r="B80" s="1"/>
      <c r="AB80" s="2"/>
      <c r="AC80" s="3" t="e">
        <f t="shared" si="29"/>
        <v>#DIV/0!</v>
      </c>
      <c r="AD80" s="3" t="e">
        <f t="shared" si="30"/>
        <v>#DIV/0!</v>
      </c>
      <c r="AE80" s="3"/>
      <c r="AH80" s="2">
        <f t="shared" si="13"/>
        <v>0</v>
      </c>
      <c r="AI80" s="4" t="e">
        <f t="shared" si="14"/>
        <v>#DIV/0!</v>
      </c>
      <c r="AJ80" s="4" t="e">
        <f t="shared" si="15"/>
        <v>#DIV/0!</v>
      </c>
      <c r="AK80" s="4">
        <f t="shared" si="16"/>
        <v>755116.60361669306</v>
      </c>
    </row>
    <row r="81" spans="2:37" x14ac:dyDescent="0.25">
      <c r="B81" s="1"/>
      <c r="AB81" s="2"/>
      <c r="AC81" s="3" t="e">
        <f t="shared" si="29"/>
        <v>#DIV/0!</v>
      </c>
      <c r="AD81" s="3" t="e">
        <f t="shared" si="30"/>
        <v>#DIV/0!</v>
      </c>
      <c r="AE81" s="3"/>
      <c r="AH81" s="2">
        <f t="shared" si="13"/>
        <v>0</v>
      </c>
      <c r="AI81" s="4" t="e">
        <f t="shared" si="14"/>
        <v>#DIV/0!</v>
      </c>
      <c r="AJ81" s="4" t="e">
        <f t="shared" si="15"/>
        <v>#DIV/0!</v>
      </c>
      <c r="AK81" s="4">
        <f t="shared" si="16"/>
        <v>755116.60361669306</v>
      </c>
    </row>
    <row r="82" spans="2:37" x14ac:dyDescent="0.25">
      <c r="B82" s="1">
        <v>46103.999988425923</v>
      </c>
      <c r="C82">
        <f>+SUMIFS(das_tank_inventories_daily!$M:$M,das_tank_inventories_daily!$C:$C,calculations!$B82,das_tank_inventories_daily!$H:$H,calculations!C$1)</f>
        <v>-1627.7583152895299</v>
      </c>
      <c r="D82">
        <f>+SUMIFS(das_tank_inventories_daily!$M:$M,das_tank_inventories_daily!$C:$C,calculations!$B82,das_tank_inventories_daily!$H:$H,calculations!D$1)</f>
        <v>-6170.3588353933001</v>
      </c>
      <c r="E82">
        <f>+SUMIFS(das_tank_inventories_daily!$M:$M,das_tank_inventories_daily!$C:$C,calculations!$B82,das_tank_inventories_daily!$H:$H,calculations!E$1)</f>
        <v>-14285.9505260683</v>
      </c>
      <c r="F82">
        <f>+SUMIFS(das_tank_inventories_daily!$M:$M,das_tank_inventories_daily!$C:$C,calculations!$B82,das_tank_inventories_daily!$H:$H,calculations!F$1)</f>
        <v>0</v>
      </c>
      <c r="G82">
        <f>+SUMIFS(das_tank_inventories_daily!$M:$M,das_tank_inventories_daily!$C:$C,calculations!$B82,das_tank_inventories_daily!$H:$H,calculations!G$1)</f>
        <v>-6818.8337795181396</v>
      </c>
      <c r="H82">
        <f>+SUMIFS(das_tank_inventories_daily!$M:$M,das_tank_inventories_daily!$C:$C,calculations!$B82,das_tank_inventories_daily!$H:$H,calculations!H$1)</f>
        <v>-5019.10426541569</v>
      </c>
      <c r="I82">
        <f>+SUMIFS(das_tank_inventories_daily!$M:$M,das_tank_inventories_daily!$C:$C,calculations!$B82,das_tank_inventories_daily!$H:$H,calculations!I$1)</f>
        <v>4719.2827090650098</v>
      </c>
      <c r="J82">
        <f>+SUMIFS(das_tank_inventories_daily!$M:$M,das_tank_inventories_daily!$C:$C,calculations!$B82,das_tank_inventories_daily!$H:$H,calculations!J$1)</f>
        <v>-24073.1842624243</v>
      </c>
      <c r="K82">
        <f>+SUMIFS(das_tank_inventories_daily!$M:$M,das_tank_inventories_daily!$C:$C,calculations!$B82,das_tank_inventories_daily!$H:$H,calculations!K$1)</f>
        <v>-28401.361392749299</v>
      </c>
      <c r="L82">
        <f>+SUMIFS(das_tank_inventories_daily!$M:$M,das_tank_inventories_daily!$C:$C,calculations!$B82,das_tank_inventories_daily!$H:$H,calculations!L$1)</f>
        <v>-1108.6631116966801</v>
      </c>
      <c r="M82">
        <f>+SUMIFS(das_tank_inventories_daily!$M:$M,das_tank_inventories_daily!$C:$C,calculations!$B82,das_tank_inventories_daily!$H:$H,calculations!M$1)</f>
        <v>21860.946169661798</v>
      </c>
      <c r="N82">
        <f>+SUMIFS(das_tank_inventories_daily!$M:$M,das_tank_inventories_daily!$C:$C,calculations!$B82,das_tank_inventories_daily!$H:$H,calculations!N$1)</f>
        <v>-71115.353399744301</v>
      </c>
      <c r="O82">
        <f>+SUMIFS(das_tank_inventories_daily!$M:$M,das_tank_inventories_daily!$C:$C,calculations!$B82,das_tank_inventories_daily!$H:$H,calculations!O$1)</f>
        <v>-16171.2187204601</v>
      </c>
      <c r="P82">
        <f>+SUMIFS(das_tank_inventories_daily!$M:$M,das_tank_inventories_daily!$C:$C,calculations!$B82,das_tank_inventories_daily!$H:$H,calculations!P$1)</f>
        <v>467731.753960089</v>
      </c>
      <c r="Q82">
        <f>+SUMIFS(das_tank_inventories_daily!$M:$M,das_tank_inventories_daily!$C:$C,calculations!$B82,das_tank_inventories_daily!$H:$H,calculations!Q$1)</f>
        <v>0</v>
      </c>
      <c r="R82">
        <f>+SUMIFS(das_tank_inventories_daily!$M:$M,das_tank_inventories_daily!$C:$C,calculations!$B82,das_tank_inventories_daily!$H:$H,calculations!R$1)</f>
        <v>-620079.50923257496</v>
      </c>
      <c r="S82">
        <f>+SUMIFS(das_tank_inventories_daily!$M:$M,das_tank_inventories_daily!$C:$C,calculations!$B82,das_tank_inventories_daily!$H:$H,calculations!S$1)</f>
        <v>-14307.5760069109</v>
      </c>
      <c r="T82">
        <f>+SUMIFS(das_tank_inventories_daily!$M:$M,das_tank_inventories_daily!$C:$C,calculations!$B82,das_tank_inventories_daily!$H:$H,calculations!T$1)</f>
        <v>4081.6045092719701</v>
      </c>
      <c r="U82">
        <f>+SUMIFS(das_tank_inventories_daily!$M:$M,das_tank_inventories_daily!$C:$C,calculations!$B82,das_tank_inventories_daily!$H:$H,calculations!U$1)</f>
        <v>-17021.187356841401</v>
      </c>
      <c r="W82" s="2">
        <f>+B82</f>
        <v>46103.999988425923</v>
      </c>
      <c r="X82" s="3">
        <f>+SUMIFS(C82:U82,C82:U82,"&lt;0")</f>
        <v>-826200.0592050869</v>
      </c>
      <c r="Y82" s="3">
        <f>+SUMIFS(C82:U82,C82:U82,"&lt;0")</f>
        <v>-826200.0592050869</v>
      </c>
      <c r="Z82" s="3">
        <f t="shared" ref="Z82" si="32">+Y82+X82</f>
        <v>-1652400.1184101738</v>
      </c>
      <c r="AB82" s="2">
        <f>+B82</f>
        <v>46103.999988425923</v>
      </c>
      <c r="AC82" s="3">
        <f t="shared" si="29"/>
        <v>-275400.01973502897</v>
      </c>
      <c r="AD82" s="3">
        <f t="shared" si="30"/>
        <v>166131.19578269593</v>
      </c>
      <c r="AE82" s="3">
        <f t="shared" si="31"/>
        <v>-109268.82395233304</v>
      </c>
      <c r="AH82" s="2">
        <f t="shared" si="13"/>
        <v>46103.999988425923</v>
      </c>
      <c r="AI82" s="4" t="e">
        <f>+AI81+AC82</f>
        <v>#DIV/0!</v>
      </c>
      <c r="AJ82" s="4" t="e">
        <f>+AJ81+AD82</f>
        <v>#DIV/0!</v>
      </c>
      <c r="AK82" s="4">
        <f>+AK81+AE82</f>
        <v>645847.77966435999</v>
      </c>
    </row>
    <row r="83" spans="2:37" x14ac:dyDescent="0.25">
      <c r="B83" s="1"/>
      <c r="AB83" s="2"/>
      <c r="AC83" s="3" t="e">
        <f t="shared" si="29"/>
        <v>#DIV/0!</v>
      </c>
      <c r="AD83" s="3" t="e">
        <f t="shared" si="30"/>
        <v>#DIV/0!</v>
      </c>
      <c r="AE83" s="3"/>
      <c r="AH83" s="2">
        <f t="shared" si="13"/>
        <v>0</v>
      </c>
      <c r="AI83" s="4" t="e">
        <f t="shared" si="14"/>
        <v>#DIV/0!</v>
      </c>
      <c r="AJ83" s="4" t="e">
        <f t="shared" si="15"/>
        <v>#DIV/0!</v>
      </c>
      <c r="AK83" s="4">
        <f t="shared" si="16"/>
        <v>645847.77966435999</v>
      </c>
    </row>
    <row r="84" spans="2:37" x14ac:dyDescent="0.25">
      <c r="B84" s="1"/>
      <c r="AB84" s="2"/>
      <c r="AC84" s="3" t="e">
        <f t="shared" si="29"/>
        <v>#DIV/0!</v>
      </c>
      <c r="AD84" s="3" t="e">
        <f t="shared" si="30"/>
        <v>#DIV/0!</v>
      </c>
      <c r="AE84" s="3"/>
      <c r="AH84" s="2">
        <f t="shared" si="13"/>
        <v>0</v>
      </c>
      <c r="AI84" s="4" t="e">
        <f t="shared" si="14"/>
        <v>#DIV/0!</v>
      </c>
      <c r="AJ84" s="4" t="e">
        <f t="shared" si="15"/>
        <v>#DIV/0!</v>
      </c>
      <c r="AK84" s="4">
        <f t="shared" si="16"/>
        <v>645847.77966435999</v>
      </c>
    </row>
    <row r="85" spans="2:37" x14ac:dyDescent="0.25">
      <c r="B85" s="1">
        <v>46106.999988425923</v>
      </c>
      <c r="C85">
        <f>+SUMIFS(das_tank_inventories_daily!$M:$M,das_tank_inventories_daily!$C:$C,calculations!$B85,das_tank_inventories_daily!$H:$H,calculations!C$1)</f>
        <v>1604.85342065701</v>
      </c>
      <c r="D85">
        <f>+SUMIFS(das_tank_inventories_daily!$M:$M,das_tank_inventories_daily!$C:$C,calculations!$B85,das_tank_inventories_daily!$H:$H,calculations!D$1)</f>
        <v>5352.0712695817601</v>
      </c>
      <c r="E85">
        <f>+SUMIFS(das_tank_inventories_daily!$M:$M,das_tank_inventories_daily!$C:$C,calculations!$B85,das_tank_inventories_daily!$H:$H,calculations!E$1)</f>
        <v>-16914.323706560099</v>
      </c>
      <c r="F85">
        <f>+SUMIFS(das_tank_inventories_daily!$M:$M,das_tank_inventories_daily!$C:$C,calculations!$B85,das_tank_inventories_daily!$H:$H,calculations!F$1)</f>
        <v>-486114.54266645201</v>
      </c>
      <c r="G85">
        <f>+SUMIFS(das_tank_inventories_daily!$M:$M,das_tank_inventories_daily!$C:$C,calculations!$B85,das_tank_inventories_daily!$H:$H,calculations!G$1)</f>
        <v>4902.77259949164</v>
      </c>
      <c r="H85">
        <f>+SUMIFS(das_tank_inventories_daily!$M:$M,das_tank_inventories_daily!$C:$C,calculations!$B85,das_tank_inventories_daily!$H:$H,calculations!H$1)</f>
        <v>5496.8177658737404</v>
      </c>
      <c r="I85">
        <f>+SUMIFS(das_tank_inventories_daily!$M:$M,das_tank_inventories_daily!$C:$C,calculations!$B85,das_tank_inventories_daily!$H:$H,calculations!I$1)</f>
        <v>-17234.125331820102</v>
      </c>
      <c r="J85">
        <f>+SUMIFS(das_tank_inventories_daily!$M:$M,das_tank_inventories_daily!$C:$C,calculations!$B85,das_tank_inventories_daily!$H:$H,calculations!J$1)</f>
        <v>15683.0485027347</v>
      </c>
      <c r="K85">
        <f>+SUMIFS(das_tank_inventories_daily!$M:$M,das_tank_inventories_daily!$C:$C,calculations!$B85,das_tank_inventories_daily!$H:$H,calculations!K$1)</f>
        <v>21527.589146549901</v>
      </c>
      <c r="L85">
        <f>+SUMIFS(das_tank_inventories_daily!$M:$M,das_tank_inventories_daily!$C:$C,calculations!$B85,das_tank_inventories_daily!$H:$H,calculations!L$1)</f>
        <v>-1279.4762090161901</v>
      </c>
      <c r="M85">
        <f>+SUMIFS(das_tank_inventories_daily!$M:$M,das_tank_inventories_daily!$C:$C,calculations!$B85,das_tank_inventories_daily!$H:$H,calculations!M$1)</f>
        <v>-24804.7150452483</v>
      </c>
      <c r="N85">
        <f>+SUMIFS(das_tank_inventories_daily!$M:$M,das_tank_inventories_daily!$C:$C,calculations!$B85,das_tank_inventories_daily!$H:$H,calculations!N$1)</f>
        <v>-29202.987675406701</v>
      </c>
      <c r="O85">
        <f>+SUMIFS(das_tank_inventories_daily!$M:$M,das_tank_inventories_daily!$C:$C,calculations!$B85,das_tank_inventories_daily!$H:$H,calculations!O$1)</f>
        <v>9945.5480018504295</v>
      </c>
      <c r="P85">
        <f>+SUMIFS(das_tank_inventories_daily!$M:$M,das_tank_inventories_daily!$C:$C,calculations!$B85,das_tank_inventories_daily!$H:$H,calculations!P$1)</f>
        <v>-8086.3595320628301</v>
      </c>
      <c r="Q85">
        <f>+SUMIFS(das_tank_inventories_daily!$M:$M,das_tank_inventories_daily!$C:$C,calculations!$B85,das_tank_inventories_daily!$H:$H,calculations!Q$1)</f>
        <v>0</v>
      </c>
      <c r="R85">
        <f>+SUMIFS(das_tank_inventories_daily!$M:$M,das_tank_inventories_daily!$C:$C,calculations!$B85,das_tank_inventories_daily!$H:$H,calculations!R$1)</f>
        <v>618586.60176223004</v>
      </c>
      <c r="S85">
        <f>+SUMIFS(das_tank_inventories_daily!$M:$M,das_tank_inventories_daily!$C:$C,calculations!$B85,das_tank_inventories_daily!$H:$H,calculations!S$1)</f>
        <v>7963.1218509508699</v>
      </c>
      <c r="T85">
        <f>+SUMIFS(das_tank_inventories_daily!$M:$M,das_tank_inventories_daily!$C:$C,calculations!$B85,das_tank_inventories_daily!$H:$H,calculations!T$1)</f>
        <v>-5093.4013376692301</v>
      </c>
      <c r="U85">
        <f>+SUMIFS(das_tank_inventories_daily!$M:$M,das_tank_inventories_daily!$C:$C,calculations!$B85,das_tank_inventories_daily!$H:$H,calculations!U$1)</f>
        <v>21489.9454427827</v>
      </c>
      <c r="W85" s="2">
        <f>+B85</f>
        <v>46106.999988425923</v>
      </c>
      <c r="X85" s="3">
        <f>+SUMIFS(C85:U85,C85:U85,"&lt;0")</f>
        <v>-588729.93150423537</v>
      </c>
      <c r="Y85" s="3">
        <f>+SUMIFS(C85:U85,C85:U85,"&lt;0")</f>
        <v>-588729.93150423537</v>
      </c>
      <c r="Z85" s="3">
        <f t="shared" ref="Z85" si="33">+Y85+X85</f>
        <v>-1177459.8630084707</v>
      </c>
      <c r="AB85" s="2">
        <f>+B85</f>
        <v>46106.999988425923</v>
      </c>
      <c r="AC85" s="3">
        <f t="shared" si="29"/>
        <v>-196243.31050141179</v>
      </c>
      <c r="AD85" s="3">
        <f t="shared" si="30"/>
        <v>237517.45658756761</v>
      </c>
      <c r="AE85" s="3">
        <f t="shared" si="31"/>
        <v>41274.146086155815</v>
      </c>
      <c r="AH85" s="2">
        <f t="shared" si="13"/>
        <v>46106.999988425923</v>
      </c>
      <c r="AI85" s="4" t="e">
        <f>+AI84+AC85</f>
        <v>#DIV/0!</v>
      </c>
      <c r="AJ85" s="4" t="e">
        <f>+AJ84+AD85</f>
        <v>#DIV/0!</v>
      </c>
      <c r="AK85" s="4">
        <f>+AK84+AE85</f>
        <v>687121.92575051577</v>
      </c>
    </row>
    <row r="86" spans="2:37" x14ac:dyDescent="0.25">
      <c r="B86" s="1"/>
      <c r="AB86" s="2"/>
      <c r="AC86" s="3" t="e">
        <f t="shared" si="29"/>
        <v>#DIV/0!</v>
      </c>
      <c r="AD86" s="3" t="e">
        <f t="shared" si="30"/>
        <v>#DIV/0!</v>
      </c>
      <c r="AE86" s="3"/>
      <c r="AH86" s="2">
        <f t="shared" si="13"/>
        <v>0</v>
      </c>
      <c r="AI86" s="4" t="e">
        <f t="shared" si="14"/>
        <v>#DIV/0!</v>
      </c>
      <c r="AJ86" s="4" t="e">
        <f t="shared" si="15"/>
        <v>#DIV/0!</v>
      </c>
      <c r="AK86" s="4">
        <f t="shared" si="16"/>
        <v>687121.92575051577</v>
      </c>
    </row>
    <row r="87" spans="2:37" x14ac:dyDescent="0.25">
      <c r="B87" s="1"/>
      <c r="AB87" s="2"/>
      <c r="AC87" s="3" t="e">
        <f t="shared" si="29"/>
        <v>#DIV/0!</v>
      </c>
      <c r="AD87" s="3" t="e">
        <f t="shared" si="30"/>
        <v>#DIV/0!</v>
      </c>
      <c r="AE87" s="3"/>
      <c r="AH87" s="2">
        <f t="shared" si="13"/>
        <v>0</v>
      </c>
      <c r="AI87" s="4" t="e">
        <f t="shared" si="14"/>
        <v>#DIV/0!</v>
      </c>
      <c r="AJ87" s="4" t="e">
        <f t="shared" si="15"/>
        <v>#DIV/0!</v>
      </c>
      <c r="AK87" s="4">
        <f t="shared" si="16"/>
        <v>687121.92575051577</v>
      </c>
    </row>
    <row r="88" spans="2:37" x14ac:dyDescent="0.25">
      <c r="B88" s="1">
        <v>46109.999988425923</v>
      </c>
      <c r="C88">
        <f>+SUMIFS(das_tank_inventories_daily!$M:$M,das_tank_inventories_daily!$C:$C,calculations!$B88,das_tank_inventories_daily!$H:$H,calculations!C$1)</f>
        <v>-107.472937254351</v>
      </c>
      <c r="D88">
        <f>+SUMIFS(das_tank_inventories_daily!$M:$M,das_tank_inventories_daily!$C:$C,calculations!$B88,das_tank_inventories_daily!$H:$H,calculations!D$1)</f>
        <v>-4266.5958527811999</v>
      </c>
      <c r="E88">
        <f>+SUMIFS(das_tank_inventories_daily!$M:$M,das_tank_inventories_daily!$C:$C,calculations!$B88,das_tank_inventories_daily!$H:$H,calculations!E$1)</f>
        <v>-260419.36182245699</v>
      </c>
      <c r="F88">
        <f>+SUMIFS(das_tank_inventories_daily!$M:$M,das_tank_inventories_daily!$C:$C,calculations!$B88,das_tank_inventories_daily!$H:$H,calculations!F$1)</f>
        <v>486114.54266645201</v>
      </c>
      <c r="G88">
        <f>+SUMIFS(das_tank_inventories_daily!$M:$M,das_tank_inventories_daily!$C:$C,calculations!$B88,das_tank_inventories_daily!$H:$H,calculations!G$1)</f>
        <v>-8242.9594350693496</v>
      </c>
      <c r="H88">
        <f>+SUMIFS(das_tank_inventories_daily!$M:$M,das_tank_inventories_daily!$C:$C,calculations!$B88,das_tank_inventories_daily!$H:$H,calculations!H$1)</f>
        <v>-4615.1133426208899</v>
      </c>
      <c r="I88">
        <f>+SUMIFS(das_tank_inventories_daily!$M:$M,das_tank_inventories_daily!$C:$C,calculations!$B88,das_tank_inventories_daily!$H:$H,calculations!I$1)</f>
        <v>5772.9964849917997</v>
      </c>
      <c r="J88">
        <f>+SUMIFS(das_tank_inventories_daily!$M:$M,das_tank_inventories_daily!$C:$C,calculations!$B88,das_tank_inventories_daily!$H:$H,calculations!J$1)</f>
        <v>-14853.0896094279</v>
      </c>
      <c r="K88">
        <f>+SUMIFS(das_tank_inventories_daily!$M:$M,das_tank_inventories_daily!$C:$C,calculations!$B88,das_tank_inventories_daily!$H:$H,calculations!K$1)</f>
        <v>-56617.016050866798</v>
      </c>
      <c r="L88">
        <f>+SUMIFS(das_tank_inventories_daily!$M:$M,das_tank_inventories_daily!$C:$C,calculations!$B88,das_tank_inventories_daily!$H:$H,calculations!L$1)</f>
        <v>2219.71072303046</v>
      </c>
      <c r="M88">
        <f>+SUMIFS(das_tank_inventories_daily!$M:$M,das_tank_inventories_daily!$C:$C,calculations!$B88,das_tank_inventories_daily!$H:$H,calculations!M$1)</f>
        <v>-95498.234391389095</v>
      </c>
      <c r="N88">
        <f>+SUMIFS(das_tank_inventories_daily!$M:$M,das_tank_inventories_daily!$C:$C,calculations!$B88,das_tank_inventories_daily!$H:$H,calculations!N$1)</f>
        <v>-11140.9103313941</v>
      </c>
      <c r="O88">
        <f>+SUMIFS(das_tank_inventories_daily!$M:$M,das_tank_inventories_daily!$C:$C,calculations!$B88,das_tank_inventories_daily!$H:$H,calculations!O$1)</f>
        <v>-18233.989930176202</v>
      </c>
      <c r="P88">
        <f>+SUMIFS(das_tank_inventories_daily!$M:$M,das_tank_inventories_daily!$C:$C,calculations!$B88,das_tank_inventories_daily!$H:$H,calculations!P$1)</f>
        <v>8413.7442581119194</v>
      </c>
      <c r="Q88">
        <f>+SUMIFS(das_tank_inventories_daily!$M:$M,das_tank_inventories_daily!$C:$C,calculations!$B88,das_tank_inventories_daily!$H:$H,calculations!Q$1)</f>
        <v>0</v>
      </c>
      <c r="R88">
        <f>+SUMIFS(das_tank_inventories_daily!$M:$M,das_tank_inventories_daily!$C:$C,calculations!$B88,das_tank_inventories_daily!$H:$H,calculations!R$1)</f>
        <v>41595.506151415801</v>
      </c>
      <c r="S88">
        <f>+SUMIFS(das_tank_inventories_daily!$M:$M,das_tank_inventories_daily!$C:$C,calculations!$B88,das_tank_inventories_daily!$H:$H,calculations!S$1)</f>
        <v>-3650.90756989992</v>
      </c>
      <c r="T88">
        <f>+SUMIFS(das_tank_inventories_daily!$M:$M,das_tank_inventories_daily!$C:$C,calculations!$B88,das_tank_inventories_daily!$H:$H,calculations!T$1)</f>
        <v>4947.1554052024703</v>
      </c>
      <c r="U88">
        <f>+SUMIFS(das_tank_inventories_daily!$M:$M,das_tank_inventories_daily!$C:$C,calculations!$B88,das_tank_inventories_daily!$H:$H,calculations!U$1)</f>
        <v>-26428.741668015598</v>
      </c>
      <c r="W88" s="2">
        <f>+B88</f>
        <v>46109.999988425923</v>
      </c>
      <c r="X88" s="3">
        <f>+SUMIFS(C88:U88,C88:U88,"&lt;0")</f>
        <v>-504074.39294135239</v>
      </c>
      <c r="Y88" s="3">
        <f>+SUMIFS(C88:U88,C88:U88,"&lt;0")</f>
        <v>-504074.39294135239</v>
      </c>
      <c r="Z88" s="3">
        <f t="shared" ref="Z88" si="34">+Y88+X88</f>
        <v>-1008148.7858827048</v>
      </c>
      <c r="AB88" s="2">
        <f>+B88</f>
        <v>46109.999988425923</v>
      </c>
      <c r="AC88" s="3">
        <f t="shared" si="29"/>
        <v>-168024.79764711746</v>
      </c>
      <c r="AD88" s="3">
        <f t="shared" si="30"/>
        <v>183021.21856306811</v>
      </c>
      <c r="AE88" s="3">
        <f t="shared" si="31"/>
        <v>14996.420915950643</v>
      </c>
      <c r="AH88" s="2">
        <f t="shared" si="13"/>
        <v>46109.999988425923</v>
      </c>
      <c r="AI88" s="4" t="e">
        <f>+AI87+AC88</f>
        <v>#DIV/0!</v>
      </c>
      <c r="AJ88" s="4" t="e">
        <f>+AJ87+AD88</f>
        <v>#DIV/0!</v>
      </c>
      <c r="AK88" s="4">
        <f>+AK87+AE88</f>
        <v>702118.34666646644</v>
      </c>
    </row>
    <row r="89" spans="2:37" x14ac:dyDescent="0.25">
      <c r="B89" s="1"/>
      <c r="AB89" s="2"/>
      <c r="AC89" s="3" t="e">
        <f t="shared" si="29"/>
        <v>#DIV/0!</v>
      </c>
      <c r="AD89" s="3" t="e">
        <f t="shared" si="30"/>
        <v>#DIV/0!</v>
      </c>
      <c r="AE89" s="3"/>
      <c r="AH89" s="2">
        <f t="shared" si="13"/>
        <v>0</v>
      </c>
      <c r="AI89" s="4" t="e">
        <f t="shared" si="14"/>
        <v>#DIV/0!</v>
      </c>
      <c r="AJ89" s="4" t="e">
        <f t="shared" si="15"/>
        <v>#DIV/0!</v>
      </c>
      <c r="AK89" s="4">
        <f t="shared" si="16"/>
        <v>702118.34666646644</v>
      </c>
    </row>
    <row r="90" spans="2:37" x14ac:dyDescent="0.25">
      <c r="B90" s="1"/>
      <c r="AB90" s="2"/>
      <c r="AC90" s="3" t="e">
        <f t="shared" si="29"/>
        <v>#DIV/0!</v>
      </c>
      <c r="AD90" s="3" t="e">
        <f t="shared" si="30"/>
        <v>#DIV/0!</v>
      </c>
      <c r="AE90" s="3"/>
      <c r="AH90" s="2">
        <f t="shared" si="13"/>
        <v>0</v>
      </c>
      <c r="AI90" s="4" t="e">
        <f t="shared" si="14"/>
        <v>#DIV/0!</v>
      </c>
      <c r="AJ90" s="4" t="e">
        <f t="shared" si="15"/>
        <v>#DIV/0!</v>
      </c>
      <c r="AK90" s="4">
        <f t="shared" si="16"/>
        <v>702118.34666646644</v>
      </c>
    </row>
    <row r="91" spans="2:37" x14ac:dyDescent="0.25">
      <c r="B91" s="1">
        <v>46112.999988425923</v>
      </c>
      <c r="C91">
        <f>+SUMIFS(das_tank_inventories_daily!$M:$M,das_tank_inventories_daily!$C:$C,calculations!$B91,das_tank_inventories_daily!$H:$H,calculations!C$1)</f>
        <v>440.64023970355601</v>
      </c>
      <c r="D91">
        <f>+SUMIFS(das_tank_inventories_daily!$M:$M,das_tank_inventories_daily!$C:$C,calculations!$B91,das_tank_inventories_daily!$H:$H,calculations!D$1)</f>
        <v>3538.1372864596701</v>
      </c>
      <c r="E91">
        <f>+SUMIFS(das_tank_inventories_daily!$M:$M,das_tank_inventories_daily!$C:$C,calculations!$B91,das_tank_inventories_daily!$H:$H,calculations!E$1)</f>
        <v>-156217.62814997201</v>
      </c>
      <c r="F91">
        <f>+SUMIFS(das_tank_inventories_daily!$M:$M,das_tank_inventories_daily!$C:$C,calculations!$B91,das_tank_inventories_daily!$H:$H,calculations!F$1)</f>
        <v>0</v>
      </c>
      <c r="G91">
        <f>+SUMIFS(das_tank_inventories_daily!$M:$M,das_tank_inventories_daily!$C:$C,calculations!$B91,das_tank_inventories_daily!$H:$H,calculations!G$1)</f>
        <v>16997.548403024401</v>
      </c>
      <c r="H91">
        <f>+SUMIFS(das_tank_inventories_daily!$M:$M,das_tank_inventories_daily!$C:$C,calculations!$B91,das_tank_inventories_daily!$H:$H,calculations!H$1)</f>
        <v>-42029.345723163598</v>
      </c>
      <c r="I91">
        <f>+SUMIFS(das_tank_inventories_daily!$M:$M,das_tank_inventories_daily!$C:$C,calculations!$B91,das_tank_inventories_daily!$H:$H,calculations!I$1)</f>
        <v>-5758.1820169304801</v>
      </c>
      <c r="J91">
        <f>+SUMIFS(das_tank_inventories_daily!$M:$M,das_tank_inventories_daily!$C:$C,calculations!$B91,das_tank_inventories_daily!$H:$H,calculations!J$1)</f>
        <v>27341.5771367372</v>
      </c>
      <c r="K91">
        <f>+SUMIFS(das_tank_inventories_daily!$M:$M,das_tank_inventories_daily!$C:$C,calculations!$B91,das_tank_inventories_daily!$H:$H,calculations!K$1)</f>
        <v>58292.739059082502</v>
      </c>
      <c r="L91">
        <f>+SUMIFS(das_tank_inventories_daily!$M:$M,das_tank_inventories_daily!$C:$C,calculations!$B91,das_tank_inventories_daily!$H:$H,calculations!L$1)</f>
        <v>-288.43971647004901</v>
      </c>
      <c r="M91">
        <f>+SUMIFS(das_tank_inventories_daily!$M:$M,das_tank_inventories_daily!$C:$C,calculations!$B91,das_tank_inventories_daily!$H:$H,calculations!M$1)</f>
        <v>103387.955153106</v>
      </c>
      <c r="N91">
        <f>+SUMIFS(das_tank_inventories_daily!$M:$M,das_tank_inventories_daily!$C:$C,calculations!$B91,das_tank_inventories_daily!$H:$H,calculations!N$1)</f>
        <v>-183264.53711491599</v>
      </c>
      <c r="O91">
        <f>+SUMIFS(das_tank_inventories_daily!$M:$M,das_tank_inventories_daily!$C:$C,calculations!$B91,das_tank_inventories_daily!$H:$H,calculations!O$1)</f>
        <v>-303736.24881845701</v>
      </c>
      <c r="P91">
        <f>+SUMIFS(das_tank_inventories_daily!$M:$M,das_tank_inventories_daily!$C:$C,calculations!$B91,das_tank_inventories_daily!$H:$H,calculations!P$1)</f>
        <v>-9904.0795876698594</v>
      </c>
      <c r="Q91">
        <f>+SUMIFS(das_tank_inventories_daily!$M:$M,das_tank_inventories_daily!$C:$C,calculations!$B91,das_tank_inventories_daily!$H:$H,calculations!Q$1)</f>
        <v>0</v>
      </c>
      <c r="R91">
        <f>+SUMIFS(das_tank_inventories_daily!$M:$M,das_tank_inventories_daily!$C:$C,calculations!$B91,das_tank_inventories_daily!$H:$H,calculations!R$1)</f>
        <v>-40525.427988289601</v>
      </c>
      <c r="S91">
        <f>+SUMIFS(das_tank_inventories_daily!$M:$M,das_tank_inventories_daily!$C:$C,calculations!$B91,das_tank_inventories_daily!$H:$H,calculations!S$1)</f>
        <v>1149.43509816855</v>
      </c>
      <c r="T91">
        <f>+SUMIFS(das_tank_inventories_daily!$M:$M,das_tank_inventories_daily!$C:$C,calculations!$B91,das_tank_inventories_daily!$H:$H,calculations!T$1)</f>
        <v>-2085.5761200746001</v>
      </c>
      <c r="U91">
        <f>+SUMIFS(das_tank_inventories_daily!$M:$M,das_tank_inventories_daily!$C:$C,calculations!$B91,das_tank_inventories_daily!$H:$H,calculations!U$1)</f>
        <v>-250399.99401551401</v>
      </c>
      <c r="W91" s="2">
        <f>+B91</f>
        <v>46112.999988425923</v>
      </c>
      <c r="X91" s="3">
        <f>+SUMIFS(C91:U91,C91:U91,"&lt;0")</f>
        <v>-994209.45925145724</v>
      </c>
      <c r="Y91" s="3">
        <f>+SUMIFS(C91:U91,C91:U91,"&lt;0")</f>
        <v>-994209.45925145724</v>
      </c>
      <c r="Z91" s="3">
        <f t="shared" ref="Z91" si="35">+Y91+X91</f>
        <v>-1988418.9185029145</v>
      </c>
      <c r="AB91" s="2">
        <f>+B91</f>
        <v>46112.999988425923</v>
      </c>
      <c r="AC91" s="3">
        <f t="shared" si="29"/>
        <v>-331403.15308381908</v>
      </c>
      <c r="AD91" s="3">
        <f t="shared" si="30"/>
        <v>70382.67745876062</v>
      </c>
      <c r="AE91" s="3">
        <f t="shared" si="31"/>
        <v>-261020.47562505846</v>
      </c>
      <c r="AH91" s="2">
        <f t="shared" si="13"/>
        <v>46112.999988425923</v>
      </c>
      <c r="AI91" s="4" t="e">
        <f>+AI90+AC91</f>
        <v>#DIV/0!</v>
      </c>
      <c r="AJ91" s="4" t="e">
        <f>+AJ90+AD91</f>
        <v>#DIV/0!</v>
      </c>
      <c r="AK91" s="4">
        <f>+AK90+AE91</f>
        <v>441097.87104140798</v>
      </c>
    </row>
    <row r="92" spans="2:37" x14ac:dyDescent="0.25">
      <c r="B92" s="1"/>
      <c r="AB92" s="2"/>
      <c r="AC92" s="3" t="e">
        <f t="shared" si="29"/>
        <v>#DIV/0!</v>
      </c>
      <c r="AD92" s="3" t="e">
        <f t="shared" si="30"/>
        <v>#DIV/0!</v>
      </c>
      <c r="AE92" s="3"/>
      <c r="AH92" s="2">
        <f t="shared" si="13"/>
        <v>0</v>
      </c>
      <c r="AI92" s="4" t="e">
        <f t="shared" si="14"/>
        <v>#DIV/0!</v>
      </c>
      <c r="AJ92" s="4" t="e">
        <f t="shared" si="15"/>
        <v>#DIV/0!</v>
      </c>
      <c r="AK92" s="4">
        <f t="shared" si="16"/>
        <v>441097.87104140798</v>
      </c>
    </row>
    <row r="93" spans="2:37" x14ac:dyDescent="0.25">
      <c r="B93" s="1"/>
      <c r="AB93" s="2"/>
      <c r="AC93" s="3" t="e">
        <f t="shared" si="29"/>
        <v>#DIV/0!</v>
      </c>
      <c r="AD93" s="3" t="e">
        <f t="shared" si="30"/>
        <v>#DIV/0!</v>
      </c>
      <c r="AE93" s="3"/>
      <c r="AH93" s="2">
        <f t="shared" si="13"/>
        <v>0</v>
      </c>
      <c r="AI93" s="4" t="e">
        <f t="shared" si="14"/>
        <v>#DIV/0!</v>
      </c>
      <c r="AJ93" s="4" t="e">
        <f t="shared" si="15"/>
        <v>#DIV/0!</v>
      </c>
      <c r="AK93" s="4">
        <f t="shared" si="16"/>
        <v>441097.87104140798</v>
      </c>
    </row>
    <row r="94" spans="2:37" x14ac:dyDescent="0.25">
      <c r="B94" s="1">
        <v>46115.999988425923</v>
      </c>
      <c r="C94">
        <f>+SUMIFS(das_tank_inventories_daily!$M:$M,das_tank_inventories_daily!$C:$C,calculations!$B94,das_tank_inventories_daily!$H:$H,calculations!C$1)</f>
        <v>-4267.22770222491</v>
      </c>
      <c r="D94">
        <f>+SUMIFS(das_tank_inventories_daily!$M:$M,das_tank_inventories_daily!$C:$C,calculations!$B94,das_tank_inventories_daily!$H:$H,calculations!D$1)</f>
        <v>-4642.4728452407498</v>
      </c>
      <c r="E94">
        <f>+SUMIFS(das_tank_inventories_daily!$M:$M,das_tank_inventories_daily!$C:$C,calculations!$B94,das_tank_inventories_daily!$H:$H,calculations!E$1)</f>
        <v>259304.719358128</v>
      </c>
      <c r="F94">
        <f>+SUMIFS(das_tank_inventories_daily!$M:$M,das_tank_inventories_daily!$C:$C,calculations!$B94,das_tank_inventories_daily!$H:$H,calculations!F$1)</f>
        <v>0</v>
      </c>
      <c r="G94">
        <f>+SUMIFS(das_tank_inventories_daily!$M:$M,das_tank_inventories_daily!$C:$C,calculations!$B94,das_tank_inventories_daily!$H:$H,calculations!G$1)</f>
        <v>-12293.992898168201</v>
      </c>
      <c r="H94">
        <f>+SUMIFS(das_tank_inventories_daily!$M:$M,das_tank_inventories_daily!$C:$C,calculations!$B94,das_tank_inventories_daily!$H:$H,calculations!H$1)</f>
        <v>46292.103052284598</v>
      </c>
      <c r="I94">
        <f>+SUMIFS(das_tank_inventories_daily!$M:$M,das_tank_inventories_daily!$C:$C,calculations!$B94,das_tank_inventories_daily!$H:$H,calculations!I$1)</f>
        <v>9406.4133834183995</v>
      </c>
      <c r="J94">
        <f>+SUMIFS(das_tank_inventories_daily!$M:$M,das_tank_inventories_daily!$C:$C,calculations!$B94,das_tank_inventories_daily!$H:$H,calculations!J$1)</f>
        <v>-24745.649288577701</v>
      </c>
      <c r="K94">
        <f>+SUMIFS(das_tank_inventories_daily!$M:$M,das_tank_inventories_daily!$C:$C,calculations!$B94,das_tank_inventories_daily!$H:$H,calculations!K$1)</f>
        <v>-74180.970913161902</v>
      </c>
      <c r="L94">
        <f>+SUMIFS(das_tank_inventories_daily!$M:$M,das_tank_inventories_daily!$C:$C,calculations!$B94,das_tank_inventories_daily!$H:$H,calculations!L$1)</f>
        <v>-997.30445801522001</v>
      </c>
      <c r="M94">
        <f>+SUMIFS(das_tank_inventories_daily!$M:$M,das_tank_inventories_daily!$C:$C,calculations!$B94,das_tank_inventories_daily!$H:$H,calculations!M$1)</f>
        <v>-8068.8903023549001</v>
      </c>
      <c r="N94">
        <f>+SUMIFS(das_tank_inventories_daily!$M:$M,das_tank_inventories_daily!$C:$C,calculations!$B94,das_tank_inventories_daily!$H:$H,calculations!N$1)</f>
        <v>296919.72900797398</v>
      </c>
      <c r="O94">
        <f>+SUMIFS(das_tank_inventories_daily!$M:$M,das_tank_inventories_daily!$C:$C,calculations!$B94,das_tank_inventories_daily!$H:$H,calculations!O$1)</f>
        <v>217184.08186139201</v>
      </c>
      <c r="P94">
        <f>+SUMIFS(das_tank_inventories_daily!$M:$M,das_tank_inventories_daily!$C:$C,calculations!$B94,das_tank_inventories_daily!$H:$H,calculations!P$1)</f>
        <v>7324.4191502336698</v>
      </c>
      <c r="Q94">
        <f>+SUMIFS(das_tank_inventories_daily!$M:$M,das_tank_inventories_daily!$C:$C,calculations!$B94,das_tank_inventories_daily!$H:$H,calculations!Q$1)</f>
        <v>0</v>
      </c>
      <c r="R94">
        <f>+SUMIFS(das_tank_inventories_daily!$M:$M,das_tank_inventories_daily!$C:$C,calculations!$B94,das_tank_inventories_daily!$H:$H,calculations!R$1)</f>
        <v>35961.800292478802</v>
      </c>
      <c r="S94">
        <f>+SUMIFS(das_tank_inventories_daily!$M:$M,das_tank_inventories_daily!$C:$C,calculations!$B94,das_tank_inventories_daily!$H:$H,calculations!S$1)</f>
        <v>-5613.4377135873601</v>
      </c>
      <c r="T94">
        <f>+SUMIFS(das_tank_inventories_daily!$M:$M,das_tank_inventories_daily!$C:$C,calculations!$B94,das_tank_inventories_daily!$H:$H,calculations!T$1)</f>
        <v>705.61218339327002</v>
      </c>
      <c r="U94">
        <f>+SUMIFS(das_tank_inventories_daily!$M:$M,das_tank_inventories_daily!$C:$C,calculations!$B94,das_tank_inventories_daily!$H:$H,calculations!U$1)</f>
        <v>36101.5047515189</v>
      </c>
      <c r="W94" s="2">
        <f>+B94</f>
        <v>46115.999988425923</v>
      </c>
      <c r="X94" s="3">
        <f>+SUMIFS(C94:U94,C94:U94,"&lt;0")</f>
        <v>-134809.94612133096</v>
      </c>
      <c r="Y94" s="3">
        <f>+SUMIFS(C94:U94,C94:U94,"&lt;0")</f>
        <v>-134809.94612133096</v>
      </c>
      <c r="Z94" s="3">
        <f t="shared" ref="Z94" si="36">+Y94+X94</f>
        <v>-269619.89224266191</v>
      </c>
      <c r="AB94" s="2">
        <f>+B94</f>
        <v>46115.999988425923</v>
      </c>
      <c r="AC94" s="3">
        <f t="shared" si="29"/>
        <v>-44936.648707110318</v>
      </c>
      <c r="AD94" s="3">
        <f t="shared" si="30"/>
        <v>303066.79434694053</v>
      </c>
      <c r="AE94" s="3">
        <f t="shared" si="31"/>
        <v>258130.14563983021</v>
      </c>
      <c r="AH94" s="2">
        <f t="shared" si="13"/>
        <v>46115.999988425923</v>
      </c>
      <c r="AI94" s="4" t="e">
        <f>+AI93+AC94</f>
        <v>#DIV/0!</v>
      </c>
      <c r="AJ94" s="4" t="e">
        <f>+AJ93+AD94</f>
        <v>#DIV/0!</v>
      </c>
      <c r="AK94" s="4">
        <f>+AK93+AE94</f>
        <v>699228.01668123819</v>
      </c>
    </row>
    <row r="95" spans="2:37" x14ac:dyDescent="0.25">
      <c r="B95" s="1"/>
      <c r="AB95" s="2"/>
      <c r="AC95" s="3" t="e">
        <f t="shared" si="29"/>
        <v>#DIV/0!</v>
      </c>
      <c r="AD95" s="3" t="e">
        <f t="shared" si="30"/>
        <v>#DIV/0!</v>
      </c>
      <c r="AE95" s="3"/>
      <c r="AH95" s="2">
        <f t="shared" si="13"/>
        <v>0</v>
      </c>
      <c r="AI95" s="4" t="e">
        <f t="shared" si="14"/>
        <v>#DIV/0!</v>
      </c>
      <c r="AJ95" s="4" t="e">
        <f t="shared" si="15"/>
        <v>#DIV/0!</v>
      </c>
      <c r="AK95" s="4">
        <f t="shared" si="16"/>
        <v>699228.01668123819</v>
      </c>
    </row>
    <row r="96" spans="2:37" x14ac:dyDescent="0.25">
      <c r="B96" s="1"/>
      <c r="AB96" s="2"/>
      <c r="AC96" s="3" t="e">
        <f t="shared" si="29"/>
        <v>#DIV/0!</v>
      </c>
      <c r="AD96" s="3" t="e">
        <f t="shared" si="30"/>
        <v>#DIV/0!</v>
      </c>
      <c r="AE96" s="3"/>
      <c r="AH96" s="2">
        <f t="shared" ref="AH96:AH159" si="37">+AB96</f>
        <v>0</v>
      </c>
      <c r="AI96" s="4" t="e">
        <f t="shared" ref="AI96:AI159" si="38">+AI95+AC96</f>
        <v>#DIV/0!</v>
      </c>
      <c r="AJ96" s="4" t="e">
        <f t="shared" ref="AJ96:AJ159" si="39">+AJ95+AD96</f>
        <v>#DIV/0!</v>
      </c>
      <c r="AK96" s="4">
        <f t="shared" ref="AK96:AK159" si="40">+AK95+AE96</f>
        <v>699228.01668123819</v>
      </c>
    </row>
    <row r="97" spans="2:37" x14ac:dyDescent="0.25">
      <c r="B97" s="1">
        <v>46118.999988425923</v>
      </c>
      <c r="C97">
        <f>+SUMIFS(das_tank_inventories_daily!$M:$M,das_tank_inventories_daily!$C:$C,calculations!$B97,das_tank_inventories_daily!$H:$H,calculations!C$1)</f>
        <v>3574.4199708852102</v>
      </c>
      <c r="D97">
        <f>+SUMIFS(das_tank_inventories_daily!$M:$M,das_tank_inventories_daily!$C:$C,calculations!$B97,das_tank_inventories_daily!$H:$H,calculations!D$1)</f>
        <v>5541.1147824958298</v>
      </c>
      <c r="E97">
        <f>+SUMIFS(das_tank_inventories_daily!$M:$M,das_tank_inventories_daily!$C:$C,calculations!$B97,das_tank_inventories_daily!$H:$H,calculations!E$1)</f>
        <v>79165.214896456397</v>
      </c>
      <c r="F97">
        <f>+SUMIFS(das_tank_inventories_daily!$M:$M,das_tank_inventories_daily!$C:$C,calculations!$B97,das_tank_inventories_daily!$H:$H,calculations!F$1)</f>
        <v>0</v>
      </c>
      <c r="G97">
        <f>+SUMIFS(das_tank_inventories_daily!$M:$M,das_tank_inventories_daily!$C:$C,calculations!$B97,das_tank_inventories_daily!$H:$H,calculations!G$1)</f>
        <v>4301.3918996353104</v>
      </c>
      <c r="H97">
        <f>+SUMIFS(das_tank_inventories_daily!$M:$M,das_tank_inventories_daily!$C:$C,calculations!$B97,das_tank_inventories_daily!$H:$H,calculations!H$1)</f>
        <v>-6051.7044903897904</v>
      </c>
      <c r="I97">
        <f>+SUMIFS(das_tank_inventories_daily!$M:$M,das_tank_inventories_daily!$C:$C,calculations!$B97,das_tank_inventories_daily!$H:$H,calculations!I$1)</f>
        <v>-8773.2734520867798</v>
      </c>
      <c r="J97">
        <f>+SUMIFS(das_tank_inventories_daily!$M:$M,das_tank_inventories_daily!$C:$C,calculations!$B97,das_tank_inventories_daily!$H:$H,calculations!J$1)</f>
        <v>13962.9980703291</v>
      </c>
      <c r="K97">
        <f>+SUMIFS(das_tank_inventories_daily!$M:$M,das_tank_inventories_daily!$C:$C,calculations!$B97,das_tank_inventories_daily!$H:$H,calculations!K$1)</f>
        <v>69180.664444930502</v>
      </c>
      <c r="L97">
        <f>+SUMIFS(das_tank_inventories_daily!$M:$M,das_tank_inventories_daily!$C:$C,calculations!$B97,das_tank_inventories_daily!$H:$H,calculations!L$1)</f>
        <v>414.71752464730503</v>
      </c>
      <c r="M97">
        <f>+SUMIFS(das_tank_inventories_daily!$M:$M,das_tank_inventories_daily!$C:$C,calculations!$B97,das_tank_inventories_daily!$H:$H,calculations!M$1)</f>
        <v>4195.6678333933496</v>
      </c>
      <c r="N97">
        <f>+SUMIFS(das_tank_inventories_daily!$M:$M,das_tank_inventories_daily!$C:$C,calculations!$B97,das_tank_inventories_daily!$H:$H,calculations!N$1)</f>
        <v>-206070.446829714</v>
      </c>
      <c r="O97">
        <f>+SUMIFS(das_tank_inventories_daily!$M:$M,das_tank_inventories_daily!$C:$C,calculations!$B97,das_tank_inventories_daily!$H:$H,calculations!O$1)</f>
        <v>21666.4373596529</v>
      </c>
      <c r="P97">
        <f>+SUMIFS(das_tank_inventories_daily!$M:$M,das_tank_inventories_daily!$C:$C,calculations!$B97,das_tank_inventories_daily!$H:$H,calculations!P$1)</f>
        <v>-465479.47824870102</v>
      </c>
      <c r="Q97">
        <f>+SUMIFS(das_tank_inventories_daily!$M:$M,das_tank_inventories_daily!$C:$C,calculations!$B97,das_tank_inventories_daily!$H:$H,calculations!Q$1)</f>
        <v>0</v>
      </c>
      <c r="R97">
        <f>+SUMIFS(das_tank_inventories_daily!$M:$M,das_tank_inventories_daily!$C:$C,calculations!$B97,das_tank_inventories_daily!$H:$H,calculations!R$1)</f>
        <v>-37895.313616010302</v>
      </c>
      <c r="S97">
        <f>+SUMIFS(das_tank_inventories_daily!$M:$M,das_tank_inventories_daily!$C:$C,calculations!$B97,das_tank_inventories_daily!$H:$H,calculations!S$1)</f>
        <v>8233.4488246843102</v>
      </c>
      <c r="T97">
        <f>+SUMIFS(das_tank_inventories_daily!$M:$M,das_tank_inventories_daily!$C:$C,calculations!$B97,das_tank_inventories_daily!$H:$H,calculations!T$1)</f>
        <v>-4958.1884563690401</v>
      </c>
      <c r="U97">
        <f>+SUMIFS(das_tank_inventories_daily!$M:$M,das_tank_inventories_daily!$C:$C,calculations!$B97,das_tank_inventories_daily!$H:$H,calculations!U$1)</f>
        <v>150789.11069879899</v>
      </c>
      <c r="W97" s="2">
        <f>+B97</f>
        <v>46118.999988425923</v>
      </c>
      <c r="X97" s="3">
        <f>+SUMIFS(C97:U97,C97:U97,"&lt;0")</f>
        <v>-729228.40509327105</v>
      </c>
      <c r="Y97" s="3">
        <f>+SUMIFS(C97:U97,C97:U97,"&lt;0")</f>
        <v>-729228.40509327105</v>
      </c>
      <c r="Z97" s="3">
        <f t="shared" ref="Z97" si="41">+Y97+X97</f>
        <v>-1458456.8101865421</v>
      </c>
      <c r="AB97" s="2">
        <f>+B97</f>
        <v>46118.999988425923</v>
      </c>
      <c r="AC97" s="3">
        <f t="shared" si="29"/>
        <v>-243076.13503109035</v>
      </c>
      <c r="AD97" s="3">
        <f t="shared" si="30"/>
        <v>120341.7287686364</v>
      </c>
      <c r="AE97" s="3">
        <f t="shared" si="31"/>
        <v>-122734.40626245395</v>
      </c>
      <c r="AH97" s="2">
        <f t="shared" si="37"/>
        <v>46118.999988425923</v>
      </c>
      <c r="AI97" s="4" t="e">
        <f>+AI96+AC97</f>
        <v>#DIV/0!</v>
      </c>
      <c r="AJ97" s="4" t="e">
        <f>+AJ96+AD97</f>
        <v>#DIV/0!</v>
      </c>
      <c r="AK97" s="4">
        <f>+AK96+AE97</f>
        <v>576493.6104187842</v>
      </c>
    </row>
    <row r="98" spans="2:37" x14ac:dyDescent="0.25">
      <c r="B98" s="1"/>
      <c r="AB98" s="2"/>
      <c r="AC98" s="3" t="e">
        <f t="shared" si="29"/>
        <v>#DIV/0!</v>
      </c>
      <c r="AD98" s="3" t="e">
        <f t="shared" si="30"/>
        <v>#DIV/0!</v>
      </c>
      <c r="AE98" s="3"/>
      <c r="AH98" s="2">
        <f t="shared" si="37"/>
        <v>0</v>
      </c>
      <c r="AI98" s="4" t="e">
        <f t="shared" si="38"/>
        <v>#DIV/0!</v>
      </c>
      <c r="AJ98" s="4" t="e">
        <f t="shared" si="39"/>
        <v>#DIV/0!</v>
      </c>
      <c r="AK98" s="4">
        <f t="shared" si="40"/>
        <v>576493.6104187842</v>
      </c>
    </row>
    <row r="99" spans="2:37" x14ac:dyDescent="0.25">
      <c r="B99" s="1"/>
      <c r="AB99" s="2"/>
      <c r="AC99" s="3" t="e">
        <f t="shared" si="29"/>
        <v>#DIV/0!</v>
      </c>
      <c r="AD99" s="3" t="e">
        <f t="shared" si="30"/>
        <v>#DIV/0!</v>
      </c>
      <c r="AE99" s="3"/>
      <c r="AH99" s="2">
        <f t="shared" si="37"/>
        <v>0</v>
      </c>
      <c r="AI99" s="4" t="e">
        <f t="shared" si="38"/>
        <v>#DIV/0!</v>
      </c>
      <c r="AJ99" s="4" t="e">
        <f t="shared" si="39"/>
        <v>#DIV/0!</v>
      </c>
      <c r="AK99" s="4">
        <f t="shared" si="40"/>
        <v>576493.6104187842</v>
      </c>
    </row>
    <row r="100" spans="2:37" x14ac:dyDescent="0.25">
      <c r="B100" s="1">
        <v>46121.999988425923</v>
      </c>
      <c r="C100">
        <f>+SUMIFS(das_tank_inventories_daily!$M:$M,das_tank_inventories_daily!$C:$C,calculations!$B100,das_tank_inventories_daily!$H:$H,calculations!C$1)</f>
        <v>-3961.3578842687398</v>
      </c>
      <c r="D100">
        <f>+SUMIFS(das_tank_inventories_daily!$M:$M,das_tank_inventories_daily!$C:$C,calculations!$B100,das_tank_inventories_daily!$H:$H,calculations!D$1)</f>
        <v>-4679.9484476806501</v>
      </c>
      <c r="E100">
        <f>+SUMIFS(das_tank_inventories_daily!$M:$M,das_tank_inventories_daily!$C:$C,calculations!$B100,das_tank_inventories_daily!$H:$H,calculations!E$1)</f>
        <v>-69003.441362135694</v>
      </c>
      <c r="F100">
        <f>+SUMIFS(das_tank_inventories_daily!$M:$M,das_tank_inventories_daily!$C:$C,calculations!$B100,das_tank_inventories_daily!$H:$H,calculations!F$1)</f>
        <v>0</v>
      </c>
      <c r="G100">
        <f>+SUMIFS(das_tank_inventories_daily!$M:$M,das_tank_inventories_daily!$C:$C,calculations!$B100,das_tank_inventories_daily!$H:$H,calculations!G$1)</f>
        <v>-14070.7134049861</v>
      </c>
      <c r="H100">
        <f>+SUMIFS(das_tank_inventories_daily!$M:$M,das_tank_inventories_daily!$C:$C,calculations!$B100,das_tank_inventories_daily!$H:$H,calculations!H$1)</f>
        <v>5984.8013628277604</v>
      </c>
      <c r="I100">
        <f>+SUMIFS(das_tank_inventories_daily!$M:$M,das_tank_inventories_daily!$C:$C,calculations!$B100,das_tank_inventories_daily!$H:$H,calculations!I$1)</f>
        <v>1671.41644061089</v>
      </c>
      <c r="J100">
        <f>+SUMIFS(das_tank_inventories_daily!$M:$M,das_tank_inventories_daily!$C:$C,calculations!$B100,das_tank_inventories_daily!$H:$H,calculations!J$1)</f>
        <v>-19350.826297020802</v>
      </c>
      <c r="K100">
        <f>+SUMIFS(das_tank_inventories_daily!$M:$M,das_tank_inventories_daily!$C:$C,calculations!$B100,das_tank_inventories_daily!$H:$H,calculations!K$1)</f>
        <v>-48892.485687414701</v>
      </c>
      <c r="L100">
        <f>+SUMIFS(das_tank_inventories_daily!$M:$M,das_tank_inventories_daily!$C:$C,calculations!$B100,das_tank_inventories_daily!$H:$H,calculations!L$1)</f>
        <v>-3961.0234375815999</v>
      </c>
      <c r="M100">
        <f>+SUMIFS(das_tank_inventories_daily!$M:$M,das_tank_inventories_daily!$C:$C,calculations!$B100,das_tank_inventories_daily!$H:$H,calculations!M$1)</f>
        <v>22.743547149351699</v>
      </c>
      <c r="N100">
        <f>+SUMIFS(das_tank_inventories_daily!$M:$M,das_tank_inventories_daily!$C:$C,calculations!$B100,das_tank_inventories_daily!$H:$H,calculations!N$1)</f>
        <v>-4969.1233111669999</v>
      </c>
      <c r="O100">
        <f>+SUMIFS(das_tank_inventories_daily!$M:$M,das_tank_inventories_daily!$C:$C,calculations!$B100,das_tank_inventories_daily!$H:$H,calculations!O$1)</f>
        <v>-110153.45101991401</v>
      </c>
      <c r="P100">
        <f>+SUMIFS(das_tank_inventories_daily!$M:$M,das_tank_inventories_daily!$C:$C,calculations!$B100,das_tank_inventories_daily!$H:$H,calculations!P$1)</f>
        <v>465529.306330422</v>
      </c>
      <c r="Q100">
        <f>+SUMIFS(das_tank_inventories_daily!$M:$M,das_tank_inventories_daily!$C:$C,calculations!$B100,das_tank_inventories_daily!$H:$H,calculations!Q$1)</f>
        <v>0</v>
      </c>
      <c r="R100">
        <f>+SUMIFS(das_tank_inventories_daily!$M:$M,das_tank_inventories_daily!$C:$C,calculations!$B100,das_tank_inventories_daily!$H:$H,calculations!R$1)</f>
        <v>32168.265853847199</v>
      </c>
      <c r="S100">
        <f>+SUMIFS(das_tank_inventories_daily!$M:$M,das_tank_inventories_daily!$C:$C,calculations!$B100,das_tank_inventories_daily!$H:$H,calculations!S$1)</f>
        <v>-4955.26822244911</v>
      </c>
      <c r="T100">
        <f>+SUMIFS(das_tank_inventories_daily!$M:$M,das_tank_inventories_daily!$C:$C,calculations!$B100,das_tank_inventories_daily!$H:$H,calculations!T$1)</f>
        <v>5222.7733557191004</v>
      </c>
      <c r="U100">
        <f>+SUMIFS(das_tank_inventories_daily!$M:$M,das_tank_inventories_daily!$C:$C,calculations!$B100,das_tank_inventories_daily!$H:$H,calculations!U$1)</f>
        <v>-216121.929462211</v>
      </c>
      <c r="W100" s="2">
        <f>+B100</f>
        <v>46121.999988425923</v>
      </c>
      <c r="X100" s="3">
        <f>+SUMIFS(C100:U100,C100:U100,"&lt;0")</f>
        <v>-500119.56853682944</v>
      </c>
      <c r="Y100" s="3">
        <f>+SUMIFS(C100:U100,C100:U100,"&lt;0")</f>
        <v>-500119.56853682944</v>
      </c>
      <c r="Z100" s="3">
        <f t="shared" ref="Z100" si="42">+Y100+X100</f>
        <v>-1000239.1370736589</v>
      </c>
      <c r="AB100" s="2">
        <f>+B100</f>
        <v>46121.999988425923</v>
      </c>
      <c r="AC100" s="3">
        <f t="shared" si="29"/>
        <v>-166706.52284560981</v>
      </c>
      <c r="AD100" s="3">
        <f t="shared" si="30"/>
        <v>170199.76896352545</v>
      </c>
      <c r="AE100" s="3">
        <f t="shared" si="31"/>
        <v>3493.246117915638</v>
      </c>
      <c r="AH100" s="2">
        <f t="shared" si="37"/>
        <v>46121.999988425923</v>
      </c>
      <c r="AI100" s="4" t="e">
        <f>+AI99+AC100</f>
        <v>#DIV/0!</v>
      </c>
      <c r="AJ100" s="4" t="e">
        <f>+AJ99+AD100</f>
        <v>#DIV/0!</v>
      </c>
      <c r="AK100" s="4">
        <f>+AK99+AE100</f>
        <v>579986.85653669981</v>
      </c>
    </row>
    <row r="101" spans="2:37" x14ac:dyDescent="0.25">
      <c r="B101" s="1"/>
      <c r="AB101" s="2"/>
      <c r="AC101" s="3" t="e">
        <f t="shared" si="29"/>
        <v>#DIV/0!</v>
      </c>
      <c r="AD101" s="3" t="e">
        <f t="shared" si="30"/>
        <v>#DIV/0!</v>
      </c>
      <c r="AE101" s="3"/>
      <c r="AH101" s="2">
        <f t="shared" si="37"/>
        <v>0</v>
      </c>
      <c r="AI101" s="4" t="e">
        <f t="shared" si="38"/>
        <v>#DIV/0!</v>
      </c>
      <c r="AJ101" s="4" t="e">
        <f t="shared" si="39"/>
        <v>#DIV/0!</v>
      </c>
      <c r="AK101" s="4">
        <f t="shared" si="40"/>
        <v>579986.85653669981</v>
      </c>
    </row>
    <row r="102" spans="2:37" x14ac:dyDescent="0.25">
      <c r="B102" s="1"/>
      <c r="AB102" s="2"/>
      <c r="AC102" s="3" t="e">
        <f t="shared" si="29"/>
        <v>#DIV/0!</v>
      </c>
      <c r="AD102" s="3" t="e">
        <f t="shared" si="30"/>
        <v>#DIV/0!</v>
      </c>
      <c r="AE102" s="3"/>
      <c r="AH102" s="2">
        <f t="shared" si="37"/>
        <v>0</v>
      </c>
      <c r="AI102" s="4" t="e">
        <f t="shared" si="38"/>
        <v>#DIV/0!</v>
      </c>
      <c r="AJ102" s="4" t="e">
        <f t="shared" si="39"/>
        <v>#DIV/0!</v>
      </c>
      <c r="AK102" s="4">
        <f t="shared" si="40"/>
        <v>579986.85653669981</v>
      </c>
    </row>
    <row r="103" spans="2:37" x14ac:dyDescent="0.25">
      <c r="B103" s="1">
        <v>46124.999988425923</v>
      </c>
      <c r="C103">
        <f>+SUMIFS(das_tank_inventories_daily!$M:$M,das_tank_inventories_daily!$C:$C,calculations!$B103,das_tank_inventories_daily!$H:$H,calculations!C$1)</f>
        <v>4671.4123774637101</v>
      </c>
      <c r="D103">
        <f>+SUMIFS(das_tank_inventories_daily!$M:$M,das_tank_inventories_daily!$C:$C,calculations!$B103,das_tank_inventories_daily!$H:$H,calculations!D$1)</f>
        <v>4400.9337927316601</v>
      </c>
      <c r="E103">
        <f>+SUMIFS(das_tank_inventories_daily!$M:$M,das_tank_inventories_daily!$C:$C,calculations!$B103,das_tank_inventories_daily!$H:$H,calculations!E$1)</f>
        <v>-269466.49289244902</v>
      </c>
      <c r="F103">
        <f>+SUMIFS(das_tank_inventories_daily!$M:$M,das_tank_inventories_daily!$C:$C,calculations!$B103,das_tank_inventories_daily!$H:$H,calculations!F$1)</f>
        <v>0</v>
      </c>
      <c r="G103">
        <f>+SUMIFS(das_tank_inventories_daily!$M:$M,das_tank_inventories_daily!$C:$C,calculations!$B103,das_tank_inventories_daily!$H:$H,calculations!G$1)</f>
        <v>13209.1909702421</v>
      </c>
      <c r="H103">
        <f>+SUMIFS(das_tank_inventories_daily!$M:$M,das_tank_inventories_daily!$C:$C,calculations!$B103,das_tank_inventories_daily!$H:$H,calculations!H$1)</f>
        <v>-27492.273082851301</v>
      </c>
      <c r="I103">
        <f>+SUMIFS(das_tank_inventories_daily!$M:$M,das_tank_inventories_daily!$C:$C,calculations!$B103,das_tank_inventories_daily!$H:$H,calculations!I$1)</f>
        <v>-4344.6286548055896</v>
      </c>
      <c r="J103">
        <f>+SUMIFS(das_tank_inventories_daily!$M:$M,das_tank_inventories_daily!$C:$C,calculations!$B103,das_tank_inventories_daily!$H:$H,calculations!J$1)</f>
        <v>20816.647385782901</v>
      </c>
      <c r="K103">
        <f>+SUMIFS(das_tank_inventories_daily!$M:$M,das_tank_inventories_daily!$C:$C,calculations!$B103,das_tank_inventories_daily!$H:$H,calculations!K$1)</f>
        <v>40802.135927666597</v>
      </c>
      <c r="L103">
        <f>+SUMIFS(das_tank_inventories_daily!$M:$M,das_tank_inventories_daily!$C:$C,calculations!$B103,das_tank_inventories_daily!$H:$H,calculations!L$1)</f>
        <v>2897.2770304072101</v>
      </c>
      <c r="M103">
        <f>+SUMIFS(das_tank_inventories_daily!$M:$M,das_tank_inventories_daily!$C:$C,calculations!$B103,das_tank_inventories_daily!$H:$H,calculations!M$1)</f>
        <v>-6269.6065775953402</v>
      </c>
      <c r="N103">
        <f>+SUMIFS(das_tank_inventories_daily!$M:$M,das_tank_inventories_daily!$C:$C,calculations!$B103,das_tank_inventories_daily!$H:$H,calculations!N$1)</f>
        <v>-148076.33951836999</v>
      </c>
      <c r="O103">
        <f>+SUMIFS(das_tank_inventories_daily!$M:$M,das_tank_inventories_daily!$C:$C,calculations!$B103,das_tank_inventories_daily!$H:$H,calculations!O$1)</f>
        <v>2935.8631534508299</v>
      </c>
      <c r="P103">
        <f>+SUMIFS(das_tank_inventories_daily!$M:$M,das_tank_inventories_daily!$C:$C,calculations!$B103,das_tank_inventories_daily!$H:$H,calculations!P$1)</f>
        <v>-465529.306330422</v>
      </c>
      <c r="Q103">
        <f>+SUMIFS(das_tank_inventories_daily!$M:$M,das_tank_inventories_daily!$C:$C,calculations!$B103,das_tank_inventories_daily!$H:$H,calculations!Q$1)</f>
        <v>0</v>
      </c>
      <c r="R103">
        <f>+SUMIFS(das_tank_inventories_daily!$M:$M,das_tank_inventories_daily!$C:$C,calculations!$B103,das_tank_inventories_daily!$H:$H,calculations!R$1)</f>
        <v>-36533.116634972997</v>
      </c>
      <c r="S103">
        <f>+SUMIFS(das_tank_inventories_daily!$M:$M,das_tank_inventories_daily!$C:$C,calculations!$B103,das_tank_inventories_daily!$H:$H,calculations!S$1)</f>
        <v>2927.3641625923301</v>
      </c>
      <c r="T103">
        <f>+SUMIFS(das_tank_inventories_daily!$M:$M,das_tank_inventories_daily!$C:$C,calculations!$B103,das_tank_inventories_daily!$H:$H,calculations!T$1)</f>
        <v>-4155.10696048109</v>
      </c>
      <c r="U103">
        <f>+SUMIFS(das_tank_inventories_daily!$M:$M,das_tank_inventories_daily!$C:$C,calculations!$B103,das_tank_inventories_daily!$H:$H,calculations!U$1)</f>
        <v>-27.2629867877694</v>
      </c>
      <c r="W103" s="2">
        <f>+B103</f>
        <v>46124.999988425923</v>
      </c>
      <c r="X103" s="3">
        <f>+SUMIFS(C103:U103,C103:U103,"&lt;0")</f>
        <v>-961894.13363873493</v>
      </c>
      <c r="Y103" s="3">
        <f>+SUMIFS(C103:U103,C103:U103,"&lt;0")</f>
        <v>-961894.13363873493</v>
      </c>
      <c r="Z103" s="3">
        <f t="shared" ref="Z103" si="43">+Y103+X103</f>
        <v>-1923788.2672774699</v>
      </c>
      <c r="AB103" s="2">
        <f>+B103</f>
        <v>46124.999988425923</v>
      </c>
      <c r="AC103" s="3">
        <f t="shared" si="29"/>
        <v>-320631.37787957833</v>
      </c>
      <c r="AD103" s="3">
        <f t="shared" si="30"/>
        <v>30886.941600112445</v>
      </c>
      <c r="AE103" s="3">
        <f t="shared" si="31"/>
        <v>-289744.43627946591</v>
      </c>
      <c r="AH103" s="2">
        <f t="shared" si="37"/>
        <v>46124.999988425923</v>
      </c>
      <c r="AI103" s="4" t="e">
        <f>+AI102+AC103</f>
        <v>#DIV/0!</v>
      </c>
      <c r="AJ103" s="4" t="e">
        <f>+AJ102+AD103</f>
        <v>#DIV/0!</v>
      </c>
      <c r="AK103" s="4">
        <f>+AK102+AE103</f>
        <v>290242.4202572339</v>
      </c>
    </row>
    <row r="104" spans="2:37" x14ac:dyDescent="0.25">
      <c r="B104" s="1"/>
      <c r="AB104" s="2"/>
      <c r="AC104" s="3" t="e">
        <f t="shared" si="29"/>
        <v>#DIV/0!</v>
      </c>
      <c r="AD104" s="3" t="e">
        <f t="shared" si="30"/>
        <v>#DIV/0!</v>
      </c>
      <c r="AE104" s="3"/>
      <c r="AH104" s="2">
        <f t="shared" si="37"/>
        <v>0</v>
      </c>
      <c r="AI104" s="4" t="e">
        <f t="shared" si="38"/>
        <v>#DIV/0!</v>
      </c>
      <c r="AJ104" s="4" t="e">
        <f t="shared" si="39"/>
        <v>#DIV/0!</v>
      </c>
      <c r="AK104" s="4">
        <f t="shared" si="40"/>
        <v>290242.4202572339</v>
      </c>
    </row>
    <row r="105" spans="2:37" x14ac:dyDescent="0.25">
      <c r="B105" s="1"/>
      <c r="AB105" s="2"/>
      <c r="AC105" s="3" t="e">
        <f t="shared" si="29"/>
        <v>#DIV/0!</v>
      </c>
      <c r="AD105" s="3" t="e">
        <f t="shared" si="30"/>
        <v>#DIV/0!</v>
      </c>
      <c r="AE105" s="3"/>
      <c r="AH105" s="2">
        <f t="shared" si="37"/>
        <v>0</v>
      </c>
      <c r="AI105" s="4" t="e">
        <f t="shared" si="38"/>
        <v>#DIV/0!</v>
      </c>
      <c r="AJ105" s="4" t="e">
        <f t="shared" si="39"/>
        <v>#DIV/0!</v>
      </c>
      <c r="AK105" s="4">
        <f t="shared" si="40"/>
        <v>290242.4202572339</v>
      </c>
    </row>
    <row r="106" spans="2:37" x14ac:dyDescent="0.25">
      <c r="B106" s="1">
        <v>46127.999988425923</v>
      </c>
      <c r="C106">
        <f>+SUMIFS(das_tank_inventories_daily!$M:$M,das_tank_inventories_daily!$C:$C,calculations!$B106,das_tank_inventories_daily!$H:$H,calculations!C$1)</f>
        <v>-3589.34713327605</v>
      </c>
      <c r="D106">
        <f>+SUMIFS(das_tank_inventories_daily!$M:$M,das_tank_inventories_daily!$C:$C,calculations!$B106,das_tank_inventories_daily!$H:$H,calculations!D$1)</f>
        <v>-5842.1758626126302</v>
      </c>
      <c r="E106">
        <f>+SUMIFS(das_tank_inventories_daily!$M:$M,das_tank_inventories_daily!$C:$C,calculations!$B106,das_tank_inventories_daily!$H:$H,calculations!E$1)</f>
        <v>429911.75124740298</v>
      </c>
      <c r="F106">
        <f>+SUMIFS(das_tank_inventories_daily!$M:$M,das_tank_inventories_daily!$C:$C,calculations!$B106,das_tank_inventories_daily!$H:$H,calculations!F$1)</f>
        <v>0</v>
      </c>
      <c r="G106">
        <f>+SUMIFS(das_tank_inventories_daily!$M:$M,das_tank_inventories_daily!$C:$C,calculations!$B106,das_tank_inventories_daily!$H:$H,calculations!G$1)</f>
        <v>-11276.8737100281</v>
      </c>
      <c r="H106">
        <f>+SUMIFS(das_tank_inventories_daily!$M:$M,das_tank_inventories_daily!$C:$C,calculations!$B106,das_tank_inventories_daily!$H:$H,calculations!H$1)</f>
        <v>25267.014801802801</v>
      </c>
      <c r="I106">
        <f>+SUMIFS(das_tank_inventories_daily!$M:$M,das_tank_inventories_daily!$C:$C,calculations!$B106,das_tank_inventories_daily!$H:$H,calculations!I$1)</f>
        <v>4645.2501850790504</v>
      </c>
      <c r="J106">
        <f>+SUMIFS(das_tank_inventories_daily!$M:$M,das_tank_inventories_daily!$C:$C,calculations!$B106,das_tank_inventories_daily!$H:$H,calculations!J$1)</f>
        <v>-16011.0059179009</v>
      </c>
      <c r="K106">
        <f>+SUMIFS(das_tank_inventories_daily!$M:$M,das_tank_inventories_daily!$C:$C,calculations!$B106,das_tank_inventories_daily!$H:$H,calculations!K$1)</f>
        <v>-84688.520094516396</v>
      </c>
      <c r="L106">
        <f>+SUMIFS(das_tank_inventories_daily!$M:$M,das_tank_inventories_daily!$C:$C,calculations!$B106,das_tank_inventories_daily!$H:$H,calculations!L$1)</f>
        <v>-387.95760846187397</v>
      </c>
      <c r="M106">
        <f>+SUMIFS(das_tank_inventories_daily!$M:$M,das_tank_inventories_daily!$C:$C,calculations!$B106,das_tank_inventories_daily!$H:$H,calculations!M$1)</f>
        <v>5031.2303465054401</v>
      </c>
      <c r="N106">
        <f>+SUMIFS(das_tank_inventories_daily!$M:$M,das_tank_inventories_daily!$C:$C,calculations!$B106,das_tank_inventories_daily!$H:$H,calculations!N$1)</f>
        <v>-25574.420238893399</v>
      </c>
      <c r="O106">
        <f>+SUMIFS(das_tank_inventories_daily!$M:$M,das_tank_inventories_daily!$C:$C,calculations!$B106,das_tank_inventories_daily!$H:$H,calculations!O$1)</f>
        <v>260040.92545506201</v>
      </c>
      <c r="P106">
        <f>+SUMIFS(das_tank_inventories_daily!$M:$M,das_tank_inventories_daily!$C:$C,calculations!$B106,das_tank_inventories_daily!$H:$H,calculations!P$1)</f>
        <v>465618.70214668597</v>
      </c>
      <c r="Q106">
        <f>+SUMIFS(das_tank_inventories_daily!$M:$M,das_tank_inventories_daily!$C:$C,calculations!$B106,das_tank_inventories_daily!$H:$H,calculations!Q$1)</f>
        <v>0</v>
      </c>
      <c r="R106">
        <f>+SUMIFS(das_tank_inventories_daily!$M:$M,das_tank_inventories_daily!$C:$C,calculations!$B106,das_tank_inventories_daily!$H:$H,calculations!R$1)</f>
        <v>30602.710599773302</v>
      </c>
      <c r="S106">
        <f>+SUMIFS(das_tank_inventories_daily!$M:$M,das_tank_inventories_daily!$C:$C,calculations!$B106,das_tank_inventories_daily!$H:$H,calculations!S$1)</f>
        <v>-380638.32083819702</v>
      </c>
      <c r="T106">
        <f>+SUMIFS(das_tank_inventories_daily!$M:$M,das_tank_inventories_daily!$C:$C,calculations!$B106,das_tank_inventories_daily!$H:$H,calculations!T$1)</f>
        <v>2594.3940623353701</v>
      </c>
      <c r="U106">
        <f>+SUMIFS(das_tank_inventories_daily!$M:$M,das_tank_inventories_daily!$C:$C,calculations!$B106,das_tank_inventories_daily!$H:$H,calculations!U$1)</f>
        <v>364.025107603229</v>
      </c>
      <c r="W106" s="2">
        <f>+B106</f>
        <v>46127.999988425923</v>
      </c>
      <c r="X106" s="3">
        <f>+SUMIFS(C106:U106,C106:U106,"&lt;0")</f>
        <v>-528008.62140388635</v>
      </c>
      <c r="Y106" s="3">
        <f>+SUMIFS(C106:U106,C106:U106,"&lt;0")</f>
        <v>-528008.62140388635</v>
      </c>
      <c r="Z106" s="3">
        <f t="shared" ref="Z106" si="44">+Y106+X106</f>
        <v>-1056017.2428077727</v>
      </c>
      <c r="AB106" s="2">
        <f>+B106</f>
        <v>46127.999988425923</v>
      </c>
      <c r="AC106" s="3">
        <f t="shared" si="29"/>
        <v>-176002.87380129544</v>
      </c>
      <c r="AD106" s="3">
        <f t="shared" si="30"/>
        <v>408025.33465075004</v>
      </c>
      <c r="AE106" s="3">
        <f t="shared" si="31"/>
        <v>232022.4608494546</v>
      </c>
      <c r="AH106" s="2">
        <f t="shared" si="37"/>
        <v>46127.999988425923</v>
      </c>
      <c r="AI106" s="4" t="e">
        <f>+AI105+AC106</f>
        <v>#DIV/0!</v>
      </c>
      <c r="AJ106" s="4" t="e">
        <f>+AJ105+AD106</f>
        <v>#DIV/0!</v>
      </c>
      <c r="AK106" s="4">
        <f>+AK105+AE106</f>
        <v>522264.88110668852</v>
      </c>
    </row>
    <row r="107" spans="2:37" x14ac:dyDescent="0.25">
      <c r="B107" s="1"/>
      <c r="AB107" s="2"/>
      <c r="AC107" s="3" t="e">
        <f t="shared" si="29"/>
        <v>#DIV/0!</v>
      </c>
      <c r="AD107" s="3" t="e">
        <f t="shared" si="30"/>
        <v>#DIV/0!</v>
      </c>
      <c r="AE107" s="3"/>
      <c r="AH107" s="2">
        <f t="shared" si="37"/>
        <v>0</v>
      </c>
      <c r="AI107" s="4" t="e">
        <f t="shared" si="38"/>
        <v>#DIV/0!</v>
      </c>
      <c r="AJ107" s="4" t="e">
        <f t="shared" si="39"/>
        <v>#DIV/0!</v>
      </c>
      <c r="AK107" s="4">
        <f t="shared" si="40"/>
        <v>522264.88110668852</v>
      </c>
    </row>
    <row r="108" spans="2:37" x14ac:dyDescent="0.25">
      <c r="B108" s="1"/>
      <c r="AB108" s="2"/>
      <c r="AC108" s="3" t="e">
        <f t="shared" si="29"/>
        <v>#DIV/0!</v>
      </c>
      <c r="AD108" s="3" t="e">
        <f t="shared" si="30"/>
        <v>#DIV/0!</v>
      </c>
      <c r="AE108" s="3"/>
      <c r="AH108" s="2">
        <f t="shared" si="37"/>
        <v>0</v>
      </c>
      <c r="AI108" s="4" t="e">
        <f t="shared" si="38"/>
        <v>#DIV/0!</v>
      </c>
      <c r="AJ108" s="4" t="e">
        <f t="shared" si="39"/>
        <v>#DIV/0!</v>
      </c>
      <c r="AK108" s="4">
        <f t="shared" si="40"/>
        <v>522264.88110668852</v>
      </c>
    </row>
    <row r="109" spans="2:37" x14ac:dyDescent="0.25">
      <c r="B109" s="1">
        <v>46130.999988425923</v>
      </c>
      <c r="C109">
        <f>+SUMIFS(das_tank_inventories_daily!$M:$M,das_tank_inventories_daily!$C:$C,calculations!$B109,das_tank_inventories_daily!$H:$H,calculations!C$1)</f>
        <v>2902.7187895491602</v>
      </c>
      <c r="D109">
        <f>+SUMIFS(das_tank_inventories_daily!$M:$M,das_tank_inventories_daily!$C:$C,calculations!$B109,das_tank_inventories_daily!$H:$H,calculations!D$1)</f>
        <v>1005.4260898436401</v>
      </c>
      <c r="E109">
        <f>+SUMIFS(das_tank_inventories_daily!$M:$M,das_tank_inventories_daily!$C:$C,calculations!$B109,das_tank_inventories_daily!$H:$H,calculations!E$1)</f>
        <v>39041.920986235396</v>
      </c>
      <c r="F109">
        <f>+SUMIFS(das_tank_inventories_daily!$M:$M,das_tank_inventories_daily!$C:$C,calculations!$B109,das_tank_inventories_daily!$H:$H,calculations!F$1)</f>
        <v>0</v>
      </c>
      <c r="G109">
        <f>+SUMIFS(das_tank_inventories_daily!$M:$M,das_tank_inventories_daily!$C:$C,calculations!$B109,das_tank_inventories_daily!$H:$H,calculations!G$1)</f>
        <v>14844.569892388699</v>
      </c>
      <c r="H109">
        <f>+SUMIFS(das_tank_inventories_daily!$M:$M,das_tank_inventories_daily!$C:$C,calculations!$B109,das_tank_inventories_daily!$H:$H,calculations!H$1)</f>
        <v>-8902.3980235296694</v>
      </c>
      <c r="I109">
        <f>+SUMIFS(das_tank_inventories_daily!$M:$M,das_tank_inventories_daily!$C:$C,calculations!$B109,das_tank_inventories_daily!$H:$H,calculations!I$1)</f>
        <v>2817.9508004948102</v>
      </c>
      <c r="J109">
        <f>+SUMIFS(das_tank_inventories_daily!$M:$M,das_tank_inventories_daily!$C:$C,calculations!$B109,das_tank_inventories_daily!$H:$H,calculations!J$1)</f>
        <v>2529.3901433484202</v>
      </c>
      <c r="K109">
        <f>+SUMIFS(das_tank_inventories_daily!$M:$M,das_tank_inventories_daily!$C:$C,calculations!$B109,das_tank_inventories_daily!$H:$H,calculations!K$1)</f>
        <v>90786.356046745597</v>
      </c>
      <c r="L109">
        <f>+SUMIFS(das_tank_inventories_daily!$M:$M,das_tank_inventories_daily!$C:$C,calculations!$B109,das_tank_inventories_daily!$H:$H,calculations!L$1)</f>
        <v>271.01140322463402</v>
      </c>
      <c r="M109">
        <f>+SUMIFS(das_tank_inventories_daily!$M:$M,das_tank_inventories_daily!$C:$C,calculations!$B109,das_tank_inventories_daily!$H:$H,calculations!M$1)</f>
        <v>964.89532628492395</v>
      </c>
      <c r="N109">
        <f>+SUMIFS(das_tank_inventories_daily!$M:$M,das_tank_inventories_daily!$C:$C,calculations!$B109,das_tank_inventories_daily!$H:$H,calculations!N$1)</f>
        <v>159659.86887063499</v>
      </c>
      <c r="O109">
        <f>+SUMIFS(das_tank_inventories_daily!$M:$M,das_tank_inventories_daily!$C:$C,calculations!$B109,das_tank_inventories_daily!$H:$H,calculations!O$1)</f>
        <v>-62777.927113302401</v>
      </c>
      <c r="P109">
        <f>+SUMIFS(das_tank_inventories_daily!$M:$M,das_tank_inventories_daily!$C:$C,calculations!$B109,das_tank_inventories_daily!$H:$H,calculations!P$1)</f>
        <v>-465618.70214668597</v>
      </c>
      <c r="Q109">
        <f>+SUMIFS(das_tank_inventories_daily!$M:$M,das_tank_inventories_daily!$C:$C,calculations!$B109,das_tank_inventories_daily!$H:$H,calculations!Q$1)</f>
        <v>0</v>
      </c>
      <c r="R109">
        <f>+SUMIFS(das_tank_inventories_daily!$M:$M,das_tank_inventories_daily!$C:$C,calculations!$B109,das_tank_inventories_daily!$H:$H,calculations!R$1)</f>
        <v>-29724.641666191601</v>
      </c>
      <c r="S109">
        <f>+SUMIFS(das_tank_inventories_daily!$M:$M,das_tank_inventories_daily!$C:$C,calculations!$B109,das_tank_inventories_daily!$H:$H,calculations!S$1)</f>
        <v>383185.61757333402</v>
      </c>
      <c r="T109">
        <f>+SUMIFS(das_tank_inventories_daily!$M:$M,das_tank_inventories_daily!$C:$C,calculations!$B109,das_tank_inventories_daily!$H:$H,calculations!T$1)</f>
        <v>-2645.3846649162501</v>
      </c>
      <c r="U109">
        <f>+SUMIFS(das_tank_inventories_daily!$M:$M,das_tank_inventories_daily!$C:$C,calculations!$B109,das_tank_inventories_daily!$H:$H,calculations!U$1)</f>
        <v>-13025.080926992399</v>
      </c>
      <c r="W109" s="2">
        <f>+B109</f>
        <v>46130.999988425923</v>
      </c>
      <c r="X109" s="3">
        <f>+SUMIFS(C109:U109,C109:U109,"&lt;0")</f>
        <v>-582694.13454161829</v>
      </c>
      <c r="Y109" s="3">
        <f>+SUMIFS(C109:U109,C109:U109,"&lt;0")</f>
        <v>-582694.13454161829</v>
      </c>
      <c r="Z109" s="3">
        <f t="shared" ref="Z109" si="45">+Y109+X109</f>
        <v>-1165388.2690832366</v>
      </c>
      <c r="AB109" s="2">
        <f>+B109</f>
        <v>46130.999988425923</v>
      </c>
      <c r="AC109" s="3">
        <f t="shared" si="29"/>
        <v>-194231.37818053944</v>
      </c>
      <c r="AD109" s="3">
        <f t="shared" si="30"/>
        <v>232669.90864069478</v>
      </c>
      <c r="AE109" s="3">
        <f t="shared" si="31"/>
        <v>38438.530460155336</v>
      </c>
      <c r="AH109" s="2">
        <f t="shared" si="37"/>
        <v>46130.999988425923</v>
      </c>
      <c r="AI109" s="4" t="e">
        <f>+AI108+AC109</f>
        <v>#DIV/0!</v>
      </c>
      <c r="AJ109" s="4" t="e">
        <f>+AJ108+AD109</f>
        <v>#DIV/0!</v>
      </c>
      <c r="AK109" s="4">
        <f>+AK108+AE109</f>
        <v>560703.41156684386</v>
      </c>
    </row>
    <row r="110" spans="2:37" x14ac:dyDescent="0.25">
      <c r="B110" s="1"/>
      <c r="AB110" s="2"/>
      <c r="AC110" s="3" t="e">
        <f t="shared" si="29"/>
        <v>#DIV/0!</v>
      </c>
      <c r="AD110" s="3" t="e">
        <f t="shared" si="30"/>
        <v>#DIV/0!</v>
      </c>
      <c r="AE110" s="3"/>
      <c r="AH110" s="2">
        <f t="shared" si="37"/>
        <v>0</v>
      </c>
      <c r="AI110" s="4" t="e">
        <f t="shared" si="38"/>
        <v>#DIV/0!</v>
      </c>
      <c r="AJ110" s="4" t="e">
        <f t="shared" si="39"/>
        <v>#DIV/0!</v>
      </c>
      <c r="AK110" s="4">
        <f t="shared" si="40"/>
        <v>560703.41156684386</v>
      </c>
    </row>
    <row r="111" spans="2:37" x14ac:dyDescent="0.25">
      <c r="B111" s="1"/>
      <c r="AB111" s="2"/>
      <c r="AC111" s="3" t="e">
        <f t="shared" si="29"/>
        <v>#DIV/0!</v>
      </c>
      <c r="AD111" s="3" t="e">
        <f t="shared" si="30"/>
        <v>#DIV/0!</v>
      </c>
      <c r="AE111" s="3"/>
      <c r="AH111" s="2">
        <f t="shared" si="37"/>
        <v>0</v>
      </c>
      <c r="AI111" s="4" t="e">
        <f t="shared" si="38"/>
        <v>#DIV/0!</v>
      </c>
      <c r="AJ111" s="4" t="e">
        <f t="shared" si="39"/>
        <v>#DIV/0!</v>
      </c>
      <c r="AK111" s="4">
        <f t="shared" si="40"/>
        <v>560703.41156684386</v>
      </c>
    </row>
    <row r="112" spans="2:37" x14ac:dyDescent="0.25">
      <c r="B112" s="1">
        <v>46133.999988425923</v>
      </c>
      <c r="C112">
        <f>+SUMIFS(das_tank_inventories_daily!$M:$M,das_tank_inventories_daily!$C:$C,calculations!$B112,das_tank_inventories_daily!$H:$H,calculations!C$1)</f>
        <v>-3242.3060595475199</v>
      </c>
      <c r="D112">
        <f>+SUMIFS(das_tank_inventories_daily!$M:$M,das_tank_inventories_daily!$C:$C,calculations!$B112,das_tank_inventories_daily!$H:$H,calculations!D$1)</f>
        <v>2777.8898334144001</v>
      </c>
      <c r="E112">
        <f>+SUMIFS(das_tank_inventories_daily!$M:$M,das_tank_inventories_daily!$C:$C,calculations!$B112,das_tank_inventories_daily!$H:$H,calculations!E$1)</f>
        <v>-129466.773340723</v>
      </c>
      <c r="F112">
        <f>+SUMIFS(das_tank_inventories_daily!$M:$M,das_tank_inventories_daily!$C:$C,calculations!$B112,das_tank_inventories_daily!$H:$H,calculations!F$1)</f>
        <v>0</v>
      </c>
      <c r="G112">
        <f>+SUMIFS(das_tank_inventories_daily!$M:$M,das_tank_inventories_daily!$C:$C,calculations!$B112,das_tank_inventories_daily!$H:$H,calculations!G$1)</f>
        <v>-15700.6729408184</v>
      </c>
      <c r="H112">
        <f>+SUMIFS(das_tank_inventories_daily!$M:$M,das_tank_inventories_daily!$C:$C,calculations!$B112,das_tank_inventories_daily!$H:$H,calculations!H$1)</f>
        <v>10596.994216184799</v>
      </c>
      <c r="I112">
        <f>+SUMIFS(das_tank_inventories_daily!$M:$M,das_tank_inventories_daily!$C:$C,calculations!$B112,das_tank_inventories_daily!$H:$H,calculations!I$1)</f>
        <v>4022.4373947365002</v>
      </c>
      <c r="J112">
        <f>+SUMIFS(das_tank_inventories_daily!$M:$M,das_tank_inventories_daily!$C:$C,calculations!$B112,das_tank_inventories_daily!$H:$H,calculations!J$1)</f>
        <v>-9037.5207017310295</v>
      </c>
      <c r="K112">
        <f>+SUMIFS(das_tank_inventories_daily!$M:$M,das_tank_inventories_daily!$C:$C,calculations!$B112,das_tank_inventories_daily!$H:$H,calculations!K$1)</f>
        <v>-40403.618535209796</v>
      </c>
      <c r="L112">
        <f>+SUMIFS(das_tank_inventories_daily!$M:$M,das_tank_inventories_daily!$C:$C,calculations!$B112,das_tank_inventories_daily!$H:$H,calculations!L$1)</f>
        <v>-1051.1716874117201</v>
      </c>
      <c r="M112">
        <f>+SUMIFS(das_tank_inventories_daily!$M:$M,das_tank_inventories_daily!$C:$C,calculations!$B112,das_tank_inventories_daily!$H:$H,calculations!M$1)</f>
        <v>-2161.7287058760398</v>
      </c>
      <c r="N112">
        <f>+SUMIFS(das_tank_inventories_daily!$M:$M,das_tank_inventories_daily!$C:$C,calculations!$B112,das_tank_inventories_daily!$H:$H,calculations!N$1)</f>
        <v>41814.6839700337</v>
      </c>
      <c r="O112">
        <f>+SUMIFS(das_tank_inventories_daily!$M:$M,das_tank_inventories_daily!$C:$C,calculations!$B112,das_tank_inventories_daily!$H:$H,calculations!O$1)</f>
        <v>-328895.92969634</v>
      </c>
      <c r="P112">
        <f>+SUMIFS(das_tank_inventories_daily!$M:$M,das_tank_inventories_daily!$C:$C,calculations!$B112,das_tank_inventories_daily!$H:$H,calculations!P$1)</f>
        <v>467711.50880717998</v>
      </c>
      <c r="Q112">
        <f>+SUMIFS(das_tank_inventories_daily!$M:$M,das_tank_inventories_daily!$C:$C,calculations!$B112,das_tank_inventories_daily!$H:$H,calculations!Q$1)</f>
        <v>0</v>
      </c>
      <c r="R112">
        <f>+SUMIFS(das_tank_inventories_daily!$M:$M,das_tank_inventories_daily!$C:$C,calculations!$B112,das_tank_inventories_daily!$H:$H,calculations!R$1)</f>
        <v>-236100.46052064301</v>
      </c>
      <c r="S112">
        <f>+SUMIFS(das_tank_inventories_daily!$M:$M,das_tank_inventories_daily!$C:$C,calculations!$B112,das_tank_inventories_daily!$H:$H,calculations!S$1)</f>
        <v>-383185.61757333402</v>
      </c>
      <c r="T112">
        <f>+SUMIFS(das_tank_inventories_daily!$M:$M,das_tank_inventories_daily!$C:$C,calculations!$B112,das_tank_inventories_daily!$H:$H,calculations!T$1)</f>
        <v>3806.4340694724801</v>
      </c>
      <c r="U112">
        <f>+SUMIFS(das_tank_inventories_daily!$M:$M,das_tank_inventories_daily!$C:$C,calculations!$B112,das_tank_inventories_daily!$H:$H,calculations!U$1)</f>
        <v>355803.69719000999</v>
      </c>
      <c r="W112" s="2">
        <f>+B112</f>
        <v>46133.999988425923</v>
      </c>
      <c r="X112" s="3">
        <f>+SUMIFS(C112:U112,C112:U112,"&lt;0")</f>
        <v>-1149245.7997616346</v>
      </c>
      <c r="Y112" s="3">
        <f>+SUMIFS(C112:U112,C112:U112,"&lt;0")</f>
        <v>-1149245.7997616346</v>
      </c>
      <c r="Z112" s="3">
        <f t="shared" ref="Z112" si="46">+Y112+X112</f>
        <v>-2298491.5995232691</v>
      </c>
      <c r="AB112" s="2">
        <f>+B112</f>
        <v>46133.999988425923</v>
      </c>
      <c r="AC112" s="3">
        <f t="shared" si="29"/>
        <v>-383081.9332538782</v>
      </c>
      <c r="AD112" s="3">
        <f t="shared" si="30"/>
        <v>295511.21516034397</v>
      </c>
      <c r="AE112" s="3">
        <f t="shared" si="31"/>
        <v>-87570.718093534233</v>
      </c>
      <c r="AH112" s="2">
        <f t="shared" si="37"/>
        <v>46133.999988425923</v>
      </c>
      <c r="AI112" s="4" t="e">
        <f>+AI111+AC112</f>
        <v>#DIV/0!</v>
      </c>
      <c r="AJ112" s="4" t="e">
        <f>+AJ111+AD112</f>
        <v>#DIV/0!</v>
      </c>
      <c r="AK112" s="4">
        <f>+AK111+AE112</f>
        <v>473132.69347330963</v>
      </c>
    </row>
    <row r="113" spans="2:37" x14ac:dyDescent="0.25">
      <c r="B113" s="1"/>
      <c r="AB113" s="2"/>
      <c r="AC113" s="3" t="e">
        <f t="shared" si="29"/>
        <v>#DIV/0!</v>
      </c>
      <c r="AD113" s="3" t="e">
        <f t="shared" si="30"/>
        <v>#DIV/0!</v>
      </c>
      <c r="AE113" s="3"/>
      <c r="AH113" s="2">
        <f t="shared" si="37"/>
        <v>0</v>
      </c>
      <c r="AI113" s="4" t="e">
        <f t="shared" si="38"/>
        <v>#DIV/0!</v>
      </c>
      <c r="AJ113" s="4" t="e">
        <f t="shared" si="39"/>
        <v>#DIV/0!</v>
      </c>
      <c r="AK113" s="4">
        <f t="shared" si="40"/>
        <v>473132.69347330963</v>
      </c>
    </row>
    <row r="114" spans="2:37" x14ac:dyDescent="0.25">
      <c r="B114" s="1"/>
      <c r="AB114" s="2"/>
      <c r="AC114" s="3" t="e">
        <f t="shared" si="29"/>
        <v>#DIV/0!</v>
      </c>
      <c r="AD114" s="3" t="e">
        <f t="shared" si="30"/>
        <v>#DIV/0!</v>
      </c>
      <c r="AE114" s="3"/>
      <c r="AH114" s="2">
        <f t="shared" si="37"/>
        <v>0</v>
      </c>
      <c r="AI114" s="4" t="e">
        <f t="shared" si="38"/>
        <v>#DIV/0!</v>
      </c>
      <c r="AJ114" s="4" t="e">
        <f t="shared" si="39"/>
        <v>#DIV/0!</v>
      </c>
      <c r="AK114" s="4">
        <f t="shared" si="40"/>
        <v>473132.69347330963</v>
      </c>
    </row>
    <row r="115" spans="2:37" x14ac:dyDescent="0.25">
      <c r="B115" s="1">
        <v>46136.999988425923</v>
      </c>
      <c r="C115">
        <f>+SUMIFS(das_tank_inventories_daily!$M:$M,das_tank_inventories_daily!$C:$C,calculations!$B115,das_tank_inventories_daily!$H:$H,calculations!C$1)</f>
        <v>3511.9426211119198</v>
      </c>
      <c r="D115">
        <f>+SUMIFS(das_tank_inventories_daily!$M:$M,das_tank_inventories_daily!$C:$C,calculations!$B115,das_tank_inventories_daily!$H:$H,calculations!D$1)</f>
        <v>2658.1098226946101</v>
      </c>
      <c r="E115">
        <f>+SUMIFS(das_tank_inventories_daily!$M:$M,das_tank_inventories_daily!$C:$C,calculations!$B115,das_tank_inventories_daily!$H:$H,calculations!E$1)</f>
        <v>120485.31088786099</v>
      </c>
      <c r="F115">
        <f>+SUMIFS(das_tank_inventories_daily!$M:$M,das_tank_inventories_daily!$C:$C,calculations!$B115,das_tank_inventories_daily!$H:$H,calculations!F$1)</f>
        <v>0</v>
      </c>
      <c r="G115">
        <f>+SUMIFS(das_tank_inventories_daily!$M:$M,das_tank_inventories_daily!$C:$C,calculations!$B115,das_tank_inventories_daily!$H:$H,calculations!G$1)</f>
        <v>11683.068451371901</v>
      </c>
      <c r="H115">
        <f>+SUMIFS(das_tank_inventories_daily!$M:$M,das_tank_inventories_daily!$C:$C,calculations!$B115,das_tank_inventories_daily!$H:$H,calculations!H$1)</f>
        <v>-30040.562665126301</v>
      </c>
      <c r="I115">
        <f>+SUMIFS(das_tank_inventories_daily!$M:$M,das_tank_inventories_daily!$C:$C,calculations!$B115,das_tank_inventories_daily!$H:$H,calculations!I$1)</f>
        <v>-60297.980753420197</v>
      </c>
      <c r="J115">
        <f>+SUMIFS(das_tank_inventories_daily!$M:$M,das_tank_inventories_daily!$C:$C,calculations!$B115,das_tank_inventories_daily!$H:$H,calculations!J$1)</f>
        <v>-394429.362130897</v>
      </c>
      <c r="K115">
        <f>+SUMIFS(das_tank_inventories_daily!$M:$M,das_tank_inventories_daily!$C:$C,calculations!$B115,das_tank_inventories_daily!$H:$H,calculations!K$1)</f>
        <v>37527.547719417598</v>
      </c>
      <c r="L115">
        <f>+SUMIFS(das_tank_inventories_daily!$M:$M,das_tank_inventories_daily!$C:$C,calculations!$B115,das_tank_inventories_daily!$H:$H,calculations!L$1)</f>
        <v>2833.0414468283998</v>
      </c>
      <c r="M115">
        <f>+SUMIFS(das_tank_inventories_daily!$M:$M,das_tank_inventories_daily!$C:$C,calculations!$B115,das_tank_inventories_daily!$H:$H,calculations!M$1)</f>
        <v>342.20635716395901</v>
      </c>
      <c r="N115">
        <f>+SUMIFS(das_tank_inventories_daily!$M:$M,das_tank_inventories_daily!$C:$C,calculations!$B115,das_tank_inventories_daily!$H:$H,calculations!N$1)</f>
        <v>181034.33438633601</v>
      </c>
      <c r="O115">
        <f>+SUMIFS(das_tank_inventories_daily!$M:$M,das_tank_inventories_daily!$C:$C,calculations!$B115,das_tank_inventories_daily!$H:$H,calculations!O$1)</f>
        <v>0</v>
      </c>
      <c r="P115">
        <f>+SUMIFS(das_tank_inventories_daily!$M:$M,das_tank_inventories_daily!$C:$C,calculations!$B115,das_tank_inventories_daily!$H:$H,calculations!P$1)</f>
        <v>-467711.50880717998</v>
      </c>
      <c r="Q115">
        <f>+SUMIFS(das_tank_inventories_daily!$M:$M,das_tank_inventories_daily!$C:$C,calculations!$B115,das_tank_inventories_daily!$H:$H,calculations!Q$1)</f>
        <v>0</v>
      </c>
      <c r="R115">
        <f>+SUMIFS(das_tank_inventories_daily!$M:$M,das_tank_inventories_daily!$C:$C,calculations!$B115,das_tank_inventories_daily!$H:$H,calculations!R$1)</f>
        <v>168602.51068841701</v>
      </c>
      <c r="S115">
        <f>+SUMIFS(das_tank_inventories_daily!$M:$M,das_tank_inventories_daily!$C:$C,calculations!$B115,das_tank_inventories_daily!$H:$H,calculations!S$1)</f>
        <v>59863.001929291298</v>
      </c>
      <c r="T115">
        <f>+SUMIFS(das_tank_inventories_daily!$M:$M,das_tank_inventories_daily!$C:$C,calculations!$B115,das_tank_inventories_daily!$H:$H,calculations!T$1)</f>
        <v>-4564.4780870443201</v>
      </c>
      <c r="U115">
        <f>+SUMIFS(das_tank_inventories_daily!$M:$M,das_tank_inventories_daily!$C:$C,calculations!$B115,das_tank_inventories_daily!$H:$H,calculations!U$1)</f>
        <v>-338088.22851028602</v>
      </c>
      <c r="W115" s="2">
        <f>+B115</f>
        <v>46136.999988425923</v>
      </c>
      <c r="X115" s="3">
        <f>+SUMIFS(C115:U115,C115:U115,"&lt;0")</f>
        <v>-1295132.1209539538</v>
      </c>
      <c r="Y115" s="3">
        <f>+SUMIFS(C115:U115,C115:U115,"&lt;0")</f>
        <v>-1295132.1209539538</v>
      </c>
      <c r="Z115" s="3">
        <f t="shared" ref="Z115" si="47">+Y115+X115</f>
        <v>-2590264.2419079076</v>
      </c>
      <c r="AB115" s="2">
        <f>+B115</f>
        <v>46136.999988425923</v>
      </c>
      <c r="AC115" s="3">
        <f t="shared" si="29"/>
        <v>-431710.70698465127</v>
      </c>
      <c r="AD115" s="3">
        <f t="shared" si="30"/>
        <v>196180.35810349789</v>
      </c>
      <c r="AE115" s="3">
        <f t="shared" si="31"/>
        <v>-235530.34888115339</v>
      </c>
      <c r="AH115" s="2">
        <f t="shared" si="37"/>
        <v>46136.999988425923</v>
      </c>
      <c r="AI115" s="4" t="e">
        <f>+AI114+AC115</f>
        <v>#DIV/0!</v>
      </c>
      <c r="AJ115" s="4" t="e">
        <f>+AJ114+AD115</f>
        <v>#DIV/0!</v>
      </c>
      <c r="AK115" s="4">
        <f>+AK114+AE115</f>
        <v>237602.34459215624</v>
      </c>
    </row>
    <row r="116" spans="2:37" x14ac:dyDescent="0.25">
      <c r="B116" s="1"/>
      <c r="AB116" s="2"/>
      <c r="AC116" s="3" t="e">
        <f t="shared" si="29"/>
        <v>#DIV/0!</v>
      </c>
      <c r="AD116" s="3" t="e">
        <f t="shared" si="30"/>
        <v>#DIV/0!</v>
      </c>
      <c r="AE116" s="3"/>
      <c r="AH116" s="2">
        <f t="shared" si="37"/>
        <v>0</v>
      </c>
      <c r="AI116" s="4" t="e">
        <f t="shared" si="38"/>
        <v>#DIV/0!</v>
      </c>
      <c r="AJ116" s="4" t="e">
        <f t="shared" si="39"/>
        <v>#DIV/0!</v>
      </c>
      <c r="AK116" s="4">
        <f t="shared" si="40"/>
        <v>237602.34459215624</v>
      </c>
    </row>
    <row r="117" spans="2:37" x14ac:dyDescent="0.25">
      <c r="B117" s="1"/>
      <c r="AB117" s="2"/>
      <c r="AC117" s="3" t="e">
        <f t="shared" si="29"/>
        <v>#DIV/0!</v>
      </c>
      <c r="AD117" s="3" t="e">
        <f t="shared" si="30"/>
        <v>#DIV/0!</v>
      </c>
      <c r="AE117" s="3"/>
      <c r="AH117" s="2">
        <f t="shared" si="37"/>
        <v>0</v>
      </c>
      <c r="AI117" s="4" t="e">
        <f t="shared" si="38"/>
        <v>#DIV/0!</v>
      </c>
      <c r="AJ117" s="4" t="e">
        <f t="shared" si="39"/>
        <v>#DIV/0!</v>
      </c>
      <c r="AK117" s="4">
        <f t="shared" si="40"/>
        <v>237602.34459215624</v>
      </c>
    </row>
    <row r="118" spans="2:37" x14ac:dyDescent="0.25">
      <c r="B118" s="1">
        <v>46139.999988425923</v>
      </c>
      <c r="C118">
        <f>+SUMIFS(das_tank_inventories_daily!$M:$M,das_tank_inventories_daily!$C:$C,calculations!$B118,das_tank_inventories_daily!$H:$H,calculations!C$1)</f>
        <v>-3148.7099633153098</v>
      </c>
      <c r="D118">
        <f>+SUMIFS(das_tank_inventories_daily!$M:$M,das_tank_inventories_daily!$C:$C,calculations!$B118,das_tank_inventories_daily!$H:$H,calculations!D$1)</f>
        <v>-3408.34938138598</v>
      </c>
      <c r="E118">
        <f>+SUMIFS(das_tank_inventories_daily!$M:$M,das_tank_inventories_daily!$C:$C,calculations!$B118,das_tank_inventories_daily!$H:$H,calculations!E$1)</f>
        <v>-14774.272687119999</v>
      </c>
      <c r="F118">
        <f>+SUMIFS(das_tank_inventories_daily!$M:$M,das_tank_inventories_daily!$C:$C,calculations!$B118,das_tank_inventories_daily!$H:$H,calculations!F$1)</f>
        <v>0</v>
      </c>
      <c r="G118">
        <f>+SUMIFS(das_tank_inventories_daily!$M:$M,das_tank_inventories_daily!$C:$C,calculations!$B118,das_tank_inventories_daily!$H:$H,calculations!G$1)</f>
        <v>-9880.7070893528798</v>
      </c>
      <c r="H118">
        <f>+SUMIFS(das_tank_inventories_daily!$M:$M,das_tank_inventories_daily!$C:$C,calculations!$B118,das_tank_inventories_daily!$H:$H,calculations!H$1)</f>
        <v>-457334.08520052599</v>
      </c>
      <c r="I118">
        <f>+SUMIFS(das_tank_inventories_daily!$M:$M,das_tank_inventories_daily!$C:$C,calculations!$B118,das_tank_inventories_daily!$H:$H,calculations!I$1)</f>
        <v>5791.1401025161604</v>
      </c>
      <c r="J118">
        <f>+SUMIFS(das_tank_inventories_daily!$M:$M,das_tank_inventories_daily!$C:$C,calculations!$B118,das_tank_inventories_daily!$H:$H,calculations!J$1)</f>
        <v>232077.57964124199</v>
      </c>
      <c r="K118">
        <f>+SUMIFS(das_tank_inventories_daily!$M:$M,das_tank_inventories_daily!$C:$C,calculations!$B118,das_tank_inventories_daily!$H:$H,calculations!K$1)</f>
        <v>-44977.546576900801</v>
      </c>
      <c r="L118">
        <f>+SUMIFS(das_tank_inventories_daily!$M:$M,das_tank_inventories_daily!$C:$C,calculations!$B118,das_tank_inventories_daily!$H:$H,calculations!L$1)</f>
        <v>-17079.905688846098</v>
      </c>
      <c r="M118">
        <f>+SUMIFS(das_tank_inventories_daily!$M:$M,das_tank_inventories_daily!$C:$C,calculations!$B118,das_tank_inventories_daily!$H:$H,calculations!M$1)</f>
        <v>12698.827432718501</v>
      </c>
      <c r="N118">
        <f>+SUMIFS(das_tank_inventories_daily!$M:$M,das_tank_inventories_daily!$C:$C,calculations!$B118,das_tank_inventories_daily!$H:$H,calculations!N$1)</f>
        <v>-396815.81662951497</v>
      </c>
      <c r="O118">
        <f>+SUMIFS(das_tank_inventories_daily!$M:$M,das_tank_inventories_daily!$C:$C,calculations!$B118,das_tank_inventories_daily!$H:$H,calculations!O$1)</f>
        <v>1869.5315553752</v>
      </c>
      <c r="P118">
        <f>+SUMIFS(das_tank_inventories_daily!$M:$M,das_tank_inventories_daily!$C:$C,calculations!$B118,das_tank_inventories_daily!$H:$H,calculations!P$1)</f>
        <v>467240.14016162202</v>
      </c>
      <c r="Q118">
        <f>+SUMIFS(das_tank_inventories_daily!$M:$M,das_tank_inventories_daily!$C:$C,calculations!$B118,das_tank_inventories_daily!$H:$H,calculations!Q$1)</f>
        <v>0</v>
      </c>
      <c r="R118">
        <f>+SUMIFS(das_tank_inventories_daily!$M:$M,das_tank_inventories_daily!$C:$C,calculations!$B118,das_tank_inventories_daily!$H:$H,calculations!R$1)</f>
        <v>-546738.43492205499</v>
      </c>
      <c r="S118">
        <f>+SUMIFS(das_tank_inventories_daily!$M:$M,das_tank_inventories_daily!$C:$C,calculations!$B118,das_tank_inventories_daily!$H:$H,calculations!S$1)</f>
        <v>-59863.001929291298</v>
      </c>
      <c r="T118">
        <f>+SUMIFS(das_tank_inventories_daily!$M:$M,das_tank_inventories_daily!$C:$C,calculations!$B118,das_tank_inventories_daily!$H:$H,calculations!T$1)</f>
        <v>6314.4264769827096</v>
      </c>
      <c r="U118">
        <f>+SUMIFS(das_tank_inventories_daily!$M:$M,das_tank_inventories_daily!$C:$C,calculations!$B118,das_tank_inventories_daily!$H:$H,calculations!U$1)</f>
        <v>167552.59727126299</v>
      </c>
      <c r="W118" s="2">
        <f>+B118</f>
        <v>46139.999988425923</v>
      </c>
      <c r="X118" s="3">
        <f>+SUMIFS(C118:U118,C118:U118,"&lt;0")</f>
        <v>-1554020.8300683082</v>
      </c>
      <c r="Y118" s="3">
        <f>+SUMIFS(C118:U118,C118:U118,"&lt;0")</f>
        <v>-1554020.8300683082</v>
      </c>
      <c r="Z118" s="3">
        <f t="shared" ref="Z118" si="48">+Y118+X118</f>
        <v>-3108041.6601366163</v>
      </c>
      <c r="AB118" s="2">
        <f>+B118</f>
        <v>46139.999988425923</v>
      </c>
      <c r="AC118" s="3">
        <f t="shared" si="29"/>
        <v>-518006.94335610274</v>
      </c>
      <c r="AD118" s="3">
        <f t="shared" si="30"/>
        <v>297848.08088057319</v>
      </c>
      <c r="AE118" s="3">
        <f t="shared" si="31"/>
        <v>-220158.86247552955</v>
      </c>
      <c r="AH118" s="2">
        <f t="shared" si="37"/>
        <v>46139.999988425923</v>
      </c>
      <c r="AI118" s="4" t="e">
        <f>+AI117+AC118</f>
        <v>#DIV/0!</v>
      </c>
      <c r="AJ118" s="4" t="e">
        <f>+AJ117+AD118</f>
        <v>#DIV/0!</v>
      </c>
      <c r="AK118" s="4">
        <f>+AK117+AE118</f>
        <v>17443.482116626692</v>
      </c>
    </row>
    <row r="119" spans="2:37" x14ac:dyDescent="0.25">
      <c r="B119" s="1"/>
      <c r="AB119" s="2"/>
      <c r="AC119" s="3" t="e">
        <f t="shared" si="29"/>
        <v>#DIV/0!</v>
      </c>
      <c r="AD119" s="3" t="e">
        <f t="shared" si="30"/>
        <v>#DIV/0!</v>
      </c>
      <c r="AE119" s="3"/>
      <c r="AH119" s="2">
        <f t="shared" si="37"/>
        <v>0</v>
      </c>
      <c r="AI119" s="4" t="e">
        <f t="shared" si="38"/>
        <v>#DIV/0!</v>
      </c>
      <c r="AJ119" s="4" t="e">
        <f t="shared" si="39"/>
        <v>#DIV/0!</v>
      </c>
      <c r="AK119" s="4">
        <f t="shared" si="40"/>
        <v>17443.482116626692</v>
      </c>
    </row>
    <row r="120" spans="2:37" x14ac:dyDescent="0.25">
      <c r="B120" s="1"/>
      <c r="AB120" s="2"/>
      <c r="AC120" s="3" t="e">
        <f t="shared" si="29"/>
        <v>#DIV/0!</v>
      </c>
      <c r="AD120" s="3" t="e">
        <f t="shared" si="30"/>
        <v>#DIV/0!</v>
      </c>
      <c r="AE120" s="3"/>
      <c r="AH120" s="2">
        <f t="shared" si="37"/>
        <v>0</v>
      </c>
      <c r="AI120" s="4" t="e">
        <f t="shared" si="38"/>
        <v>#DIV/0!</v>
      </c>
      <c r="AJ120" s="4" t="e">
        <f t="shared" si="39"/>
        <v>#DIV/0!</v>
      </c>
      <c r="AK120" s="4">
        <f t="shared" si="40"/>
        <v>17443.482116626692</v>
      </c>
    </row>
    <row r="121" spans="2:37" x14ac:dyDescent="0.25">
      <c r="B121" s="1">
        <v>46142.999988425923</v>
      </c>
      <c r="C121">
        <f>+SUMIFS(das_tank_inventories_daily!$M:$M,das_tank_inventories_daily!$C:$C,calculations!$B121,das_tank_inventories_daily!$H:$H,calculations!C$1)</f>
        <v>2703.33712991329</v>
      </c>
      <c r="D121">
        <f>+SUMIFS(das_tank_inventories_daily!$M:$M,das_tank_inventories_daily!$C:$C,calculations!$B121,das_tank_inventories_daily!$H:$H,calculations!D$1)</f>
        <v>1371.13145773002</v>
      </c>
      <c r="E121">
        <f>+SUMIFS(das_tank_inventories_daily!$M:$M,das_tank_inventories_daily!$C:$C,calculations!$B121,das_tank_inventories_daily!$H:$H,calculations!E$1)</f>
        <v>18590.1470804126</v>
      </c>
      <c r="F121">
        <f>+SUMIFS(das_tank_inventories_daily!$M:$M,das_tank_inventories_daily!$C:$C,calculations!$B121,das_tank_inventories_daily!$H:$H,calculations!F$1)</f>
        <v>0</v>
      </c>
      <c r="G121">
        <f>+SUMIFS(das_tank_inventories_daily!$M:$M,das_tank_inventories_daily!$C:$C,calculations!$B121,das_tank_inventories_daily!$H:$H,calculations!G$1)</f>
        <v>11110.7249856045</v>
      </c>
      <c r="H121">
        <f>+SUMIFS(das_tank_inventories_daily!$M:$M,das_tank_inventories_daily!$C:$C,calculations!$B121,das_tank_inventories_daily!$H:$H,calculations!H$1)</f>
        <v>452223.80669312697</v>
      </c>
      <c r="I121">
        <f>+SUMIFS(das_tank_inventories_daily!$M:$M,das_tank_inventories_daily!$C:$C,calculations!$B121,das_tank_inventories_daily!$H:$H,calculations!I$1)</f>
        <v>-313149.825092263</v>
      </c>
      <c r="J121">
        <f>+SUMIFS(das_tank_inventories_daily!$M:$M,das_tank_inventories_daily!$C:$C,calculations!$B121,das_tank_inventories_daily!$H:$H,calculations!J$1)</f>
        <v>-232077.57964124199</v>
      </c>
      <c r="K121">
        <f>+SUMIFS(das_tank_inventories_daily!$M:$M,das_tank_inventories_daily!$C:$C,calculations!$B121,das_tank_inventories_daily!$H:$H,calculations!K$1)</f>
        <v>36593.869976136797</v>
      </c>
      <c r="L121">
        <f>+SUMIFS(das_tank_inventories_daily!$M:$M,das_tank_inventories_daily!$C:$C,calculations!$B121,das_tank_inventories_daily!$H:$H,calculations!L$1)</f>
        <v>-14887.723397568499</v>
      </c>
      <c r="M121">
        <f>+SUMIFS(das_tank_inventories_daily!$M:$M,das_tank_inventories_daily!$C:$C,calculations!$B121,das_tank_inventories_daily!$H:$H,calculations!M$1)</f>
        <v>-8858.6116422090508</v>
      </c>
      <c r="N121">
        <f>+SUMIFS(das_tank_inventories_daily!$M:$M,das_tank_inventories_daily!$C:$C,calculations!$B121,das_tank_inventories_daily!$H:$H,calculations!N$1)</f>
        <v>43867.367551278301</v>
      </c>
      <c r="O121">
        <f>+SUMIFS(das_tank_inventories_daily!$M:$M,das_tank_inventories_daily!$C:$C,calculations!$B121,das_tank_inventories_daily!$H:$H,calculations!O$1)</f>
        <v>156218.904137429</v>
      </c>
      <c r="P121">
        <f>+SUMIFS(das_tank_inventories_daily!$M:$M,das_tank_inventories_daily!$C:$C,calculations!$B121,das_tank_inventories_daily!$H:$H,calculations!P$1)</f>
        <v>-467240.14016162202</v>
      </c>
      <c r="Q121">
        <f>+SUMIFS(das_tank_inventories_daily!$M:$M,das_tank_inventories_daily!$C:$C,calculations!$B121,das_tank_inventories_daily!$H:$H,calculations!Q$1)</f>
        <v>0</v>
      </c>
      <c r="R121">
        <f>+SUMIFS(das_tank_inventories_daily!$M:$M,das_tank_inventories_daily!$C:$C,calculations!$B121,das_tank_inventories_daily!$H:$H,calculations!R$1)</f>
        <v>340686.18347403698</v>
      </c>
      <c r="S121">
        <f>+SUMIFS(das_tank_inventories_daily!$M:$M,das_tank_inventories_daily!$C:$C,calculations!$B121,das_tank_inventories_daily!$H:$H,calculations!S$1)</f>
        <v>397638.60087343102</v>
      </c>
      <c r="T121">
        <f>+SUMIFS(das_tank_inventories_daily!$M:$M,das_tank_inventories_daily!$C:$C,calculations!$B121,das_tank_inventories_daily!$H:$H,calculations!T$1)</f>
        <v>-7353.5596838374604</v>
      </c>
      <c r="U121">
        <f>+SUMIFS(das_tank_inventories_daily!$M:$M,das_tank_inventories_daily!$C:$C,calculations!$B121,das_tank_inventories_daily!$H:$H,calculations!U$1)</f>
        <v>217719.20982740301</v>
      </c>
      <c r="W121" s="2">
        <f>+B121</f>
        <v>46142.999988425923</v>
      </c>
      <c r="X121" s="3">
        <f>+SUMIFS(C121:U121,C121:U121,"&lt;0")</f>
        <v>-1043567.4396187419</v>
      </c>
      <c r="Y121" s="3">
        <f>+SUMIFS(C121:U121,C121:U121,"&lt;0")</f>
        <v>-1043567.4396187419</v>
      </c>
      <c r="Z121" s="3">
        <f t="shared" ref="Z121" si="49">+Y121+X121</f>
        <v>-2087134.8792374837</v>
      </c>
      <c r="AB121" s="2">
        <f>+B121</f>
        <v>46142.999988425923</v>
      </c>
      <c r="AC121" s="3">
        <f t="shared" si="29"/>
        <v>-347855.81320624729</v>
      </c>
      <c r="AD121" s="3">
        <f t="shared" si="30"/>
        <v>559574.42772883421</v>
      </c>
      <c r="AE121" s="3">
        <f t="shared" si="31"/>
        <v>211718.61452258693</v>
      </c>
      <c r="AH121" s="2">
        <f t="shared" si="37"/>
        <v>46142.999988425923</v>
      </c>
      <c r="AI121" s="4" t="e">
        <f>+AI120+AC121</f>
        <v>#DIV/0!</v>
      </c>
      <c r="AJ121" s="4" t="e">
        <f>+AJ120+AD121</f>
        <v>#DIV/0!</v>
      </c>
      <c r="AK121" s="4">
        <f>+AK120+AE121</f>
        <v>229162.09663921362</v>
      </c>
    </row>
    <row r="122" spans="2:37" x14ac:dyDescent="0.25">
      <c r="B122" s="1"/>
      <c r="AB122" s="2"/>
      <c r="AC122" s="3" t="e">
        <f t="shared" si="29"/>
        <v>#DIV/0!</v>
      </c>
      <c r="AD122" s="3" t="e">
        <f t="shared" si="30"/>
        <v>#DIV/0!</v>
      </c>
      <c r="AE122" s="3"/>
      <c r="AH122" s="2">
        <f t="shared" si="37"/>
        <v>0</v>
      </c>
      <c r="AI122" s="4" t="e">
        <f t="shared" si="38"/>
        <v>#DIV/0!</v>
      </c>
      <c r="AJ122" s="4" t="e">
        <f t="shared" si="39"/>
        <v>#DIV/0!</v>
      </c>
      <c r="AK122" s="4">
        <f t="shared" si="40"/>
        <v>229162.09663921362</v>
      </c>
    </row>
    <row r="123" spans="2:37" x14ac:dyDescent="0.25">
      <c r="B123" s="1"/>
      <c r="AB123" s="2"/>
      <c r="AC123" s="3" t="e">
        <f t="shared" si="29"/>
        <v>#DIV/0!</v>
      </c>
      <c r="AD123" s="3" t="e">
        <f t="shared" si="30"/>
        <v>#DIV/0!</v>
      </c>
      <c r="AE123" s="3"/>
      <c r="AH123" s="2">
        <f t="shared" si="37"/>
        <v>0</v>
      </c>
      <c r="AI123" s="4" t="e">
        <f t="shared" si="38"/>
        <v>#DIV/0!</v>
      </c>
      <c r="AJ123" s="4" t="e">
        <f t="shared" si="39"/>
        <v>#DIV/0!</v>
      </c>
      <c r="AK123" s="4">
        <f t="shared" si="40"/>
        <v>229162.09663921362</v>
      </c>
    </row>
    <row r="124" spans="2:37" x14ac:dyDescent="0.25">
      <c r="B124" s="1">
        <v>46145.999988425923</v>
      </c>
      <c r="C124">
        <f>+SUMIFS(das_tank_inventories_daily!$M:$M,das_tank_inventories_daily!$C:$C,calculations!$B124,das_tank_inventories_daily!$H:$H,calculations!C$1)</f>
        <v>-1854.19341754741</v>
      </c>
      <c r="D124">
        <f>+SUMIFS(das_tank_inventories_daily!$M:$M,das_tank_inventories_daily!$C:$C,calculations!$B124,das_tank_inventories_daily!$H:$H,calculations!D$1)</f>
        <v>-1572.01466665204</v>
      </c>
      <c r="E124">
        <f>+SUMIFS(das_tank_inventories_daily!$M:$M,das_tank_inventories_daily!$C:$C,calculations!$B124,das_tank_inventories_daily!$H:$H,calculations!E$1)</f>
        <v>-20537.9963738027</v>
      </c>
      <c r="F124">
        <f>+SUMIFS(das_tank_inventories_daily!$M:$M,das_tank_inventories_daily!$C:$C,calculations!$B124,das_tank_inventories_daily!$H:$H,calculations!F$1)</f>
        <v>0</v>
      </c>
      <c r="G124">
        <f>+SUMIFS(das_tank_inventories_daily!$M:$M,das_tank_inventories_daily!$C:$C,calculations!$B124,das_tank_inventories_daily!$H:$H,calculations!G$1)</f>
        <v>-14625.3542314352</v>
      </c>
      <c r="H124">
        <f>+SUMIFS(das_tank_inventories_daily!$M:$M,das_tank_inventories_daily!$C:$C,calculations!$B124,das_tank_inventories_daily!$H:$H,calculations!H$1)</f>
        <v>-429706.65094554098</v>
      </c>
      <c r="I124">
        <f>+SUMIFS(das_tank_inventories_daily!$M:$M,das_tank_inventories_daily!$C:$C,calculations!$B124,das_tank_inventories_daily!$H:$H,calculations!I$1)</f>
        <v>368809.367209661</v>
      </c>
      <c r="J124">
        <f>+SUMIFS(das_tank_inventories_daily!$M:$M,das_tank_inventories_daily!$C:$C,calculations!$B124,das_tank_inventories_daily!$H:$H,calculations!J$1)</f>
        <v>395665.72807685501</v>
      </c>
      <c r="K124">
        <f>+SUMIFS(das_tank_inventories_daily!$M:$M,das_tank_inventories_daily!$C:$C,calculations!$B124,das_tank_inventories_daily!$H:$H,calculations!K$1)</f>
        <v>-24450.3439312011</v>
      </c>
      <c r="L124">
        <f>+SUMIFS(das_tank_inventories_daily!$M:$M,das_tank_inventories_daily!$C:$C,calculations!$B124,das_tank_inventories_daily!$H:$H,calculations!L$1)</f>
        <v>5602.5029240081203</v>
      </c>
      <c r="M124">
        <f>+SUMIFS(das_tank_inventories_daily!$M:$M,das_tank_inventories_daily!$C:$C,calculations!$B124,das_tank_inventories_daily!$H:$H,calculations!M$1)</f>
        <v>17889.661495765598</v>
      </c>
      <c r="N124">
        <f>+SUMIFS(das_tank_inventories_daily!$M:$M,das_tank_inventories_daily!$C:$C,calculations!$B124,das_tank_inventories_daily!$H:$H,calculations!N$1)</f>
        <v>21884.756823077001</v>
      </c>
      <c r="O124">
        <f>+SUMIFS(das_tank_inventories_daily!$M:$M,das_tank_inventories_daily!$C:$C,calculations!$B124,das_tank_inventories_daily!$H:$H,calculations!O$1)</f>
        <v>-91891.7738148473</v>
      </c>
      <c r="P124">
        <f>+SUMIFS(das_tank_inventories_daily!$M:$M,das_tank_inventories_daily!$C:$C,calculations!$B124,das_tank_inventories_daily!$H:$H,calculations!P$1)</f>
        <v>468879.84875949699</v>
      </c>
      <c r="Q124">
        <f>+SUMIFS(das_tank_inventories_daily!$M:$M,das_tank_inventories_daily!$C:$C,calculations!$B124,das_tank_inventories_daily!$H:$H,calculations!Q$1)</f>
        <v>0</v>
      </c>
      <c r="R124">
        <f>+SUMIFS(das_tank_inventories_daily!$M:$M,das_tank_inventories_daily!$C:$C,calculations!$B124,das_tank_inventories_daily!$H:$H,calculations!R$1)</f>
        <v>277939.34983175498</v>
      </c>
      <c r="S124">
        <f>+SUMIFS(das_tank_inventories_daily!$M:$M,das_tank_inventories_daily!$C:$C,calculations!$B124,das_tank_inventories_daily!$H:$H,calculations!S$1)</f>
        <v>-381706.16057570698</v>
      </c>
      <c r="T124">
        <f>+SUMIFS(das_tank_inventories_daily!$M:$M,das_tank_inventories_daily!$C:$C,calculations!$B124,das_tank_inventories_daily!$H:$H,calculations!T$1)</f>
        <v>4884.01955622067</v>
      </c>
      <c r="U124">
        <f>+SUMIFS(das_tank_inventories_daily!$M:$M,das_tank_inventories_daily!$C:$C,calculations!$B124,das_tank_inventories_daily!$H:$H,calculations!U$1)</f>
        <v>-385282.04578099999</v>
      </c>
      <c r="W124" s="2">
        <f>+B124</f>
        <v>46145.999988425923</v>
      </c>
      <c r="X124" s="3">
        <f>+SUMIFS(C124:U124,C124:U124,"&lt;0")</f>
        <v>-1351626.5337377337</v>
      </c>
      <c r="Y124" s="3">
        <f>+SUMIFS(C124:U124,C124:U124,"&lt;0")</f>
        <v>-1351626.5337377337</v>
      </c>
      <c r="Z124" s="3">
        <f t="shared" ref="Z124" si="50">+Y124+X124</f>
        <v>-2703253.0674754675</v>
      </c>
      <c r="AB124" s="2">
        <f>+B124</f>
        <v>46145.999988425923</v>
      </c>
      <c r="AC124" s="3">
        <f t="shared" si="29"/>
        <v>-450542.17791257793</v>
      </c>
      <c r="AD124" s="3">
        <f t="shared" si="30"/>
        <v>520518.41155894642</v>
      </c>
      <c r="AE124" s="3">
        <f t="shared" si="31"/>
        <v>69976.233646368491</v>
      </c>
      <c r="AH124" s="2">
        <f t="shared" si="37"/>
        <v>46145.999988425923</v>
      </c>
      <c r="AI124" s="4" t="e">
        <f>+AI123+AC124</f>
        <v>#DIV/0!</v>
      </c>
      <c r="AJ124" s="4" t="e">
        <f>+AJ123+AD124</f>
        <v>#DIV/0!</v>
      </c>
      <c r="AK124" s="4">
        <f>+AK123+AE124</f>
        <v>299138.33028558211</v>
      </c>
    </row>
    <row r="125" spans="2:37" x14ac:dyDescent="0.25">
      <c r="B125" s="1"/>
      <c r="AB125" s="2"/>
      <c r="AC125" s="3" t="e">
        <f t="shared" si="29"/>
        <v>#DIV/0!</v>
      </c>
      <c r="AD125" s="3" t="e">
        <f t="shared" si="30"/>
        <v>#DIV/0!</v>
      </c>
      <c r="AE125" s="3"/>
      <c r="AH125" s="2">
        <f t="shared" si="37"/>
        <v>0</v>
      </c>
      <c r="AI125" s="4" t="e">
        <f t="shared" si="38"/>
        <v>#DIV/0!</v>
      </c>
      <c r="AJ125" s="4" t="e">
        <f t="shared" si="39"/>
        <v>#DIV/0!</v>
      </c>
      <c r="AK125" s="4">
        <f t="shared" si="40"/>
        <v>299138.33028558211</v>
      </c>
    </row>
    <row r="126" spans="2:37" x14ac:dyDescent="0.25">
      <c r="B126" s="1"/>
      <c r="AB126" s="2"/>
      <c r="AC126" s="3" t="e">
        <f t="shared" si="29"/>
        <v>#DIV/0!</v>
      </c>
      <c r="AD126" s="3" t="e">
        <f t="shared" si="30"/>
        <v>#DIV/0!</v>
      </c>
      <c r="AE126" s="3"/>
      <c r="AH126" s="2">
        <f t="shared" si="37"/>
        <v>0</v>
      </c>
      <c r="AI126" s="4" t="e">
        <f t="shared" si="38"/>
        <v>#DIV/0!</v>
      </c>
      <c r="AJ126" s="4" t="e">
        <f t="shared" si="39"/>
        <v>#DIV/0!</v>
      </c>
      <c r="AK126" s="4">
        <f t="shared" si="40"/>
        <v>299138.33028558211</v>
      </c>
    </row>
    <row r="127" spans="2:37" x14ac:dyDescent="0.25">
      <c r="B127" s="1">
        <v>46148.999988425923</v>
      </c>
      <c r="C127">
        <f>+SUMIFS(das_tank_inventories_daily!$M:$M,das_tank_inventories_daily!$C:$C,calculations!$B127,das_tank_inventories_daily!$H:$H,calculations!C$1)</f>
        <v>2032.74246424442</v>
      </c>
      <c r="D127">
        <f>+SUMIFS(das_tank_inventories_daily!$M:$M,das_tank_inventories_daily!$C:$C,calculations!$B127,das_tank_inventories_daily!$H:$H,calculations!D$1)</f>
        <v>3006.0141896034402</v>
      </c>
      <c r="E127">
        <f>+SUMIFS(das_tank_inventories_daily!$M:$M,das_tank_inventories_daily!$C:$C,calculations!$B127,das_tank_inventories_daily!$H:$H,calculations!E$1)</f>
        <v>-342872.65409620397</v>
      </c>
      <c r="F127">
        <f>+SUMIFS(das_tank_inventories_daily!$M:$M,das_tank_inventories_daily!$C:$C,calculations!$B127,das_tank_inventories_daily!$H:$H,calculations!F$1)</f>
        <v>0</v>
      </c>
      <c r="G127">
        <f>+SUMIFS(das_tank_inventories_daily!$M:$M,das_tank_inventories_daily!$C:$C,calculations!$B127,das_tank_inventories_daily!$H:$H,calculations!G$1)</f>
        <v>15157.7438427611</v>
      </c>
      <c r="H127">
        <f>+SUMIFS(das_tank_inventories_daily!$M:$M,das_tank_inventories_daily!$C:$C,calculations!$B127,das_tank_inventories_daily!$H:$H,calculations!H$1)</f>
        <v>14115.581135745901</v>
      </c>
      <c r="I127">
        <f>+SUMIFS(das_tank_inventories_daily!$M:$M,das_tank_inventories_daily!$C:$C,calculations!$B127,das_tank_inventories_daily!$H:$H,calculations!I$1)</f>
        <v>-3817.16983717109</v>
      </c>
      <c r="J127">
        <f>+SUMIFS(das_tank_inventories_daily!$M:$M,das_tank_inventories_daily!$C:$C,calculations!$B127,das_tank_inventories_daily!$H:$H,calculations!J$1)</f>
        <v>-171587.39317265499</v>
      </c>
      <c r="K127">
        <f>+SUMIFS(das_tank_inventories_daily!$M:$M,das_tank_inventories_daily!$C:$C,calculations!$B127,das_tank_inventories_daily!$H:$H,calculations!K$1)</f>
        <v>-51806.822639895603</v>
      </c>
      <c r="L127">
        <f>+SUMIFS(das_tank_inventories_daily!$M:$M,das_tank_inventories_daily!$C:$C,calculations!$B127,das_tank_inventories_daily!$H:$H,calculations!L$1)</f>
        <v>-7975.1061260779597</v>
      </c>
      <c r="M127">
        <f>+SUMIFS(das_tank_inventories_daily!$M:$M,das_tank_inventories_daily!$C:$C,calculations!$B127,das_tank_inventories_daily!$H:$H,calculations!M$1)</f>
        <v>-21086.198312013301</v>
      </c>
      <c r="N127">
        <f>+SUMIFS(das_tank_inventories_daily!$M:$M,das_tank_inventories_daily!$C:$C,calculations!$B127,das_tank_inventories_daily!$H:$H,calculations!N$1)</f>
        <v>-138520.09915398201</v>
      </c>
      <c r="O127">
        <f>+SUMIFS(das_tank_inventories_daily!$M:$M,das_tank_inventories_daily!$C:$C,calculations!$B127,das_tank_inventories_daily!$H:$H,calculations!O$1)</f>
        <v>-49522.107584234698</v>
      </c>
      <c r="P127">
        <f>+SUMIFS(das_tank_inventories_daily!$M:$M,das_tank_inventories_daily!$C:$C,calculations!$B127,das_tank_inventories_daily!$H:$H,calculations!P$1)</f>
        <v>-468879.84875949699</v>
      </c>
      <c r="Q127">
        <f>+SUMIFS(das_tank_inventories_daily!$M:$M,das_tank_inventories_daily!$C:$C,calculations!$B127,das_tank_inventories_daily!$H:$H,calculations!Q$1)</f>
        <v>0</v>
      </c>
      <c r="R127">
        <f>+SUMIFS(das_tank_inventories_daily!$M:$M,das_tank_inventories_daily!$C:$C,calculations!$B127,das_tank_inventories_daily!$H:$H,calculations!R$1)</f>
        <v>-2439.6136450209801</v>
      </c>
      <c r="S127">
        <f>+SUMIFS(das_tank_inventories_daily!$M:$M,das_tank_inventories_daily!$C:$C,calculations!$B127,das_tank_inventories_daily!$H:$H,calculations!S$1)</f>
        <v>-15932.440297723901</v>
      </c>
      <c r="T127">
        <f>+SUMIFS(das_tank_inventories_daily!$M:$M,das_tank_inventories_daily!$C:$C,calculations!$B127,das_tank_inventories_daily!$H:$H,calculations!T$1)</f>
        <v>-2018.822951012</v>
      </c>
      <c r="U127">
        <f>+SUMIFS(das_tank_inventories_daily!$M:$M,das_tank_inventories_daily!$C:$C,calculations!$B127,das_tank_inventories_daily!$H:$H,calculations!U$1)</f>
        <v>218894.115624272</v>
      </c>
      <c r="W127" s="2">
        <f t="shared" ref="W127:W128" si="51">+B127</f>
        <v>46148.999988425923</v>
      </c>
      <c r="X127" s="3">
        <f t="shared" ref="X127:X128" si="52">+SUMIFS(C127:U127,C127:U127,"&lt;0")</f>
        <v>-1276458.2765754876</v>
      </c>
      <c r="Y127" s="3">
        <f t="shared" ref="Y127:Y128" si="53">+SUMIFS(C127:U127,C127:U127,"&lt;0")</f>
        <v>-1276458.2765754876</v>
      </c>
      <c r="Z127" s="3">
        <f t="shared" ref="Z127:Z128" si="54">+Y127+X127</f>
        <v>-2552916.5531509751</v>
      </c>
      <c r="AB127" s="2">
        <f>+B127</f>
        <v>46148.999988425923</v>
      </c>
      <c r="AC127" s="3">
        <f t="shared" si="29"/>
        <v>-425486.09219182917</v>
      </c>
      <c r="AD127" s="3">
        <f t="shared" si="30"/>
        <v>84402.065752208946</v>
      </c>
      <c r="AE127" s="3">
        <f t="shared" si="31"/>
        <v>-341084.02643962024</v>
      </c>
      <c r="AH127" s="2">
        <f t="shared" si="37"/>
        <v>46148.999988425923</v>
      </c>
      <c r="AI127" s="4" t="e">
        <f>+AI126+AC127</f>
        <v>#DIV/0!</v>
      </c>
      <c r="AJ127" s="4" t="e">
        <f>+AJ126+AD127</f>
        <v>#DIV/0!</v>
      </c>
      <c r="AK127" s="4">
        <f>+AK126+AE127</f>
        <v>-41945.696154038131</v>
      </c>
    </row>
    <row r="128" spans="2:37" x14ac:dyDescent="0.25">
      <c r="B128" s="1">
        <v>46149.999988425923</v>
      </c>
      <c r="C128">
        <f>+SUMIFS(das_tank_inventories_daily!$M:$M,das_tank_inventories_daily!$C:$C,calculations!$B128,das_tank_inventories_daily!$H:$H,calculations!C$1)</f>
        <v>121.85902264091401</v>
      </c>
      <c r="D128">
        <f>+SUMIFS(das_tank_inventories_daily!$M:$M,das_tank_inventories_daily!$C:$C,calculations!$B128,das_tank_inventories_daily!$H:$H,calculations!D$1)</f>
        <v>-3544.8327179652101</v>
      </c>
      <c r="E128">
        <f>+SUMIFS(das_tank_inventories_daily!$M:$M,das_tank_inventories_daily!$C:$C,calculations!$B128,das_tank_inventories_daily!$H:$H,calculations!E$1)</f>
        <v>-10376.1168700819</v>
      </c>
      <c r="F128">
        <f>+SUMIFS(das_tank_inventories_daily!$M:$M,das_tank_inventories_daily!$C:$C,calculations!$B128,das_tank_inventories_daily!$H:$H,calculations!F$1)</f>
        <v>0</v>
      </c>
      <c r="G128">
        <f>+SUMIFS(das_tank_inventories_daily!$M:$M,das_tank_inventories_daily!$C:$C,calculations!$B128,das_tank_inventories_daily!$H:$H,calculations!G$1)</f>
        <v>-2063.31703733012</v>
      </c>
      <c r="H128">
        <f>+SUMIFS(das_tank_inventories_daily!$M:$M,das_tank_inventories_daily!$C:$C,calculations!$B128,das_tank_inventories_daily!$H:$H,calculations!H$1)</f>
        <v>-4984.3743388536896</v>
      </c>
      <c r="I128">
        <f>+SUMIFS(das_tank_inventories_daily!$M:$M,das_tank_inventories_daily!$C:$C,calculations!$B128,das_tank_inventories_daily!$H:$H,calculations!I$1)</f>
        <v>-689.11193745670596</v>
      </c>
      <c r="J128">
        <f>+SUMIFS(das_tank_inventories_daily!$M:$M,das_tank_inventories_daily!$C:$C,calculations!$B128,das_tank_inventories_daily!$H:$H,calculations!J$1)</f>
        <v>-2863.47245012337</v>
      </c>
      <c r="K128">
        <f>+SUMIFS(das_tank_inventories_daily!$M:$M,das_tank_inventories_daily!$C:$C,calculations!$B128,das_tank_inventories_daily!$H:$H,calculations!K$1)</f>
        <v>1142.52281607699</v>
      </c>
      <c r="L128">
        <f>+SUMIFS(das_tank_inventories_daily!$M:$M,das_tank_inventories_daily!$C:$C,calculations!$B128,das_tank_inventories_daily!$H:$H,calculations!L$1)</f>
        <v>-3033.7660111393102</v>
      </c>
      <c r="M128">
        <f>+SUMIFS(das_tank_inventories_daily!$M:$M,das_tank_inventories_daily!$C:$C,calculations!$B128,das_tank_inventories_daily!$H:$H,calculations!M$1)</f>
        <v>5284.2010474508497</v>
      </c>
      <c r="N128">
        <f>+SUMIFS(das_tank_inventories_daily!$M:$M,das_tank_inventories_daily!$C:$C,calculations!$B128,das_tank_inventories_daily!$H:$H,calculations!N$1)</f>
        <v>114773.941715504</v>
      </c>
      <c r="O128">
        <f>+SUMIFS(das_tank_inventories_daily!$M:$M,das_tank_inventories_daily!$C:$C,calculations!$B128,das_tank_inventories_daily!$H:$H,calculations!O$1)</f>
        <v>1636.3339529100299</v>
      </c>
      <c r="P128">
        <f>+SUMIFS(das_tank_inventories_daily!$M:$M,das_tank_inventories_daily!$C:$C,calculations!$B128,das_tank_inventories_daily!$H:$H,calculations!P$1)</f>
        <v>451315.62786086398</v>
      </c>
      <c r="Q128">
        <f>+SUMIFS(das_tank_inventories_daily!$M:$M,das_tank_inventories_daily!$C:$C,calculations!$B128,das_tank_inventories_daily!$H:$H,calculations!Q$1)</f>
        <v>0</v>
      </c>
      <c r="R128">
        <f>+SUMIFS(das_tank_inventories_daily!$M:$M,das_tank_inventories_daily!$C:$C,calculations!$B128,das_tank_inventories_daily!$H:$H,calculations!R$1)</f>
        <v>-3581.7248722170398</v>
      </c>
      <c r="S128">
        <f>+SUMIFS(das_tank_inventories_daily!$M:$M,das_tank_inventories_daily!$C:$C,calculations!$B128,das_tank_inventories_daily!$H:$H,calculations!S$1)</f>
        <v>0</v>
      </c>
      <c r="T128">
        <f>+SUMIFS(das_tank_inventories_daily!$M:$M,das_tank_inventories_daily!$C:$C,calculations!$B128,das_tank_inventories_daily!$H:$H,calculations!T$1)</f>
        <v>-1664.5998459463499</v>
      </c>
      <c r="U128">
        <f>+SUMIFS(das_tank_inventories_daily!$M:$M,das_tank_inventories_daily!$C:$C,calculations!$B128,das_tank_inventories_daily!$H:$H,calculations!U$1)</f>
        <v>-198228.48502667999</v>
      </c>
      <c r="W128" s="2">
        <f t="shared" si="51"/>
        <v>46149.999988425923</v>
      </c>
      <c r="X128" s="3">
        <f t="shared" si="52"/>
        <v>-231029.8011077937</v>
      </c>
      <c r="Y128" s="3">
        <f t="shared" si="53"/>
        <v>-231029.8011077937</v>
      </c>
      <c r="Z128" s="3">
        <f t="shared" si="54"/>
        <v>-462059.60221558739</v>
      </c>
      <c r="AB128" s="2">
        <f>+B128</f>
        <v>46149.999988425923</v>
      </c>
      <c r="AC128" s="3">
        <f t="shared" si="29"/>
        <v>-5.0060628638295617</v>
      </c>
      <c r="AD128" s="3">
        <f t="shared" si="30"/>
        <v>12.443650846359057</v>
      </c>
      <c r="AE128" s="3">
        <f t="shared" si="31"/>
        <v>7.4375879825294957</v>
      </c>
      <c r="AH128" s="2">
        <f t="shared" si="37"/>
        <v>46149.999988425923</v>
      </c>
      <c r="AI128" s="4" t="e">
        <f t="shared" si="38"/>
        <v>#DIV/0!</v>
      </c>
      <c r="AJ128" s="4" t="e">
        <f t="shared" si="39"/>
        <v>#DIV/0!</v>
      </c>
      <c r="AK128" s="4">
        <f t="shared" si="40"/>
        <v>-41938.2585660556</v>
      </c>
    </row>
    <row r="129" spans="2:37" x14ac:dyDescent="0.25">
      <c r="B129" s="1"/>
      <c r="AB129" s="2"/>
      <c r="AC129" s="3" t="e">
        <f t="shared" si="29"/>
        <v>#DIV/0!</v>
      </c>
      <c r="AD129" s="3" t="e">
        <f t="shared" si="30"/>
        <v>#DIV/0!</v>
      </c>
      <c r="AE129" s="3"/>
      <c r="AH129" s="2">
        <f t="shared" si="37"/>
        <v>0</v>
      </c>
      <c r="AI129" s="4" t="e">
        <f t="shared" si="38"/>
        <v>#DIV/0!</v>
      </c>
      <c r="AJ129" s="4" t="e">
        <f t="shared" si="39"/>
        <v>#DIV/0!</v>
      </c>
      <c r="AK129" s="4">
        <f t="shared" si="40"/>
        <v>-41938.2585660556</v>
      </c>
    </row>
    <row r="130" spans="2:37" x14ac:dyDescent="0.25">
      <c r="B130" s="1"/>
      <c r="AB130" s="2"/>
      <c r="AC130" s="3">
        <f t="shared" si="29"/>
        <v>0</v>
      </c>
      <c r="AD130" s="3">
        <f t="shared" si="30"/>
        <v>0</v>
      </c>
      <c r="AE130" s="3"/>
      <c r="AH130" s="2">
        <f t="shared" si="37"/>
        <v>0</v>
      </c>
      <c r="AI130" s="4" t="e">
        <f t="shared" si="38"/>
        <v>#DIV/0!</v>
      </c>
      <c r="AJ130" s="4" t="e">
        <f t="shared" si="39"/>
        <v>#DIV/0!</v>
      </c>
      <c r="AK130" s="4">
        <f t="shared" si="40"/>
        <v>-41938.2585660556</v>
      </c>
    </row>
    <row r="131" spans="2:37" x14ac:dyDescent="0.25">
      <c r="B131" s="1">
        <v>46152.999988425923</v>
      </c>
      <c r="C131">
        <f>+SUMIFS(das_tank_inventories_daily!$M:$M,das_tank_inventories_daily!$C:$C,calculations!$B131,das_tank_inventories_daily!$H:$H,calculations!C$1)</f>
        <v>-3014.6060309178702</v>
      </c>
      <c r="D131">
        <f>+SUMIFS(das_tank_inventories_daily!$M:$M,das_tank_inventories_daily!$C:$C,calculations!$B131,das_tank_inventories_daily!$H:$H,calculations!D$1)</f>
        <v>-85.276004056242499</v>
      </c>
      <c r="E131">
        <f>+SUMIFS(das_tank_inventories_daily!$M:$M,das_tank_inventories_daily!$C:$C,calculations!$B131,das_tank_inventories_daily!$H:$H,calculations!E$1)</f>
        <v>-10604.956537653101</v>
      </c>
      <c r="F131">
        <f>+SUMIFS(das_tank_inventories_daily!$M:$M,das_tank_inventories_daily!$C:$C,calculations!$B131,das_tank_inventories_daily!$H:$H,calculations!F$1)</f>
        <v>0</v>
      </c>
      <c r="G131">
        <f>+SUMIFS(das_tank_inventories_daily!$M:$M,das_tank_inventories_daily!$C:$C,calculations!$B131,das_tank_inventories_daily!$H:$H,calculations!G$1)</f>
        <v>-16704.327956881902</v>
      </c>
      <c r="H131">
        <f>+SUMIFS(das_tank_inventories_daily!$M:$M,das_tank_inventories_daily!$C:$C,calculations!$B131,das_tank_inventories_daily!$H:$H,calculations!H$1)</f>
        <v>-18854.823850064298</v>
      </c>
      <c r="I131">
        <f>+SUMIFS(das_tank_inventories_daily!$M:$M,das_tank_inventories_daily!$C:$C,calculations!$B131,das_tank_inventories_daily!$H:$H,calculations!I$1)</f>
        <v>-310.17181606910799</v>
      </c>
      <c r="J131">
        <f>+SUMIFS(das_tank_inventories_daily!$M:$M,das_tank_inventories_daily!$C:$C,calculations!$B131,das_tank_inventories_daily!$H:$H,calculations!J$1)</f>
        <v>-221214.86245407601</v>
      </c>
      <c r="K131">
        <f>+SUMIFS(das_tank_inventories_daily!$M:$M,das_tank_inventories_daily!$C:$C,calculations!$B131,das_tank_inventories_daily!$H:$H,calculations!K$1)</f>
        <v>-254248.12614012099</v>
      </c>
      <c r="L131">
        <f>+SUMIFS(das_tank_inventories_daily!$M:$M,das_tank_inventories_daily!$C:$C,calculations!$B131,das_tank_inventories_daily!$H:$H,calculations!L$1)</f>
        <v>-6380.3553845160905</v>
      </c>
      <c r="M131">
        <f>+SUMIFS(das_tank_inventories_daily!$M:$M,das_tank_inventories_daily!$C:$C,calculations!$B131,das_tank_inventories_daily!$H:$H,calculations!M$1)</f>
        <v>11352.092220288099</v>
      </c>
      <c r="N131">
        <f>+SUMIFS(das_tank_inventories_daily!$M:$M,das_tank_inventories_daily!$C:$C,calculations!$B131,das_tank_inventories_daily!$H:$H,calculations!N$1)</f>
        <v>12891.595432312701</v>
      </c>
      <c r="O131">
        <f>+SUMIFS(das_tank_inventories_daily!$M:$M,das_tank_inventories_daily!$C:$C,calculations!$B131,das_tank_inventories_daily!$H:$H,calculations!O$1)</f>
        <v>-17987.7664404733</v>
      </c>
      <c r="P131">
        <f>+SUMIFS(das_tank_inventories_daily!$M:$M,das_tank_inventories_daily!$C:$C,calculations!$B131,das_tank_inventories_daily!$H:$H,calculations!P$1)</f>
        <v>14274.803115664199</v>
      </c>
      <c r="Q131">
        <f>+SUMIFS(das_tank_inventories_daily!$M:$M,das_tank_inventories_daily!$C:$C,calculations!$B131,das_tank_inventories_daily!$H:$H,calculations!Q$1)</f>
        <v>0</v>
      </c>
      <c r="R131">
        <f>+SUMIFS(das_tank_inventories_daily!$M:$M,das_tank_inventories_daily!$C:$C,calculations!$B131,das_tank_inventories_daily!$H:$H,calculations!R$1)</f>
        <v>28768.955741322199</v>
      </c>
      <c r="S131">
        <f>+SUMIFS(das_tank_inventories_daily!$M:$M,das_tank_inventories_daily!$C:$C,calculations!$B131,das_tank_inventories_daily!$H:$H,calculations!S$1)</f>
        <v>0</v>
      </c>
      <c r="T131">
        <f>+SUMIFS(das_tank_inventories_daily!$M:$M,das_tank_inventories_daily!$C:$C,calculations!$B131,das_tank_inventories_daily!$H:$H,calculations!T$1)</f>
        <v>2532.5239699410099</v>
      </c>
      <c r="U131">
        <f>+SUMIFS(das_tank_inventories_daily!$M:$M,das_tank_inventories_daily!$C:$C,calculations!$B131,das_tank_inventories_daily!$H:$H,calculations!U$1)</f>
        <v>-27783.309070087998</v>
      </c>
      <c r="W131" s="2">
        <f>+B131</f>
        <v>46152.999988425923</v>
      </c>
      <c r="X131" s="3">
        <f>+SUMIFS(C131:U131,C131:U131,"&lt;0")</f>
        <v>-577188.58168491686</v>
      </c>
      <c r="Y131" s="3">
        <f>+SUMIFS(C131:U131,C131:U131,"&lt;0")</f>
        <v>-577188.58168491686</v>
      </c>
      <c r="Z131" s="3">
        <f t="shared" ref="Z131" si="55">+Y131+X131</f>
        <v>-1154377.1633698337</v>
      </c>
      <c r="AB131" s="2">
        <f>+B131</f>
        <v>46152.999988425923</v>
      </c>
      <c r="AC131" s="3">
        <f t="shared" si="29"/>
        <v>-192396.1938949723</v>
      </c>
      <c r="AD131" s="3">
        <f t="shared" si="30"/>
        <v>23273.323493176071</v>
      </c>
      <c r="AE131" s="3">
        <f t="shared" si="31"/>
        <v>-169122.87040179622</v>
      </c>
      <c r="AH131" s="2">
        <f t="shared" si="37"/>
        <v>46152.999988425923</v>
      </c>
      <c r="AI131" s="4" t="e">
        <f>+AI130+AC131</f>
        <v>#DIV/0!</v>
      </c>
      <c r="AJ131" s="4" t="e">
        <f>+AJ130+AD131</f>
        <v>#DIV/0!</v>
      </c>
      <c r="AK131" s="4">
        <f>+AK130+AE131</f>
        <v>-211061.12896785181</v>
      </c>
    </row>
    <row r="132" spans="2:37" x14ac:dyDescent="0.25">
      <c r="B132" s="1"/>
      <c r="AB132" s="2"/>
      <c r="AC132" s="3" t="e">
        <f t="shared" si="29"/>
        <v>#DIV/0!</v>
      </c>
      <c r="AD132" s="3" t="e">
        <f t="shared" si="30"/>
        <v>#DIV/0!</v>
      </c>
      <c r="AE132" s="3"/>
      <c r="AH132" s="2">
        <f t="shared" si="37"/>
        <v>0</v>
      </c>
      <c r="AI132" s="4" t="e">
        <f t="shared" si="38"/>
        <v>#DIV/0!</v>
      </c>
      <c r="AJ132" s="4" t="e">
        <f t="shared" si="39"/>
        <v>#DIV/0!</v>
      </c>
      <c r="AK132" s="4">
        <f t="shared" si="40"/>
        <v>-211061.12896785181</v>
      </c>
    </row>
    <row r="133" spans="2:37" x14ac:dyDescent="0.25">
      <c r="B133" s="1">
        <v>46154.999988425923</v>
      </c>
      <c r="C133">
        <f>+SUMIFS(das_tank_inventories_daily!$M:$M,das_tank_inventories_daily!$C:$C,calculations!$B133,das_tank_inventories_daily!$H:$H,calculations!C$1)</f>
        <v>2662.44842445736</v>
      </c>
      <c r="D133">
        <f>+SUMIFS(das_tank_inventories_daily!$M:$M,das_tank_inventories_daily!$C:$C,calculations!$B133,das_tank_inventories_daily!$H:$H,calculations!D$1)</f>
        <v>3470.0281893476199</v>
      </c>
      <c r="E133">
        <f>+SUMIFS(das_tank_inventories_daily!$M:$M,das_tank_inventories_daily!$C:$C,calculations!$B133,das_tank_inventories_daily!$H:$H,calculations!E$1)</f>
        <v>371741.83601156401</v>
      </c>
      <c r="F133">
        <f>+SUMIFS(das_tank_inventories_daily!$M:$M,das_tank_inventories_daily!$C:$C,calculations!$B133,das_tank_inventories_daily!$H:$H,calculations!F$1)</f>
        <v>0</v>
      </c>
      <c r="G133">
        <f>+SUMIFS(das_tank_inventories_daily!$M:$M,das_tank_inventories_daily!$C:$C,calculations!$B133,das_tank_inventories_daily!$H:$H,calculations!G$1)</f>
        <v>17310.5882835335</v>
      </c>
      <c r="H133">
        <f>+SUMIFS(das_tank_inventories_daily!$M:$M,das_tank_inventories_daily!$C:$C,calculations!$B133,das_tank_inventories_daily!$H:$H,calculations!H$1)</f>
        <v>443927.51737786102</v>
      </c>
      <c r="I133">
        <f>+SUMIFS(das_tank_inventories_daily!$M:$M,das_tank_inventories_daily!$C:$C,calculations!$B133,das_tank_inventories_daily!$H:$H,calculations!I$1)</f>
        <v>-22527.595410904702</v>
      </c>
      <c r="J133">
        <f>+SUMIFS(das_tank_inventories_daily!$M:$M,das_tank_inventories_daily!$C:$C,calculations!$B133,das_tank_inventories_daily!$H:$H,calculations!J$1)</f>
        <v>39772.116491529501</v>
      </c>
      <c r="K133">
        <f>+SUMIFS(das_tank_inventories_daily!$M:$M,das_tank_inventories_daily!$C:$C,calculations!$B133,das_tank_inventories_daily!$H:$H,calculations!K$1)</f>
        <v>-315293.51072911301</v>
      </c>
      <c r="L133">
        <f>+SUMIFS(das_tank_inventories_daily!$M:$M,das_tank_inventories_daily!$C:$C,calculations!$B133,das_tank_inventories_daily!$H:$H,calculations!L$1)</f>
        <v>-5339.1039976091997</v>
      </c>
      <c r="M133">
        <f>+SUMIFS(das_tank_inventories_daily!$M:$M,das_tank_inventories_daily!$C:$C,calculations!$B133,das_tank_inventories_daily!$H:$H,calculations!M$1)</f>
        <v>-13055.0311704619</v>
      </c>
      <c r="N133">
        <f>+SUMIFS(das_tank_inventories_daily!$M:$M,das_tank_inventories_daily!$C:$C,calculations!$B133,das_tank_inventories_daily!$H:$H,calculations!N$1)</f>
        <v>237941.90076110899</v>
      </c>
      <c r="O133">
        <f>+SUMIFS(das_tank_inventories_daily!$M:$M,das_tank_inventories_daily!$C:$C,calculations!$B133,das_tank_inventories_daily!$H:$H,calculations!O$1)</f>
        <v>415659.59568255499</v>
      </c>
      <c r="P133">
        <f>+SUMIFS(das_tank_inventories_daily!$M:$M,das_tank_inventories_daily!$C:$C,calculations!$B133,das_tank_inventories_daily!$H:$H,calculations!P$1)</f>
        <v>-465590.43097652798</v>
      </c>
      <c r="Q133">
        <f>+SUMIFS(das_tank_inventories_daily!$M:$M,das_tank_inventories_daily!$C:$C,calculations!$B133,das_tank_inventories_daily!$H:$H,calculations!Q$1)</f>
        <v>0</v>
      </c>
      <c r="R133">
        <f>+SUMIFS(das_tank_inventories_daily!$M:$M,das_tank_inventories_daily!$C:$C,calculations!$B133,das_tank_inventories_daily!$H:$H,calculations!R$1)</f>
        <v>-26706.291398874699</v>
      </c>
      <c r="S133">
        <f>+SUMIFS(das_tank_inventories_daily!$M:$M,das_tank_inventories_daily!$C:$C,calculations!$B133,das_tank_inventories_daily!$H:$H,calculations!S$1)</f>
        <v>395588.79465990001</v>
      </c>
      <c r="T133">
        <f>+SUMIFS(das_tank_inventories_daily!$M:$M,das_tank_inventories_daily!$C:$C,calculations!$B133,das_tank_inventories_daily!$H:$H,calculations!T$1)</f>
        <v>-4866.3821543879403</v>
      </c>
      <c r="U133">
        <f>+SUMIFS(das_tank_inventories_daily!$M:$M,das_tank_inventories_daily!$C:$C,calculations!$B133,das_tank_inventories_daily!$H:$H,calculations!U$1)</f>
        <v>376072.65665598901</v>
      </c>
      <c r="W133" s="2">
        <f>+B133</f>
        <v>46154.999988425923</v>
      </c>
      <c r="X133" s="3">
        <f>+SUMIFS(C133:U133,C133:U133,"&lt;0")</f>
        <v>-853378.34583787946</v>
      </c>
      <c r="Y133" s="3">
        <f>+SUMIFS(C133:U133,C133:U133,"&lt;0")</f>
        <v>-853378.34583787946</v>
      </c>
      <c r="Z133" s="3">
        <f t="shared" ref="Z133" si="56">+Y133+X133</f>
        <v>-1706756.6916757589</v>
      </c>
      <c r="AB133" s="2">
        <f>+B133</f>
        <v>46154.999988425923</v>
      </c>
      <c r="AC133" s="3">
        <f t="shared" si="29"/>
        <v>-18.489401929409105</v>
      </c>
      <c r="AD133" s="3">
        <f t="shared" si="30"/>
        <v>49.921947418820203</v>
      </c>
      <c r="AE133" s="3">
        <f t="shared" si="31"/>
        <v>31.432545489411098</v>
      </c>
      <c r="AH133" s="2">
        <f t="shared" si="37"/>
        <v>46154.999988425923</v>
      </c>
      <c r="AI133" s="4" t="e">
        <f>+AI132+AC133</f>
        <v>#DIV/0!</v>
      </c>
      <c r="AJ133" s="4" t="e">
        <f>+AJ132+AD133</f>
        <v>#DIV/0!</v>
      </c>
      <c r="AK133" s="4">
        <f>+AK132+AE133</f>
        <v>-211029.69642236241</v>
      </c>
    </row>
    <row r="134" spans="2:37" x14ac:dyDescent="0.25">
      <c r="B134" s="1"/>
      <c r="AB134" s="2"/>
      <c r="AC134" s="3">
        <f t="shared" si="29"/>
        <v>0</v>
      </c>
      <c r="AD134" s="3">
        <f t="shared" si="30"/>
        <v>0</v>
      </c>
      <c r="AE134" s="3"/>
      <c r="AH134" s="2">
        <f t="shared" si="37"/>
        <v>0</v>
      </c>
      <c r="AI134" s="4" t="e">
        <f t="shared" si="38"/>
        <v>#DIV/0!</v>
      </c>
      <c r="AJ134" s="4" t="e">
        <f t="shared" si="39"/>
        <v>#DIV/0!</v>
      </c>
      <c r="AK134" s="4">
        <f t="shared" si="40"/>
        <v>-211029.69642236241</v>
      </c>
    </row>
    <row r="135" spans="2:37" x14ac:dyDescent="0.25">
      <c r="B135" s="1"/>
      <c r="AB135" s="2"/>
      <c r="AC135" s="3" t="e">
        <f t="shared" si="29"/>
        <v>#DIV/0!</v>
      </c>
      <c r="AD135" s="3" t="e">
        <f t="shared" si="30"/>
        <v>#DIV/0!</v>
      </c>
      <c r="AE135" s="3"/>
      <c r="AH135" s="2">
        <f t="shared" si="37"/>
        <v>0</v>
      </c>
      <c r="AI135" s="4" t="e">
        <f t="shared" si="38"/>
        <v>#DIV/0!</v>
      </c>
      <c r="AJ135" s="4" t="e">
        <f t="shared" si="39"/>
        <v>#DIV/0!</v>
      </c>
      <c r="AK135" s="4">
        <f t="shared" si="40"/>
        <v>-211029.69642236241</v>
      </c>
    </row>
    <row r="136" spans="2:37" x14ac:dyDescent="0.25">
      <c r="B136" s="1">
        <v>46157.999988425923</v>
      </c>
      <c r="C136">
        <f>+SUMIFS(das_tank_inventories_daily!$M:$M,das_tank_inventories_daily!$C:$C,calculations!$B136,das_tank_inventories_daily!$H:$H,calculations!C$1)</f>
        <v>-4032.4278358205302</v>
      </c>
      <c r="D136">
        <f>+SUMIFS(das_tank_inventories_daily!$M:$M,das_tank_inventories_daily!$C:$C,calculations!$B136,das_tank_inventories_daily!$H:$H,calculations!D$1)</f>
        <v>-2586.1385806287499</v>
      </c>
      <c r="E136">
        <f>+SUMIFS(das_tank_inventories_daily!$M:$M,das_tank_inventories_daily!$C:$C,calculations!$B136,das_tank_inventories_daily!$H:$H,calculations!E$1)</f>
        <v>-19625.366717375298</v>
      </c>
      <c r="F136">
        <f>+SUMIFS(das_tank_inventories_daily!$M:$M,das_tank_inventories_daily!$C:$C,calculations!$B136,das_tank_inventories_daily!$H:$H,calculations!F$1)</f>
        <v>0</v>
      </c>
      <c r="G136">
        <f>+SUMIFS(das_tank_inventories_daily!$M:$M,das_tank_inventories_daily!$C:$C,calculations!$B136,das_tank_inventories_daily!$H:$H,calculations!G$1)</f>
        <v>-14645.474143404999</v>
      </c>
      <c r="H136">
        <f>+SUMIFS(das_tank_inventories_daily!$M:$M,das_tank_inventories_daily!$C:$C,calculations!$B136,das_tank_inventories_daily!$H:$H,calculations!H$1)</f>
        <v>14378.9525814476</v>
      </c>
      <c r="I136">
        <f>+SUMIFS(das_tank_inventories_daily!$M:$M,das_tank_inventories_daily!$C:$C,calculations!$B136,das_tank_inventories_daily!$H:$H,calculations!I$1)</f>
        <v>-199779.028237024</v>
      </c>
      <c r="J136">
        <f>+SUMIFS(das_tank_inventories_daily!$M:$M,das_tank_inventories_daily!$C:$C,calculations!$B136,das_tank_inventories_daily!$H:$H,calculations!J$1)</f>
        <v>356581.89552935102</v>
      </c>
      <c r="K136">
        <f>+SUMIFS(das_tank_inventories_daily!$M:$M,das_tank_inventories_daily!$C:$C,calculations!$B136,das_tank_inventories_daily!$H:$H,calculations!K$1)</f>
        <v>0</v>
      </c>
      <c r="L136">
        <f>+SUMIFS(das_tank_inventories_daily!$M:$M,das_tank_inventories_daily!$C:$C,calculations!$B136,das_tank_inventories_daily!$H:$H,calculations!L$1)</f>
        <v>-27418.9432193467</v>
      </c>
      <c r="M136">
        <f>+SUMIFS(das_tank_inventories_daily!$M:$M,das_tank_inventories_daily!$C:$C,calculations!$B136,das_tank_inventories_daily!$H:$H,calculations!M$1)</f>
        <v>-17926.269919054299</v>
      </c>
      <c r="N136">
        <f>+SUMIFS(das_tank_inventories_daily!$M:$M,das_tank_inventories_daily!$C:$C,calculations!$B136,das_tank_inventories_daily!$H:$H,calculations!N$1)</f>
        <v>18025.659329501599</v>
      </c>
      <c r="O136">
        <f>+SUMIFS(das_tank_inventories_daily!$M:$M,das_tank_inventories_daily!$C:$C,calculations!$B136,das_tank_inventories_daily!$H:$H,calculations!O$1)</f>
        <v>12519.4723667906</v>
      </c>
      <c r="P136">
        <f>+SUMIFS(das_tank_inventories_daily!$M:$M,das_tank_inventories_daily!$C:$C,calculations!$B136,das_tank_inventories_daily!$H:$H,calculations!P$1)</f>
        <v>465015.45433183498</v>
      </c>
      <c r="Q136">
        <f>+SUMIFS(das_tank_inventories_daily!$M:$M,das_tank_inventories_daily!$C:$C,calculations!$B136,das_tank_inventories_daily!$H:$H,calculations!Q$1)</f>
        <v>0</v>
      </c>
      <c r="R136">
        <f>+SUMIFS(das_tank_inventories_daily!$M:$M,das_tank_inventories_daily!$C:$C,calculations!$B136,das_tank_inventories_daily!$H:$H,calculations!R$1)</f>
        <v>30791.069156586102</v>
      </c>
      <c r="S136">
        <f>+SUMIFS(das_tank_inventories_daily!$M:$M,das_tank_inventories_daily!$C:$C,calculations!$B136,das_tank_inventories_daily!$H:$H,calculations!S$1)</f>
        <v>1172.9244535484399</v>
      </c>
      <c r="T136">
        <f>+SUMIFS(das_tank_inventories_daily!$M:$M,das_tank_inventories_daily!$C:$C,calculations!$B136,das_tank_inventories_daily!$H:$H,calculations!T$1)</f>
        <v>5250.3401741310299</v>
      </c>
      <c r="U136">
        <f>+SUMIFS(das_tank_inventories_daily!$M:$M,das_tank_inventories_daily!$C:$C,calculations!$B136,das_tank_inventories_daily!$H:$H,calculations!U$1)</f>
        <v>-421238.04633176298</v>
      </c>
      <c r="W136" s="2">
        <f>+B136</f>
        <v>46157.999988425923</v>
      </c>
      <c r="X136" s="3">
        <f>+SUMIFS(C136:U136,C136:U136,"&lt;0")</f>
        <v>-707251.69498441753</v>
      </c>
      <c r="Y136" s="3">
        <f>+SUMIFS(C136:U136,C136:U136,"&lt;0")</f>
        <v>-707251.69498441753</v>
      </c>
      <c r="Z136" s="3">
        <f t="shared" ref="Z136" si="57">+Y136+X136</f>
        <v>-1414503.3899688351</v>
      </c>
      <c r="AB136" s="2">
        <f>+B136</f>
        <v>46157.999988425923</v>
      </c>
      <c r="AC136" s="3">
        <f t="shared" ref="AC136:AC199" si="58">+SUMIFS(C136:U136,C136:U136,"&lt;0")/(AB136-AB133)</f>
        <v>-235750.56499480584</v>
      </c>
      <c r="AD136" s="3">
        <f t="shared" ref="AD136:AD199" si="59">+SUMIFS(C136:U136,C136:U136,"&gt;0")/(AB136-AB133)</f>
        <v>301245.25597439706</v>
      </c>
      <c r="AE136" s="3">
        <f t="shared" si="31"/>
        <v>65494.690979591222</v>
      </c>
      <c r="AH136" s="2">
        <f t="shared" si="37"/>
        <v>46157.999988425923</v>
      </c>
      <c r="AI136" s="4" t="e">
        <f>+AI135+AC136</f>
        <v>#DIV/0!</v>
      </c>
      <c r="AJ136" s="4" t="e">
        <f>+AJ135+AD136</f>
        <v>#DIV/0!</v>
      </c>
      <c r="AK136" s="4">
        <f>+AK135+AE136</f>
        <v>-145535.00544277119</v>
      </c>
    </row>
    <row r="137" spans="2:37" x14ac:dyDescent="0.25">
      <c r="B137" s="1"/>
      <c r="AB137" s="2"/>
      <c r="AC137" s="3" t="e">
        <f t="shared" si="58"/>
        <v>#DIV/0!</v>
      </c>
      <c r="AD137" s="3" t="e">
        <f t="shared" si="59"/>
        <v>#DIV/0!</v>
      </c>
      <c r="AE137" s="3"/>
      <c r="AH137" s="2">
        <f t="shared" si="37"/>
        <v>0</v>
      </c>
      <c r="AI137" s="4" t="e">
        <f t="shared" si="38"/>
        <v>#DIV/0!</v>
      </c>
      <c r="AJ137" s="4" t="e">
        <f t="shared" si="39"/>
        <v>#DIV/0!</v>
      </c>
      <c r="AK137" s="4">
        <f t="shared" si="40"/>
        <v>-145535.00544277119</v>
      </c>
    </row>
    <row r="138" spans="2:37" x14ac:dyDescent="0.25">
      <c r="B138" s="1"/>
      <c r="AB138" s="2"/>
      <c r="AC138" s="3" t="e">
        <f t="shared" si="58"/>
        <v>#DIV/0!</v>
      </c>
      <c r="AD138" s="3" t="e">
        <f t="shared" si="59"/>
        <v>#DIV/0!</v>
      </c>
      <c r="AE138" s="3"/>
      <c r="AH138" s="2">
        <f t="shared" si="37"/>
        <v>0</v>
      </c>
      <c r="AI138" s="4" t="e">
        <f t="shared" si="38"/>
        <v>#DIV/0!</v>
      </c>
      <c r="AJ138" s="4" t="e">
        <f t="shared" si="39"/>
        <v>#DIV/0!</v>
      </c>
      <c r="AK138" s="4">
        <f t="shared" si="40"/>
        <v>-145535.00544277119</v>
      </c>
    </row>
    <row r="139" spans="2:37" x14ac:dyDescent="0.25">
      <c r="B139" s="1">
        <v>46160.999988425923</v>
      </c>
      <c r="C139">
        <f>+SUMIFS(das_tank_inventories_daily!$M:$M,das_tank_inventories_daily!$C:$C,calculations!$B139,das_tank_inventories_daily!$H:$H,calculations!C$1)</f>
        <v>4448.3906073460203</v>
      </c>
      <c r="D139">
        <f>+SUMIFS(das_tank_inventories_daily!$M:$M,das_tank_inventories_daily!$C:$C,calculations!$B139,das_tank_inventories_daily!$H:$H,calculations!D$1)</f>
        <v>3222.0154981794999</v>
      </c>
      <c r="E139">
        <f>+SUMIFS(das_tank_inventories_daily!$M:$M,das_tank_inventories_daily!$C:$C,calculations!$B139,das_tank_inventories_daily!$H:$H,calculations!E$1)</f>
        <v>-337088.69538881601</v>
      </c>
      <c r="F139">
        <f>+SUMIFS(das_tank_inventories_daily!$M:$M,das_tank_inventories_daily!$C:$C,calculations!$B139,das_tank_inventories_daily!$H:$H,calculations!F$1)</f>
        <v>0</v>
      </c>
      <c r="G139">
        <f>+SUMIFS(das_tank_inventories_daily!$M:$M,das_tank_inventories_daily!$C:$C,calculations!$B139,das_tank_inventories_daily!$H:$H,calculations!G$1)</f>
        <v>21904.745900011902</v>
      </c>
      <c r="H139">
        <f>+SUMIFS(das_tank_inventories_daily!$M:$M,das_tank_inventories_daily!$C:$C,calculations!$B139,das_tank_inventories_daily!$H:$H,calculations!H$1)</f>
        <v>-460269.80856383801</v>
      </c>
      <c r="I139">
        <f>+SUMIFS(das_tank_inventories_daily!$M:$M,das_tank_inventories_daily!$C:$C,calculations!$B139,das_tank_inventories_daily!$H:$H,calculations!I$1)</f>
        <v>-293660.47695935599</v>
      </c>
      <c r="J139">
        <f>+SUMIFS(das_tank_inventories_daily!$M:$M,das_tank_inventories_daily!$C:$C,calculations!$B139,das_tank_inventories_daily!$H:$H,calculations!J$1)</f>
        <v>-34481.901384951299</v>
      </c>
      <c r="K139">
        <f>+SUMIFS(das_tank_inventories_daily!$M:$M,das_tank_inventories_daily!$C:$C,calculations!$B139,das_tank_inventories_daily!$H:$H,calculations!K$1)</f>
        <v>650816.60295316798</v>
      </c>
      <c r="L139">
        <f>+SUMIFS(das_tank_inventories_daily!$M:$M,das_tank_inventories_daily!$C:$C,calculations!$B139,das_tank_inventories_daily!$H:$H,calculations!L$1)</f>
        <v>-10158.572090083901</v>
      </c>
      <c r="M139">
        <f>+SUMIFS(das_tank_inventories_daily!$M:$M,das_tank_inventories_daily!$C:$C,calculations!$B139,das_tank_inventories_daily!$H:$H,calculations!M$1)</f>
        <v>16708.520737586601</v>
      </c>
      <c r="N139">
        <f>+SUMIFS(das_tank_inventories_daily!$M:$M,das_tank_inventories_daily!$C:$C,calculations!$B139,das_tank_inventories_daily!$H:$H,calculations!N$1)</f>
        <v>89697.685671335596</v>
      </c>
      <c r="O139">
        <f>+SUMIFS(das_tank_inventories_daily!$M:$M,das_tank_inventories_daily!$C:$C,calculations!$B139,das_tank_inventories_daily!$H:$H,calculations!O$1)</f>
        <v>-314657.29929534497</v>
      </c>
      <c r="P139">
        <f>+SUMIFS(das_tank_inventories_daily!$M:$M,das_tank_inventories_daily!$C:$C,calculations!$B139,das_tank_inventories_daily!$H:$H,calculations!P$1)</f>
        <v>-465015.45433183498</v>
      </c>
      <c r="Q139">
        <f>+SUMIFS(das_tank_inventories_daily!$M:$M,das_tank_inventories_daily!$C:$C,calculations!$B139,das_tank_inventories_daily!$H:$H,calculations!Q$1)</f>
        <v>0</v>
      </c>
      <c r="R139">
        <f>+SUMIFS(das_tank_inventories_daily!$M:$M,das_tank_inventories_daily!$C:$C,calculations!$B139,das_tank_inventories_daily!$H:$H,calculations!R$1)</f>
        <v>-108164.70558343601</v>
      </c>
      <c r="S139">
        <f>+SUMIFS(das_tank_inventories_daily!$M:$M,das_tank_inventories_daily!$C:$C,calculations!$B139,das_tank_inventories_daily!$H:$H,calculations!S$1)</f>
        <v>-396761.71911344898</v>
      </c>
      <c r="T139">
        <f>+SUMIFS(das_tank_inventories_daily!$M:$M,das_tank_inventories_daily!$C:$C,calculations!$B139,das_tank_inventories_daily!$H:$H,calculations!T$1)</f>
        <v>3299.75907358928</v>
      </c>
      <c r="U139">
        <f>+SUMIFS(das_tank_inventories_daily!$M:$M,das_tank_inventories_daily!$C:$C,calculations!$B139,das_tank_inventories_daily!$H:$H,calculations!U$1)</f>
        <v>277328.40327078599</v>
      </c>
      <c r="W139" s="2">
        <f t="shared" ref="W139:W140" si="60">+B139</f>
        <v>46160.999988425923</v>
      </c>
      <c r="X139" s="3">
        <f t="shared" ref="X139:X140" si="61">+SUMIFS(C139:U139,C139:U139,"&lt;0")</f>
        <v>-2420258.6327111102</v>
      </c>
      <c r="Y139" s="3">
        <f t="shared" ref="Y139:Y140" si="62">+SUMIFS(C139:U139,C139:U139,"&lt;0")</f>
        <v>-2420258.6327111102</v>
      </c>
      <c r="Z139" s="3">
        <f t="shared" ref="Z139:Z140" si="63">+Y139+X139</f>
        <v>-4840517.2654222203</v>
      </c>
      <c r="AB139" s="2">
        <f>+B139</f>
        <v>46160.999988425923</v>
      </c>
      <c r="AC139" s="3">
        <f t="shared" si="58"/>
        <v>-806752.8775703701</v>
      </c>
      <c r="AD139" s="3">
        <f t="shared" si="59"/>
        <v>355808.70790400094</v>
      </c>
      <c r="AE139" s="3">
        <f t="shared" ref="AE139:AE200" si="64">+AD139+AC139</f>
        <v>-450944.16966636915</v>
      </c>
      <c r="AH139" s="2">
        <f t="shared" si="37"/>
        <v>46160.999988425923</v>
      </c>
      <c r="AI139" s="4" t="e">
        <f>+AI138+AC139</f>
        <v>#DIV/0!</v>
      </c>
      <c r="AJ139" s="4" t="e">
        <f>+AJ138+AD139</f>
        <v>#DIV/0!</v>
      </c>
      <c r="AK139" s="4">
        <f>+AK138+AE139</f>
        <v>-596479.17510914034</v>
      </c>
    </row>
    <row r="140" spans="2:37" x14ac:dyDescent="0.25">
      <c r="B140" s="1">
        <v>46161.999988425923</v>
      </c>
      <c r="C140">
        <f>+SUMIFS(das_tank_inventories_daily!$M:$M,das_tank_inventories_daily!$C:$C,calculations!$B140,das_tank_inventories_daily!$H:$H,calculations!C$1)</f>
        <v>-336.982925642922</v>
      </c>
      <c r="D140">
        <f>+SUMIFS(das_tank_inventories_daily!$M:$M,das_tank_inventories_daily!$C:$C,calculations!$B140,das_tank_inventories_daily!$H:$H,calculations!D$1)</f>
        <v>654.62691109150103</v>
      </c>
      <c r="E140">
        <f>+SUMIFS(das_tank_inventories_daily!$M:$M,das_tank_inventories_daily!$C:$C,calculations!$B140,das_tank_inventories_daily!$H:$H,calculations!E$1)</f>
        <v>362291.62449912902</v>
      </c>
      <c r="F140">
        <f>+SUMIFS(das_tank_inventories_daily!$M:$M,das_tank_inventories_daily!$C:$C,calculations!$B140,das_tank_inventories_daily!$H:$H,calculations!F$1)</f>
        <v>0</v>
      </c>
      <c r="G140">
        <f>+SUMIFS(das_tank_inventories_daily!$M:$M,das_tank_inventories_daily!$C:$C,calculations!$B140,das_tank_inventories_daily!$H:$H,calculations!G$1)</f>
        <v>-8212.9898207949009</v>
      </c>
      <c r="H140">
        <f>+SUMIFS(das_tank_inventories_daily!$M:$M,das_tank_inventories_daily!$C:$C,calculations!$B140,das_tank_inventories_daily!$H:$H,calculations!H$1)</f>
        <v>-9249.6295488834694</v>
      </c>
      <c r="I140">
        <f>+SUMIFS(das_tank_inventories_daily!$M:$M,das_tank_inventories_daily!$C:$C,calculations!$B140,das_tank_inventories_daily!$H:$H,calculations!I$1)</f>
        <v>464882.82371632499</v>
      </c>
      <c r="J140">
        <f>+SUMIFS(das_tank_inventories_daily!$M:$M,das_tank_inventories_daily!$C:$C,calculations!$B140,das_tank_inventories_daily!$H:$H,calculations!J$1)</f>
        <v>-40981.649183167399</v>
      </c>
      <c r="K140">
        <f>+SUMIFS(das_tank_inventories_daily!$M:$M,das_tank_inventories_daily!$C:$C,calculations!$B140,das_tank_inventories_daily!$H:$H,calculations!K$1)</f>
        <v>-10713.1716814266</v>
      </c>
      <c r="L140">
        <f>+SUMIFS(das_tank_inventories_daily!$M:$M,das_tank_inventories_daily!$C:$C,calculations!$B140,das_tank_inventories_daily!$H:$H,calculations!L$1)</f>
        <v>-6429.2235766721997</v>
      </c>
      <c r="M140">
        <f>+SUMIFS(das_tank_inventories_daily!$M:$M,das_tank_inventories_daily!$C:$C,calculations!$B140,das_tank_inventories_daily!$H:$H,calculations!M$1)</f>
        <v>-3564.1856101072899</v>
      </c>
      <c r="N140">
        <f>+SUMIFS(das_tank_inventories_daily!$M:$M,das_tank_inventories_daily!$C:$C,calculations!$B140,das_tank_inventories_daily!$H:$H,calculations!N$1)</f>
        <v>-394972.83533521299</v>
      </c>
      <c r="O140">
        <f>+SUMIFS(das_tank_inventories_daily!$M:$M,das_tank_inventories_daily!$C:$C,calculations!$B140,das_tank_inventories_daily!$H:$H,calculations!O$1)</f>
        <v>-63961.455590895697</v>
      </c>
      <c r="P140">
        <f>+SUMIFS(das_tank_inventories_daily!$M:$M,das_tank_inventories_daily!$C:$C,calculations!$B140,das_tank_inventories_daily!$H:$H,calculations!P$1)</f>
        <v>455637.97855630697</v>
      </c>
      <c r="Q140">
        <f>+SUMIFS(das_tank_inventories_daily!$M:$M,das_tank_inventories_daily!$C:$C,calculations!$B140,das_tank_inventories_daily!$H:$H,calculations!Q$1)</f>
        <v>0</v>
      </c>
      <c r="R140">
        <f>+SUMIFS(das_tank_inventories_daily!$M:$M,das_tank_inventories_daily!$C:$C,calculations!$B140,das_tank_inventories_daily!$H:$H,calculations!R$1)</f>
        <v>-319066.54882251401</v>
      </c>
      <c r="S140">
        <f>+SUMIFS(das_tank_inventories_daily!$M:$M,das_tank_inventories_daily!$C:$C,calculations!$B140,das_tank_inventories_daily!$H:$H,calculations!S$1)</f>
        <v>293340.53051275102</v>
      </c>
      <c r="T140">
        <f>+SUMIFS(das_tank_inventories_daily!$M:$M,das_tank_inventories_daily!$C:$C,calculations!$B140,das_tank_inventories_daily!$H:$H,calculations!T$1)</f>
        <v>-6971.1226371996399</v>
      </c>
      <c r="U140">
        <f>+SUMIFS(das_tank_inventories_daily!$M:$M,das_tank_inventories_daily!$C:$C,calculations!$B140,das_tank_inventories_daily!$H:$H,calculations!U$1)</f>
        <v>131530.782124277</v>
      </c>
      <c r="W140" s="2">
        <f t="shared" si="60"/>
        <v>46161.999988425923</v>
      </c>
      <c r="X140" s="3">
        <f t="shared" si="61"/>
        <v>-864459.7947325171</v>
      </c>
      <c r="Y140" s="3">
        <f t="shared" si="62"/>
        <v>-864459.7947325171</v>
      </c>
      <c r="Z140" s="3">
        <f t="shared" si="63"/>
        <v>-1728919.5894650342</v>
      </c>
      <c r="AB140" s="2">
        <f>+B140</f>
        <v>46161.999988425923</v>
      </c>
      <c r="AC140" s="3">
        <f t="shared" si="58"/>
        <v>-18.726653848387436</v>
      </c>
      <c r="AD140" s="3">
        <f t="shared" si="59"/>
        <v>37.007459961617947</v>
      </c>
      <c r="AE140" s="3">
        <f t="shared" si="64"/>
        <v>18.280806113230511</v>
      </c>
      <c r="AH140" s="2">
        <f t="shared" si="37"/>
        <v>46161.999988425923</v>
      </c>
      <c r="AI140" s="4" t="e">
        <f t="shared" si="38"/>
        <v>#DIV/0!</v>
      </c>
      <c r="AJ140" s="4" t="e">
        <f t="shared" si="39"/>
        <v>#DIV/0!</v>
      </c>
      <c r="AK140" s="4">
        <f t="shared" si="40"/>
        <v>-596460.89430302707</v>
      </c>
    </row>
    <row r="141" spans="2:37" x14ac:dyDescent="0.25">
      <c r="B141" s="1"/>
      <c r="AB141" s="2"/>
      <c r="AC141" s="3" t="e">
        <f t="shared" si="58"/>
        <v>#DIV/0!</v>
      </c>
      <c r="AD141" s="3" t="e">
        <f t="shared" si="59"/>
        <v>#DIV/0!</v>
      </c>
      <c r="AE141" s="3"/>
      <c r="AH141" s="2">
        <f t="shared" si="37"/>
        <v>0</v>
      </c>
      <c r="AI141" s="4" t="e">
        <f t="shared" si="38"/>
        <v>#DIV/0!</v>
      </c>
      <c r="AJ141" s="4" t="e">
        <f t="shared" si="39"/>
        <v>#DIV/0!</v>
      </c>
      <c r="AK141" s="4">
        <f t="shared" si="40"/>
        <v>-596460.89430302707</v>
      </c>
    </row>
    <row r="142" spans="2:37" x14ac:dyDescent="0.25">
      <c r="B142" s="1">
        <v>46163.999988425923</v>
      </c>
      <c r="C142">
        <f>+SUMIFS(das_tank_inventories_daily!$M:$M,das_tank_inventories_daily!$C:$C,calculations!$B142,das_tank_inventories_daily!$H:$H,calculations!C$1)</f>
        <v>-1594.1214152130101</v>
      </c>
      <c r="D142">
        <f>+SUMIFS(das_tank_inventories_daily!$M:$M,das_tank_inventories_daily!$C:$C,calculations!$B142,das_tank_inventories_daily!$H:$H,calculations!D$1)</f>
        <v>-5783.7358311733697</v>
      </c>
      <c r="E142">
        <f>+SUMIFS(das_tank_inventories_daily!$M:$M,das_tank_inventories_daily!$C:$C,calculations!$B142,das_tank_inventories_daily!$H:$H,calculations!E$1)</f>
        <v>-11617.9714615879</v>
      </c>
      <c r="F142">
        <f>+SUMIFS(das_tank_inventories_daily!$M:$M,das_tank_inventories_daily!$C:$C,calculations!$B142,das_tank_inventories_daily!$H:$H,calculations!F$1)</f>
        <v>0</v>
      </c>
      <c r="G142">
        <f>+SUMIFS(das_tank_inventories_daily!$M:$M,das_tank_inventories_daily!$C:$C,calculations!$B142,das_tank_inventories_daily!$H:$H,calculations!G$1)</f>
        <v>-8131.32462540501</v>
      </c>
      <c r="H142">
        <f>+SUMIFS(das_tank_inventories_daily!$M:$M,das_tank_inventories_daily!$C:$C,calculations!$B142,das_tank_inventories_daily!$H:$H,calculations!H$1)</f>
        <v>48034.905290402101</v>
      </c>
      <c r="I142">
        <f>+SUMIFS(das_tank_inventories_daily!$M:$M,das_tank_inventories_daily!$C:$C,calculations!$B142,das_tank_inventories_daily!$H:$H,calculations!I$1)</f>
        <v>-464882.82371632499</v>
      </c>
      <c r="J142">
        <f>+SUMIFS(das_tank_inventories_daily!$M:$M,das_tank_inventories_daily!$C:$C,calculations!$B142,das_tank_inventories_daily!$H:$H,calculations!J$1)</f>
        <v>35.609245596395297</v>
      </c>
      <c r="K142">
        <f>+SUMIFS(das_tank_inventories_daily!$M:$M,das_tank_inventories_daily!$C:$C,calculations!$B142,das_tank_inventories_daily!$H:$H,calculations!K$1)</f>
        <v>-25207.4558173556</v>
      </c>
      <c r="L142">
        <f>+SUMIFS(das_tank_inventories_daily!$M:$M,das_tank_inventories_daily!$C:$C,calculations!$B142,das_tank_inventories_daily!$H:$H,calculations!L$1)</f>
        <v>-5580.1635489687596</v>
      </c>
      <c r="M142">
        <f>+SUMIFS(das_tank_inventories_daily!$M:$M,das_tank_inventories_daily!$C:$C,calculations!$B142,das_tank_inventories_daily!$H:$H,calculations!M$1)</f>
        <v>-250638.56379274299</v>
      </c>
      <c r="N142">
        <f>+SUMIFS(das_tank_inventories_daily!$M:$M,das_tank_inventories_daily!$C:$C,calculations!$B142,das_tank_inventories_daily!$H:$H,calculations!N$1)</f>
        <v>125436.22296976901</v>
      </c>
      <c r="O142">
        <f>+SUMIFS(das_tank_inventories_daily!$M:$M,das_tank_inventories_daily!$C:$C,calculations!$B142,das_tank_inventories_daily!$H:$H,calculations!O$1)</f>
        <v>42903.984278820601</v>
      </c>
      <c r="P142">
        <f>+SUMIFS(das_tank_inventories_daily!$M:$M,das_tank_inventories_daily!$C:$C,calculations!$B142,das_tank_inventories_daily!$H:$H,calculations!P$1)</f>
        <v>9885.3588471905096</v>
      </c>
      <c r="Q142">
        <f>+SUMIFS(das_tank_inventories_daily!$M:$M,das_tank_inventories_daily!$C:$C,calculations!$B142,das_tank_inventories_daily!$H:$H,calculations!Q$1)</f>
        <v>0</v>
      </c>
      <c r="R142">
        <f>+SUMIFS(das_tank_inventories_daily!$M:$M,das_tank_inventories_daily!$C:$C,calculations!$B142,das_tank_inventories_daily!$H:$H,calculations!R$1)</f>
        <v>-218226.673881636</v>
      </c>
      <c r="S142">
        <f>+SUMIFS(das_tank_inventories_daily!$M:$M,das_tank_inventories_daily!$C:$C,calculations!$B142,das_tank_inventories_daily!$H:$H,calculations!S$1)</f>
        <v>-293340.53051275102</v>
      </c>
      <c r="T142">
        <f>+SUMIFS(das_tank_inventories_daily!$M:$M,das_tank_inventories_daily!$C:$C,calculations!$B142,das_tank_inventories_daily!$H:$H,calculations!T$1)</f>
        <v>6147.3943244017401</v>
      </c>
      <c r="U142">
        <f>+SUMIFS(das_tank_inventories_daily!$M:$M,das_tank_inventories_daily!$C:$C,calculations!$B142,das_tank_inventories_daily!$H:$H,calculations!U$1)</f>
        <v>23131.749766962101</v>
      </c>
      <c r="W142" s="2">
        <f t="shared" ref="W142:W143" si="65">+B142</f>
        <v>46163.999988425923</v>
      </c>
      <c r="X142" s="3">
        <f t="shared" ref="X142:X143" si="66">+SUMIFS(C142:U142,C142:U142,"&lt;0")</f>
        <v>-1285003.3646031586</v>
      </c>
      <c r="Y142" s="3">
        <f t="shared" ref="Y142:Y143" si="67">+SUMIFS(C142:U142,C142:U142,"&lt;0")</f>
        <v>-1285003.3646031586</v>
      </c>
      <c r="Z142" s="3">
        <f t="shared" ref="Z142:Z143" si="68">+Y142+X142</f>
        <v>-2570006.7292063171</v>
      </c>
      <c r="AB142" s="2">
        <f>+B142</f>
        <v>46163.999988425923</v>
      </c>
      <c r="AC142" s="3">
        <f t="shared" si="58"/>
        <v>-428334.4548677195</v>
      </c>
      <c r="AD142" s="3">
        <f t="shared" si="59"/>
        <v>85191.741574380823</v>
      </c>
      <c r="AE142" s="3">
        <f t="shared" si="64"/>
        <v>-343142.71329333866</v>
      </c>
      <c r="AH142" s="2">
        <f t="shared" si="37"/>
        <v>46163.999988425923</v>
      </c>
      <c r="AI142" s="4" t="e">
        <f>+AI141+AC142</f>
        <v>#DIV/0!</v>
      </c>
      <c r="AJ142" s="4" t="e">
        <f>+AJ141+AD142</f>
        <v>#DIV/0!</v>
      </c>
      <c r="AK142" s="4">
        <f>+AK141+AE142</f>
        <v>-939603.60759636573</v>
      </c>
    </row>
    <row r="143" spans="2:37" x14ac:dyDescent="0.25">
      <c r="B143" s="1">
        <v>46164.999988425923</v>
      </c>
      <c r="C143">
        <f>+SUMIFS(das_tank_inventories_daily!$M:$M,das_tank_inventories_daily!$C:$C,calculations!$B143,das_tank_inventories_daily!$H:$H,calculations!C$1)</f>
        <v>-1402.04059095503</v>
      </c>
      <c r="D143">
        <f>+SUMIFS(das_tank_inventories_daily!$M:$M,das_tank_inventories_daily!$C:$C,calculations!$B143,das_tank_inventories_daily!$H:$H,calculations!D$1)</f>
        <v>1140.0376057598301</v>
      </c>
      <c r="E143">
        <f>+SUMIFS(das_tank_inventories_daily!$M:$M,das_tank_inventories_daily!$C:$C,calculations!$B143,das_tank_inventories_daily!$H:$H,calculations!E$1)</f>
        <v>-297096.72321287502</v>
      </c>
      <c r="F143">
        <f>+SUMIFS(das_tank_inventories_daily!$M:$M,das_tank_inventories_daily!$C:$C,calculations!$B143,das_tank_inventories_daily!$H:$H,calculations!F$1)</f>
        <v>0</v>
      </c>
      <c r="G143">
        <f>+SUMIFS(das_tank_inventories_daily!$M:$M,das_tank_inventories_daily!$C:$C,calculations!$B143,das_tank_inventories_daily!$H:$H,calculations!G$1)</f>
        <v>-4800.8838859337202</v>
      </c>
      <c r="H143">
        <f>+SUMIFS(das_tank_inventories_daily!$M:$M,das_tank_inventories_daily!$C:$C,calculations!$B143,das_tank_inventories_daily!$H:$H,calculations!H$1)</f>
        <v>14972.055408550401</v>
      </c>
      <c r="I143">
        <f>+SUMIFS(das_tank_inventories_daily!$M:$M,das_tank_inventories_daily!$C:$C,calculations!$B143,das_tank_inventories_daily!$H:$H,calculations!I$1)</f>
        <v>134443.19814265001</v>
      </c>
      <c r="J143">
        <f>+SUMIFS(das_tank_inventories_daily!$M:$M,das_tank_inventories_daily!$C:$C,calculations!$B143,das_tank_inventories_daily!$H:$H,calculations!J$1)</f>
        <v>-3344.3075878071199</v>
      </c>
      <c r="K143">
        <f>+SUMIFS(das_tank_inventories_daily!$M:$M,das_tank_inventories_daily!$C:$C,calculations!$B143,das_tank_inventories_daily!$H:$H,calculations!K$1)</f>
        <v>-41819.054351668099</v>
      </c>
      <c r="L143">
        <f>+SUMIFS(das_tank_inventories_daily!$M:$M,das_tank_inventories_daily!$C:$C,calculations!$B143,das_tank_inventories_daily!$H:$H,calculations!L$1)</f>
        <v>-326.64869100085298</v>
      </c>
      <c r="M143">
        <f>+SUMIFS(das_tank_inventories_daily!$M:$M,das_tank_inventories_daily!$C:$C,calculations!$B143,das_tank_inventories_daily!$H:$H,calculations!M$1)</f>
        <v>271679.86554802099</v>
      </c>
      <c r="N143">
        <f>+SUMIFS(das_tank_inventories_daily!$M:$M,das_tank_inventories_daily!$C:$C,calculations!$B143,das_tank_inventories_daily!$H:$H,calculations!N$1)</f>
        <v>-3549.8078898506901</v>
      </c>
      <c r="O143">
        <f>+SUMIFS(das_tank_inventories_daily!$M:$M,das_tank_inventories_daily!$C:$C,calculations!$B143,das_tank_inventories_daily!$H:$H,calculations!O$1)</f>
        <v>-92787.419248083999</v>
      </c>
      <c r="P143">
        <f>+SUMIFS(das_tank_inventories_daily!$M:$M,das_tank_inventories_daily!$C:$C,calculations!$B143,das_tank_inventories_daily!$H:$H,calculations!P$1)</f>
        <v>886.75386150350096</v>
      </c>
      <c r="Q143">
        <f>+SUMIFS(das_tank_inventories_daily!$M:$M,das_tank_inventories_daily!$C:$C,calculations!$B143,das_tank_inventories_daily!$H:$H,calculations!Q$1)</f>
        <v>0</v>
      </c>
      <c r="R143">
        <f>+SUMIFS(das_tank_inventories_daily!$M:$M,das_tank_inventories_daily!$C:$C,calculations!$B143,das_tank_inventories_daily!$H:$H,calculations!R$1)</f>
        <v>0</v>
      </c>
      <c r="S143">
        <f>+SUMIFS(das_tank_inventories_daily!$M:$M,das_tank_inventories_daily!$C:$C,calculations!$B143,das_tank_inventories_daily!$H:$H,calculations!S$1)</f>
        <v>265337.59123003698</v>
      </c>
      <c r="T143">
        <f>+SUMIFS(das_tank_inventories_daily!$M:$M,das_tank_inventories_daily!$C:$C,calculations!$B143,das_tank_inventories_daily!$H:$H,calculations!T$1)</f>
        <v>-992.83473542740103</v>
      </c>
      <c r="U143">
        <f>+SUMIFS(das_tank_inventories_daily!$M:$M,das_tank_inventories_daily!$C:$C,calculations!$B143,das_tank_inventories_daily!$H:$H,calculations!U$1)</f>
        <v>-1403.41011403483</v>
      </c>
      <c r="W143" s="2">
        <f t="shared" si="65"/>
        <v>46164.999988425923</v>
      </c>
      <c r="X143" s="3">
        <f t="shared" si="66"/>
        <v>-447523.13030763675</v>
      </c>
      <c r="Y143" s="3">
        <f t="shared" si="67"/>
        <v>-447523.13030763675</v>
      </c>
      <c r="Z143" s="3">
        <f t="shared" si="68"/>
        <v>-895046.2606152735</v>
      </c>
      <c r="AB143" s="2">
        <f>+B143</f>
        <v>46164.999988425923</v>
      </c>
      <c r="AC143" s="3">
        <f t="shared" si="58"/>
        <v>-149174.37676921225</v>
      </c>
      <c r="AD143" s="3">
        <f t="shared" si="59"/>
        <v>229486.50059884056</v>
      </c>
      <c r="AE143" s="3">
        <f t="shared" si="64"/>
        <v>80312.123829628312</v>
      </c>
      <c r="AH143" s="2">
        <f t="shared" si="37"/>
        <v>46164.999988425923</v>
      </c>
      <c r="AI143" s="4" t="e">
        <f t="shared" si="38"/>
        <v>#DIV/0!</v>
      </c>
      <c r="AJ143" s="4" t="e">
        <f t="shared" si="39"/>
        <v>#DIV/0!</v>
      </c>
      <c r="AK143" s="4">
        <f t="shared" si="40"/>
        <v>-859291.48376673739</v>
      </c>
    </row>
    <row r="144" spans="2:37" x14ac:dyDescent="0.25">
      <c r="B144" s="1"/>
      <c r="AB144" s="2"/>
      <c r="AC144" s="3" t="e">
        <f t="shared" si="58"/>
        <v>#DIV/0!</v>
      </c>
      <c r="AD144" s="3" t="e">
        <f t="shared" si="59"/>
        <v>#DIV/0!</v>
      </c>
      <c r="AE144" s="3"/>
      <c r="AH144" s="2">
        <f t="shared" si="37"/>
        <v>0</v>
      </c>
      <c r="AI144" s="4" t="e">
        <f t="shared" si="38"/>
        <v>#DIV/0!</v>
      </c>
      <c r="AJ144" s="4" t="e">
        <f t="shared" si="39"/>
        <v>#DIV/0!</v>
      </c>
      <c r="AK144" s="4">
        <f t="shared" si="40"/>
        <v>-859291.48376673739</v>
      </c>
    </row>
    <row r="145" spans="2:37" x14ac:dyDescent="0.25">
      <c r="B145" s="1">
        <v>46166.999988425923</v>
      </c>
      <c r="C145">
        <f>+SUMIFS(das_tank_inventories_daily!$M:$M,das_tank_inventories_daily!$C:$C,calculations!$B145,das_tank_inventories_daily!$H:$H,calculations!C$1)</f>
        <v>2181.2216641340301</v>
      </c>
      <c r="D145">
        <f>+SUMIFS(das_tank_inventories_daily!$M:$M,das_tank_inventories_daily!$C:$C,calculations!$B145,das_tank_inventories_daily!$H:$H,calculations!D$1)</f>
        <v>1148.5903274289401</v>
      </c>
      <c r="E145">
        <f>+SUMIFS(das_tank_inventories_daily!$M:$M,das_tank_inventories_daily!$C:$C,calculations!$B145,das_tank_inventories_daily!$H:$H,calculations!E$1)</f>
        <v>-148001.064026365</v>
      </c>
      <c r="F145">
        <f>+SUMIFS(das_tank_inventories_daily!$M:$M,das_tank_inventories_daily!$C:$C,calculations!$B145,das_tank_inventories_daily!$H:$H,calculations!F$1)</f>
        <v>0</v>
      </c>
      <c r="G145">
        <f>+SUMIFS(das_tank_inventories_daily!$M:$M,das_tank_inventories_daily!$C:$C,calculations!$B145,das_tank_inventories_daily!$H:$H,calculations!G$1)</f>
        <v>12243.950759978001</v>
      </c>
      <c r="H145">
        <f>+SUMIFS(das_tank_inventories_daily!$M:$M,das_tank_inventories_daily!$C:$C,calculations!$B145,das_tank_inventories_daily!$H:$H,calculations!H$1)</f>
        <v>-17270.192738513801</v>
      </c>
      <c r="I145">
        <f>+SUMIFS(das_tank_inventories_daily!$M:$M,das_tank_inventories_daily!$C:$C,calculations!$B145,das_tank_inventories_daily!$H:$H,calculations!I$1)</f>
        <v>-134443.19814265001</v>
      </c>
      <c r="J145">
        <f>+SUMIFS(das_tank_inventories_daily!$M:$M,das_tank_inventories_daily!$C:$C,calculations!$B145,das_tank_inventories_daily!$H:$H,calculations!J$1)</f>
        <v>-317581.76311055099</v>
      </c>
      <c r="K145">
        <f>+SUMIFS(das_tank_inventories_daily!$M:$M,das_tank_inventories_daily!$C:$C,calculations!$B145,das_tank_inventories_daily!$H:$H,calculations!K$1)</f>
        <v>-573076.92110271705</v>
      </c>
      <c r="L145">
        <f>+SUMIFS(das_tank_inventories_daily!$M:$M,das_tank_inventories_daily!$C:$C,calculations!$B145,das_tank_inventories_daily!$H:$H,calculations!L$1)</f>
        <v>-5195.0301312123702</v>
      </c>
      <c r="M145">
        <f>+SUMIFS(das_tank_inventories_daily!$M:$M,das_tank_inventories_daily!$C:$C,calculations!$B145,das_tank_inventories_daily!$H:$H,calculations!M$1)</f>
        <v>-14953.804209317501</v>
      </c>
      <c r="N145">
        <f>+SUMIFS(das_tank_inventories_daily!$M:$M,das_tank_inventories_daily!$C:$C,calculations!$B145,das_tank_inventories_daily!$H:$H,calculations!N$1)</f>
        <v>205978.15651458199</v>
      </c>
      <c r="O145">
        <f>+SUMIFS(das_tank_inventories_daily!$M:$M,das_tank_inventories_daily!$C:$C,calculations!$B145,das_tank_inventories_daily!$H:$H,calculations!O$1)</f>
        <v>427652.32973433199</v>
      </c>
      <c r="P145">
        <f>+SUMIFS(das_tank_inventories_daily!$M:$M,das_tank_inventories_daily!$C:$C,calculations!$B145,das_tank_inventories_daily!$H:$H,calculations!P$1)</f>
        <v>-17157.379788374499</v>
      </c>
      <c r="Q145">
        <f>+SUMIFS(das_tank_inventories_daily!$M:$M,das_tank_inventories_daily!$C:$C,calculations!$B145,das_tank_inventories_daily!$H:$H,calculations!Q$1)</f>
        <v>0</v>
      </c>
      <c r="R145">
        <f>+SUMIFS(das_tank_inventories_daily!$M:$M,das_tank_inventories_daily!$C:$C,calculations!$B145,das_tank_inventories_daily!$H:$H,calculations!R$1)</f>
        <v>130920.657966457</v>
      </c>
      <c r="S145">
        <f>+SUMIFS(das_tank_inventories_daily!$M:$M,das_tank_inventories_daily!$C:$C,calculations!$B145,das_tank_inventories_daily!$H:$H,calculations!S$1)</f>
        <v>123454.928679827</v>
      </c>
      <c r="T145">
        <f>+SUMIFS(das_tank_inventories_daily!$M:$M,das_tank_inventories_daily!$C:$C,calculations!$B145,das_tank_inventories_daily!$H:$H,calculations!T$1)</f>
        <v>-7229.2701722260099</v>
      </c>
      <c r="U145">
        <f>+SUMIFS(das_tank_inventories_daily!$M:$M,das_tank_inventories_daily!$C:$C,calculations!$B145,das_tank_inventories_daily!$H:$H,calculations!U$1)</f>
        <v>-75100.276343173595</v>
      </c>
      <c r="W145" s="2">
        <f>+B145</f>
        <v>46166.999988425923</v>
      </c>
      <c r="X145" s="3">
        <f>+SUMIFS(C145:U145,C145:U145,"&lt;0")</f>
        <v>-1310008.899765101</v>
      </c>
      <c r="Y145" s="3">
        <f>+SUMIFS(C145:U145,C145:U145,"&lt;0")</f>
        <v>-1310008.899765101</v>
      </c>
      <c r="Z145" s="3">
        <f t="shared" ref="Z145" si="69">+Y145+X145</f>
        <v>-2620017.7995302021</v>
      </c>
      <c r="AB145" s="2">
        <f>+B145</f>
        <v>46166.999988425923</v>
      </c>
      <c r="AC145" s="3">
        <f t="shared" si="58"/>
        <v>-436669.6332550337</v>
      </c>
      <c r="AD145" s="3">
        <f t="shared" si="59"/>
        <v>301193.27854891302</v>
      </c>
      <c r="AE145" s="3">
        <f t="shared" si="64"/>
        <v>-135476.35470612068</v>
      </c>
      <c r="AH145" s="2">
        <f t="shared" si="37"/>
        <v>46166.999988425923</v>
      </c>
      <c r="AI145" s="4" t="e">
        <f>+AI144+AC145</f>
        <v>#DIV/0!</v>
      </c>
      <c r="AJ145" s="4" t="e">
        <f>+AJ144+AD145</f>
        <v>#DIV/0!</v>
      </c>
      <c r="AK145" s="4">
        <f>+AK144+AE145</f>
        <v>-994767.83847285807</v>
      </c>
    </row>
    <row r="146" spans="2:37" x14ac:dyDescent="0.25">
      <c r="B146" s="1"/>
      <c r="AB146" s="2"/>
      <c r="AC146" s="3">
        <f t="shared" si="58"/>
        <v>0</v>
      </c>
      <c r="AD146" s="3">
        <f t="shared" si="59"/>
        <v>0</v>
      </c>
      <c r="AE146" s="3"/>
      <c r="AH146" s="2">
        <f t="shared" si="37"/>
        <v>0</v>
      </c>
      <c r="AI146" s="4" t="e">
        <f t="shared" si="38"/>
        <v>#DIV/0!</v>
      </c>
      <c r="AJ146" s="4" t="e">
        <f t="shared" si="39"/>
        <v>#DIV/0!</v>
      </c>
      <c r="AK146" s="4">
        <f t="shared" si="40"/>
        <v>-994767.83847285807</v>
      </c>
    </row>
    <row r="147" spans="2:37" x14ac:dyDescent="0.25">
      <c r="B147" s="1"/>
      <c r="AB147" s="2"/>
      <c r="AC147" s="3" t="e">
        <f t="shared" si="58"/>
        <v>#DIV/0!</v>
      </c>
      <c r="AD147" s="3" t="e">
        <f t="shared" si="59"/>
        <v>#DIV/0!</v>
      </c>
      <c r="AE147" s="3"/>
      <c r="AH147" s="2">
        <f t="shared" si="37"/>
        <v>0</v>
      </c>
      <c r="AI147" s="4" t="e">
        <f t="shared" si="38"/>
        <v>#DIV/0!</v>
      </c>
      <c r="AJ147" s="4" t="e">
        <f t="shared" si="39"/>
        <v>#DIV/0!</v>
      </c>
      <c r="AK147" s="4">
        <f t="shared" si="40"/>
        <v>-994767.83847285807</v>
      </c>
    </row>
    <row r="148" spans="2:37" x14ac:dyDescent="0.25">
      <c r="B148" s="1">
        <v>46169.999988425923</v>
      </c>
      <c r="C148">
        <f>+SUMIFS(das_tank_inventories_daily!$M:$M,das_tank_inventories_daily!$C:$C,calculations!$B148,das_tank_inventories_daily!$H:$H,calculations!C$1)</f>
        <v>-2063.2304349862602</v>
      </c>
      <c r="D148">
        <f>+SUMIFS(das_tank_inventories_daily!$M:$M,das_tank_inventories_daily!$C:$C,calculations!$B148,das_tank_inventories_daily!$H:$H,calculations!D$1)</f>
        <v>-392.477476963627</v>
      </c>
      <c r="E148">
        <f>+SUMIFS(das_tank_inventories_daily!$M:$M,das_tank_inventories_daily!$C:$C,calculations!$B148,das_tank_inventories_daily!$H:$H,calculations!E$1)</f>
        <v>437904.04165071098</v>
      </c>
      <c r="F148">
        <f>+SUMIFS(das_tank_inventories_daily!$M:$M,das_tank_inventories_daily!$C:$C,calculations!$B148,das_tank_inventories_daily!$H:$H,calculations!F$1)</f>
        <v>0</v>
      </c>
      <c r="G148">
        <f>+SUMIFS(das_tank_inventories_daily!$M:$M,das_tank_inventories_daily!$C:$C,calculations!$B148,das_tank_inventories_daily!$H:$H,calculations!G$1)</f>
        <v>-6316.5838345662896</v>
      </c>
      <c r="H148">
        <f>+SUMIFS(das_tank_inventories_daily!$M:$M,das_tank_inventories_daily!$C:$C,calculations!$B148,das_tank_inventories_daily!$H:$H,calculations!H$1)</f>
        <v>336383.47169689799</v>
      </c>
      <c r="I148">
        <f>+SUMIFS(das_tank_inventories_daily!$M:$M,das_tank_inventories_daily!$C:$C,calculations!$B148,das_tank_inventories_daily!$H:$H,calculations!I$1)</f>
        <v>503689.36600138101</v>
      </c>
      <c r="J148">
        <f>+SUMIFS(das_tank_inventories_daily!$M:$M,das_tank_inventories_daily!$C:$C,calculations!$B148,das_tank_inventories_daily!$H:$H,calculations!J$1)</f>
        <v>0</v>
      </c>
      <c r="K148">
        <f>+SUMIFS(das_tank_inventories_daily!$M:$M,das_tank_inventories_daily!$C:$C,calculations!$B148,das_tank_inventories_daily!$H:$H,calculations!K$1)</f>
        <v>615752.77799154096</v>
      </c>
      <c r="L148">
        <f>+SUMIFS(das_tank_inventories_daily!$M:$M,das_tank_inventories_daily!$C:$C,calculations!$B148,das_tank_inventories_daily!$H:$H,calculations!L$1)</f>
        <v>-22377.079972974301</v>
      </c>
      <c r="M148">
        <f>+SUMIFS(das_tank_inventories_daily!$M:$M,das_tank_inventories_daily!$C:$C,calculations!$B148,das_tank_inventories_daily!$H:$H,calculations!M$1)</f>
        <v>-13483.480501415999</v>
      </c>
      <c r="N148">
        <f>+SUMIFS(das_tank_inventories_daily!$M:$M,das_tank_inventories_daily!$C:$C,calculations!$B148,das_tank_inventories_daily!$H:$H,calculations!N$1)</f>
        <v>-254911.89178804899</v>
      </c>
      <c r="O148">
        <f>+SUMIFS(das_tank_inventories_daily!$M:$M,das_tank_inventories_daily!$C:$C,calculations!$B148,das_tank_inventories_daily!$H:$H,calculations!O$1)</f>
        <v>-427652.32973433199</v>
      </c>
      <c r="P148">
        <f>+SUMIFS(das_tank_inventories_daily!$M:$M,das_tank_inventories_daily!$C:$C,calculations!$B148,das_tank_inventories_daily!$H:$H,calculations!P$1)</f>
        <v>16066.467304468901</v>
      </c>
      <c r="Q148">
        <f>+SUMIFS(das_tank_inventories_daily!$M:$M,das_tank_inventories_daily!$C:$C,calculations!$B148,das_tank_inventories_daily!$H:$H,calculations!Q$1)</f>
        <v>0</v>
      </c>
      <c r="R148">
        <f>+SUMIFS(das_tank_inventories_daily!$M:$M,das_tank_inventories_daily!$C:$C,calculations!$B148,das_tank_inventories_daily!$H:$H,calculations!R$1)</f>
        <v>-130920.657966457</v>
      </c>
      <c r="S148">
        <f>+SUMIFS(das_tank_inventories_daily!$M:$M,das_tank_inventories_daily!$C:$C,calculations!$B148,das_tank_inventories_daily!$H:$H,calculations!S$1)</f>
        <v>-100040.160667046</v>
      </c>
      <c r="T148">
        <f>+SUMIFS(das_tank_inventories_daily!$M:$M,das_tank_inventories_daily!$C:$C,calculations!$B148,das_tank_inventories_daily!$H:$H,calculations!T$1)</f>
        <v>8300.3110041177697</v>
      </c>
      <c r="U148">
        <f>+SUMIFS(das_tank_inventories_daily!$M:$M,das_tank_inventories_daily!$C:$C,calculations!$B148,das_tank_inventories_daily!$H:$H,calculations!U$1)</f>
        <v>71492.550255846305</v>
      </c>
      <c r="W148" s="2">
        <f>+B148</f>
        <v>46169.999988425923</v>
      </c>
      <c r="X148" s="3">
        <f>+SUMIFS(C148:U148,C148:U148,"&lt;0")</f>
        <v>-958157.89237679041</v>
      </c>
      <c r="Y148" s="3">
        <f>+SUMIFS(C148:U148,C148:U148,"&lt;0")</f>
        <v>-958157.89237679041</v>
      </c>
      <c r="Z148" s="3">
        <f t="shared" ref="Z148" si="70">+Y148+X148</f>
        <v>-1916315.7847535808</v>
      </c>
      <c r="AB148" s="2">
        <f>+B148</f>
        <v>46169.999988425923</v>
      </c>
      <c r="AC148" s="3">
        <f t="shared" si="58"/>
        <v>-319385.9641255968</v>
      </c>
      <c r="AD148" s="3">
        <f t="shared" si="59"/>
        <v>663196.32863498793</v>
      </c>
      <c r="AE148" s="3">
        <f t="shared" si="64"/>
        <v>343810.36450939113</v>
      </c>
      <c r="AH148" s="2">
        <f t="shared" si="37"/>
        <v>46169.999988425923</v>
      </c>
      <c r="AI148" s="4" t="e">
        <f>+AI147+AC148</f>
        <v>#DIV/0!</v>
      </c>
      <c r="AJ148" s="4" t="e">
        <f>+AJ147+AD148</f>
        <v>#DIV/0!</v>
      </c>
      <c r="AK148" s="4">
        <f>+AK147+AE148</f>
        <v>-650957.47396346694</v>
      </c>
    </row>
    <row r="149" spans="2:37" x14ac:dyDescent="0.25">
      <c r="B149" s="1"/>
      <c r="AB149" s="2"/>
      <c r="AC149" s="3" t="e">
        <f t="shared" si="58"/>
        <v>#DIV/0!</v>
      </c>
      <c r="AD149" s="3" t="e">
        <f t="shared" si="59"/>
        <v>#DIV/0!</v>
      </c>
      <c r="AE149" s="3"/>
      <c r="AH149" s="2">
        <f t="shared" si="37"/>
        <v>0</v>
      </c>
      <c r="AI149" s="4" t="e">
        <f t="shared" si="38"/>
        <v>#DIV/0!</v>
      </c>
      <c r="AJ149" s="4" t="e">
        <f t="shared" si="39"/>
        <v>#DIV/0!</v>
      </c>
      <c r="AK149" s="4">
        <f t="shared" si="40"/>
        <v>-650957.47396346694</v>
      </c>
    </row>
    <row r="150" spans="2:37" x14ac:dyDescent="0.25">
      <c r="B150" s="1"/>
      <c r="AB150" s="2"/>
      <c r="AC150" s="3" t="e">
        <f t="shared" si="58"/>
        <v>#DIV/0!</v>
      </c>
      <c r="AD150" s="3" t="e">
        <f t="shared" si="59"/>
        <v>#DIV/0!</v>
      </c>
      <c r="AE150" s="3"/>
      <c r="AH150" s="2">
        <f t="shared" si="37"/>
        <v>0</v>
      </c>
      <c r="AI150" s="4" t="e">
        <f t="shared" si="38"/>
        <v>#DIV/0!</v>
      </c>
      <c r="AJ150" s="4" t="e">
        <f t="shared" si="39"/>
        <v>#DIV/0!</v>
      </c>
      <c r="AK150" s="4">
        <f t="shared" si="40"/>
        <v>-650957.47396346694</v>
      </c>
    </row>
    <row r="151" spans="2:37" x14ac:dyDescent="0.25">
      <c r="B151" s="1">
        <v>46172.999988425923</v>
      </c>
      <c r="C151">
        <f>+SUMIFS(das_tank_inventories_daily!$M:$M,das_tank_inventories_daily!$C:$C,calculations!$B151,das_tank_inventories_daily!$H:$H,calculations!C$1)</f>
        <v>3604.9375256123799</v>
      </c>
      <c r="D151">
        <f>+SUMIFS(das_tank_inventories_daily!$M:$M,das_tank_inventories_daily!$C:$C,calculations!$B151,das_tank_inventories_daily!$H:$H,calculations!D$1)</f>
        <v>2258.1705906800898</v>
      </c>
      <c r="E151">
        <f>+SUMIFS(das_tank_inventories_daily!$M:$M,das_tank_inventories_daily!$C:$C,calculations!$B151,das_tank_inventories_daily!$H:$H,calculations!E$1)</f>
        <v>-176832.38941239699</v>
      </c>
      <c r="F151">
        <f>+SUMIFS(das_tank_inventories_daily!$M:$M,das_tank_inventories_daily!$C:$C,calculations!$B151,das_tank_inventories_daily!$H:$H,calculations!F$1)</f>
        <v>0</v>
      </c>
      <c r="G151">
        <f>+SUMIFS(das_tank_inventories_daily!$M:$M,das_tank_inventories_daily!$C:$C,calculations!$B151,das_tank_inventories_daily!$H:$H,calculations!G$1)</f>
        <v>11348.155112259599</v>
      </c>
      <c r="H151">
        <f>+SUMIFS(das_tank_inventories_daily!$M:$M,das_tank_inventories_daily!$C:$C,calculations!$B151,das_tank_inventories_daily!$H:$H,calculations!H$1)</f>
        <v>-348035.88706777501</v>
      </c>
      <c r="I151">
        <f>+SUMIFS(das_tank_inventories_daily!$M:$M,das_tank_inventories_daily!$C:$C,calculations!$B151,das_tank_inventories_daily!$H:$H,calculations!I$1)</f>
        <v>-503689.36600138101</v>
      </c>
      <c r="J151">
        <f>+SUMIFS(das_tank_inventories_daily!$M:$M,das_tank_inventories_daily!$C:$C,calculations!$B151,das_tank_inventories_daily!$H:$H,calculations!J$1)</f>
        <v>41605.353216478703</v>
      </c>
      <c r="K151">
        <f>+SUMIFS(das_tank_inventories_daily!$M:$M,das_tank_inventories_daily!$C:$C,calculations!$B151,das_tank_inventories_daily!$H:$H,calculations!K$1)</f>
        <v>-167832.429785972</v>
      </c>
      <c r="L151">
        <f>+SUMIFS(das_tank_inventories_daily!$M:$M,das_tank_inventories_daily!$C:$C,calculations!$B151,das_tank_inventories_daily!$H:$H,calculations!L$1)</f>
        <v>3745.61323328345</v>
      </c>
      <c r="M151">
        <f>+SUMIFS(das_tank_inventories_daily!$M:$M,das_tank_inventories_daily!$C:$C,calculations!$B151,das_tank_inventories_daily!$H:$H,calculations!M$1)</f>
        <v>14119.8015640823</v>
      </c>
      <c r="N151">
        <f>+SUMIFS(das_tank_inventories_daily!$M:$M,das_tank_inventories_daily!$C:$C,calculations!$B151,das_tank_inventories_daily!$H:$H,calculations!N$1)</f>
        <v>-63233.823392222199</v>
      </c>
      <c r="O151">
        <f>+SUMIFS(das_tank_inventories_daily!$M:$M,das_tank_inventories_daily!$C:$C,calculations!$B151,das_tank_inventories_daily!$H:$H,calculations!O$1)</f>
        <v>435281.52557610598</v>
      </c>
      <c r="P151">
        <f>+SUMIFS(das_tank_inventories_daily!$M:$M,das_tank_inventories_daily!$C:$C,calculations!$B151,das_tank_inventories_daily!$H:$H,calculations!P$1)</f>
        <v>-465319.17878109601</v>
      </c>
      <c r="Q151">
        <f>+SUMIFS(das_tank_inventories_daily!$M:$M,das_tank_inventories_daily!$C:$C,calculations!$B151,das_tank_inventories_daily!$H:$H,calculations!Q$1)</f>
        <v>0</v>
      </c>
      <c r="R151">
        <f>+SUMIFS(das_tank_inventories_daily!$M:$M,das_tank_inventories_daily!$C:$C,calculations!$B151,das_tank_inventories_daily!$H:$H,calculations!R$1)</f>
        <v>609324.23085694597</v>
      </c>
      <c r="S151">
        <f>+SUMIFS(das_tank_inventories_daily!$M:$M,das_tank_inventories_daily!$C:$C,calculations!$B151,das_tank_inventories_daily!$H:$H,calculations!S$1)</f>
        <v>34257.407290007999</v>
      </c>
      <c r="T151">
        <f>+SUMIFS(das_tank_inventories_daily!$M:$M,das_tank_inventories_daily!$C:$C,calculations!$B151,das_tank_inventories_daily!$H:$H,calculations!T$1)</f>
        <v>-4065.3146317238502</v>
      </c>
      <c r="U151">
        <f>+SUMIFS(das_tank_inventories_daily!$M:$M,das_tank_inventories_daily!$C:$C,calculations!$B151,das_tank_inventories_daily!$H:$H,calculations!U$1)</f>
        <v>-393853.54762349301</v>
      </c>
      <c r="W151" s="2">
        <f>+B151</f>
        <v>46172.999988425923</v>
      </c>
      <c r="X151" s="3">
        <f>+SUMIFS(C151:U151,C151:U151,"&lt;0")</f>
        <v>-2122861.93669606</v>
      </c>
      <c r="Y151" s="3">
        <f>+SUMIFS(C151:U151,C151:U151,"&lt;0")</f>
        <v>-2122861.93669606</v>
      </c>
      <c r="Z151" s="3">
        <f t="shared" ref="Z151" si="71">+Y151+X151</f>
        <v>-4245723.87339212</v>
      </c>
      <c r="AB151" s="2">
        <f>+B151</f>
        <v>46172.999988425923</v>
      </c>
      <c r="AC151" s="3">
        <f t="shared" si="58"/>
        <v>-707620.64556535333</v>
      </c>
      <c r="AD151" s="3">
        <f t="shared" si="59"/>
        <v>385181.73165515211</v>
      </c>
      <c r="AE151" s="3">
        <f t="shared" si="64"/>
        <v>-322438.91391020123</v>
      </c>
      <c r="AH151" s="2">
        <f t="shared" si="37"/>
        <v>46172.999988425923</v>
      </c>
      <c r="AI151" s="4" t="e">
        <f>+AI150+AC151</f>
        <v>#DIV/0!</v>
      </c>
      <c r="AJ151" s="4" t="e">
        <f>+AJ150+AD151</f>
        <v>#DIV/0!</v>
      </c>
      <c r="AK151" s="4">
        <f>+AK150+AE151</f>
        <v>-973396.38787366822</v>
      </c>
    </row>
    <row r="152" spans="2:37" x14ac:dyDescent="0.25">
      <c r="B152" s="1"/>
      <c r="AB152" s="2"/>
      <c r="AC152" s="3" t="e">
        <f t="shared" si="58"/>
        <v>#DIV/0!</v>
      </c>
      <c r="AD152" s="3" t="e">
        <f t="shared" si="59"/>
        <v>#DIV/0!</v>
      </c>
      <c r="AE152" s="3"/>
      <c r="AH152" s="2">
        <f t="shared" si="37"/>
        <v>0</v>
      </c>
      <c r="AI152" s="4" t="e">
        <f t="shared" si="38"/>
        <v>#DIV/0!</v>
      </c>
      <c r="AJ152" s="4" t="e">
        <f t="shared" si="39"/>
        <v>#DIV/0!</v>
      </c>
      <c r="AK152" s="4">
        <f t="shared" si="40"/>
        <v>-973396.38787366822</v>
      </c>
    </row>
    <row r="153" spans="2:37" x14ac:dyDescent="0.25">
      <c r="B153" s="1"/>
      <c r="AB153" s="2"/>
      <c r="AC153" s="3" t="e">
        <f t="shared" si="58"/>
        <v>#DIV/0!</v>
      </c>
      <c r="AD153" s="3" t="e">
        <f t="shared" si="59"/>
        <v>#DIV/0!</v>
      </c>
      <c r="AE153" s="3"/>
      <c r="AH153" s="2">
        <f t="shared" si="37"/>
        <v>0</v>
      </c>
      <c r="AI153" s="4" t="e">
        <f t="shared" si="38"/>
        <v>#DIV/0!</v>
      </c>
      <c r="AJ153" s="4" t="e">
        <f t="shared" si="39"/>
        <v>#DIV/0!</v>
      </c>
      <c r="AK153" s="4">
        <f t="shared" si="40"/>
        <v>-973396.38787366822</v>
      </c>
    </row>
    <row r="154" spans="2:37" x14ac:dyDescent="0.25">
      <c r="B154" s="1">
        <v>46175.999988425923</v>
      </c>
      <c r="C154">
        <f>+SUMIFS(das_tank_inventories_daily!$M:$M,das_tank_inventories_daily!$C:$C,calculations!$B154,das_tank_inventories_daily!$H:$H,calculations!C$1)</f>
        <v>-3122.35729159941</v>
      </c>
      <c r="D154">
        <f>+SUMIFS(das_tank_inventories_daily!$M:$M,das_tank_inventories_daily!$C:$C,calculations!$B154,das_tank_inventories_daily!$H:$H,calculations!D$1)</f>
        <v>-2045.28050888961</v>
      </c>
      <c r="E154">
        <f>+SUMIFS(das_tank_inventories_daily!$M:$M,das_tank_inventories_daily!$C:$C,calculations!$B154,das_tank_inventories_daily!$H:$H,calculations!E$1)</f>
        <v>179559.298527437</v>
      </c>
      <c r="F154">
        <f>+SUMIFS(das_tank_inventories_daily!$M:$M,das_tank_inventories_daily!$C:$C,calculations!$B154,das_tank_inventories_daily!$H:$H,calculations!F$1)</f>
        <v>0</v>
      </c>
      <c r="G154">
        <f>+SUMIFS(das_tank_inventories_daily!$M:$M,das_tank_inventories_daily!$C:$C,calculations!$B154,das_tank_inventories_daily!$H:$H,calculations!G$1)</f>
        <v>-18635.178562221201</v>
      </c>
      <c r="H154">
        <f>+SUMIFS(das_tank_inventories_daily!$M:$M,das_tank_inventories_daily!$C:$C,calculations!$B154,das_tank_inventories_daily!$H:$H,calculations!H$1)</f>
        <v>393028.77892536501</v>
      </c>
      <c r="I154">
        <f>+SUMIFS(das_tank_inventories_daily!$M:$M,das_tank_inventories_daily!$C:$C,calculations!$B154,das_tank_inventories_daily!$H:$H,calculations!I$1)</f>
        <v>510020.70885402401</v>
      </c>
      <c r="J154">
        <f>+SUMIFS(das_tank_inventories_daily!$M:$M,das_tank_inventories_daily!$C:$C,calculations!$B154,das_tank_inventories_daily!$H:$H,calculations!J$1)</f>
        <v>351578.67477183801</v>
      </c>
      <c r="K154">
        <f>+SUMIFS(das_tank_inventories_daily!$M:$M,das_tank_inventories_daily!$C:$C,calculations!$B154,das_tank_inventories_daily!$H:$H,calculations!K$1)</f>
        <v>-447920.34820556798</v>
      </c>
      <c r="L154">
        <f>+SUMIFS(das_tank_inventories_daily!$M:$M,das_tank_inventories_daily!$C:$C,calculations!$B154,das_tank_inventories_daily!$H:$H,calculations!L$1)</f>
        <v>-77230.595436687596</v>
      </c>
      <c r="M154">
        <f>+SUMIFS(das_tank_inventories_daily!$M:$M,das_tank_inventories_daily!$C:$C,calculations!$B154,das_tank_inventories_daily!$H:$H,calculations!M$1)</f>
        <v>-19631.857770577499</v>
      </c>
      <c r="N154">
        <f>+SUMIFS(das_tank_inventories_daily!$M:$M,das_tank_inventories_daily!$C:$C,calculations!$B154,das_tank_inventories_daily!$H:$H,calculations!N$1)</f>
        <v>-88076.803988779604</v>
      </c>
      <c r="O154">
        <f>+SUMIFS(das_tank_inventories_daily!$M:$M,das_tank_inventories_daily!$C:$C,calculations!$B154,das_tank_inventories_daily!$H:$H,calculations!O$1)</f>
        <v>-141131.113878187</v>
      </c>
      <c r="P154">
        <f>+SUMIFS(das_tank_inventories_daily!$M:$M,das_tank_inventories_daily!$C:$C,calculations!$B154,das_tank_inventories_daily!$H:$H,calculations!P$1)</f>
        <v>465671.19809311198</v>
      </c>
      <c r="Q154">
        <f>+SUMIFS(das_tank_inventories_daily!$M:$M,das_tank_inventories_daily!$C:$C,calculations!$B154,das_tank_inventories_daily!$H:$H,calculations!Q$1)</f>
        <v>0</v>
      </c>
      <c r="R154">
        <f>+SUMIFS(das_tank_inventories_daily!$M:$M,das_tank_inventories_daily!$C:$C,calculations!$B154,das_tank_inventories_daily!$H:$H,calculations!R$1)</f>
        <v>-382312.46495533601</v>
      </c>
      <c r="S154">
        <f>+SUMIFS(das_tank_inventories_daily!$M:$M,das_tank_inventories_daily!$C:$C,calculations!$B154,das_tank_inventories_daily!$H:$H,calculations!S$1)</f>
        <v>70384.664020640601</v>
      </c>
      <c r="T154">
        <f>+SUMIFS(das_tank_inventories_daily!$M:$M,das_tank_inventories_daily!$C:$C,calculations!$B154,das_tank_inventories_daily!$H:$H,calculations!T$1)</f>
        <v>3113.3679806516102</v>
      </c>
      <c r="U154">
        <f>+SUMIFS(das_tank_inventories_daily!$M:$M,das_tank_inventories_daily!$C:$C,calculations!$B154,das_tank_inventories_daily!$H:$H,calculations!U$1)</f>
        <v>199240.95765361399</v>
      </c>
      <c r="W154" s="2">
        <f t="shared" ref="W154:W155" si="72">+B154</f>
        <v>46175.999988425923</v>
      </c>
      <c r="X154" s="3">
        <f t="shared" ref="X154:X155" si="73">+SUMIFS(C154:U154,C154:U154,"&lt;0")</f>
        <v>-1180106.000597846</v>
      </c>
      <c r="Y154" s="3">
        <f t="shared" ref="Y154:Y155" si="74">+SUMIFS(C154:U154,C154:U154,"&lt;0")</f>
        <v>-1180106.000597846</v>
      </c>
      <c r="Z154" s="3">
        <f t="shared" ref="Z154:Z155" si="75">+Y154+X154</f>
        <v>-2360212.001195692</v>
      </c>
      <c r="AB154" s="2">
        <f>+B154</f>
        <v>46175.999988425923</v>
      </c>
      <c r="AC154" s="3">
        <f t="shared" si="58"/>
        <v>-393368.66686594865</v>
      </c>
      <c r="AD154" s="3">
        <f t="shared" si="59"/>
        <v>724199.21627556067</v>
      </c>
      <c r="AE154" s="3">
        <f t="shared" si="64"/>
        <v>330830.54940961202</v>
      </c>
      <c r="AH154" s="2">
        <f t="shared" si="37"/>
        <v>46175.999988425923</v>
      </c>
      <c r="AI154" s="4" t="e">
        <f>+AI153+AC154</f>
        <v>#DIV/0!</v>
      </c>
      <c r="AJ154" s="4" t="e">
        <f>+AJ153+AD154</f>
        <v>#DIV/0!</v>
      </c>
      <c r="AK154" s="4">
        <f>+AK153+AE154</f>
        <v>-642565.83846405614</v>
      </c>
    </row>
    <row r="155" spans="2:37" x14ac:dyDescent="0.25">
      <c r="B155" s="1">
        <v>46176.999988425923</v>
      </c>
      <c r="C155">
        <f>+SUMIFS(das_tank_inventories_daily!$M:$M,das_tank_inventories_daily!$C:$C,calculations!$B155,das_tank_inventories_daily!$H:$H,calculations!C$1)</f>
        <v>-170.23371959419401</v>
      </c>
      <c r="D155">
        <f>+SUMIFS(das_tank_inventories_daily!$M:$M,das_tank_inventories_daily!$C:$C,calculations!$B155,das_tank_inventories_daily!$H:$H,calculations!D$1)</f>
        <v>-323.82279907586002</v>
      </c>
      <c r="E155">
        <f>+SUMIFS(das_tank_inventories_daily!$M:$M,das_tank_inventories_daily!$C:$C,calculations!$B155,das_tank_inventories_daily!$H:$H,calculations!E$1)</f>
        <v>981.13953637331701</v>
      </c>
      <c r="F155">
        <f>+SUMIFS(das_tank_inventories_daily!$M:$M,das_tank_inventories_daily!$C:$C,calculations!$B155,das_tank_inventories_daily!$H:$H,calculations!F$1)</f>
        <v>0</v>
      </c>
      <c r="G155">
        <f>+SUMIFS(das_tank_inventories_daily!$M:$M,das_tank_inventories_daily!$C:$C,calculations!$B155,das_tank_inventories_daily!$H:$H,calculations!G$1)</f>
        <v>-737.59982100949799</v>
      </c>
      <c r="H155">
        <f>+SUMIFS(das_tank_inventories_daily!$M:$M,das_tank_inventories_daily!$C:$C,calculations!$B155,das_tank_inventories_daily!$H:$H,calculations!H$1)</f>
        <v>36636.008672160002</v>
      </c>
      <c r="I155">
        <f>+SUMIFS(das_tank_inventories_daily!$M:$M,das_tank_inventories_daily!$C:$C,calculations!$B155,das_tank_inventories_daily!$H:$H,calculations!I$1)</f>
        <v>-24042.488632439399</v>
      </c>
      <c r="J155">
        <f>+SUMIFS(das_tank_inventories_daily!$M:$M,das_tank_inventories_daily!$C:$C,calculations!$B155,das_tank_inventories_daily!$H:$H,calculations!J$1)</f>
        <v>-1333.88270173093</v>
      </c>
      <c r="K155">
        <f>+SUMIFS(das_tank_inventories_daily!$M:$M,das_tank_inventories_daily!$C:$C,calculations!$B155,das_tank_inventories_daily!$H:$H,calculations!K$1)</f>
        <v>0</v>
      </c>
      <c r="L155">
        <f>+SUMIFS(das_tank_inventories_daily!$M:$M,das_tank_inventories_daily!$C:$C,calculations!$B155,das_tank_inventories_daily!$H:$H,calculations!L$1)</f>
        <v>81620.991800832504</v>
      </c>
      <c r="M155">
        <f>+SUMIFS(das_tank_inventories_daily!$M:$M,das_tank_inventories_daily!$C:$C,calculations!$B155,das_tank_inventories_daily!$H:$H,calculations!M$1)</f>
        <v>9029.8480782277693</v>
      </c>
      <c r="N155">
        <f>+SUMIFS(das_tank_inventories_daily!$M:$M,das_tank_inventories_daily!$C:$C,calculations!$B155,das_tank_inventories_daily!$H:$H,calculations!N$1)</f>
        <v>74725.255166288596</v>
      </c>
      <c r="O155">
        <f>+SUMIFS(das_tank_inventories_daily!$M:$M,das_tank_inventories_daily!$C:$C,calculations!$B155,das_tank_inventories_daily!$H:$H,calculations!O$1)</f>
        <v>-489.86806431750301</v>
      </c>
      <c r="P155">
        <f>+SUMIFS(das_tank_inventories_daily!$M:$M,das_tank_inventories_daily!$C:$C,calculations!$B155,das_tank_inventories_daily!$H:$H,calculations!P$1)</f>
        <v>203.98590640281299</v>
      </c>
      <c r="Q155">
        <f>+SUMIFS(das_tank_inventories_daily!$M:$M,das_tank_inventories_daily!$C:$C,calculations!$B155,das_tank_inventories_daily!$H:$H,calculations!Q$1)</f>
        <v>0</v>
      </c>
      <c r="R155">
        <f>+SUMIFS(das_tank_inventories_daily!$M:$M,das_tank_inventories_daily!$C:$C,calculations!$B155,das_tank_inventories_daily!$H:$H,calculations!R$1)</f>
        <v>-105034.621875939</v>
      </c>
      <c r="S155">
        <f>+SUMIFS(das_tank_inventories_daily!$M:$M,das_tank_inventories_daily!$C:$C,calculations!$B155,das_tank_inventories_daily!$H:$H,calculations!S$1)</f>
        <v>-195740.17755359999</v>
      </c>
      <c r="T155">
        <f>+SUMIFS(das_tank_inventories_daily!$M:$M,das_tank_inventories_daily!$C:$C,calculations!$B155,das_tank_inventories_daily!$H:$H,calculations!T$1)</f>
        <v>-845.76999853411598</v>
      </c>
      <c r="U155">
        <f>+SUMIFS(das_tank_inventories_daily!$M:$M,das_tank_inventories_daily!$C:$C,calculations!$B155,das_tank_inventories_daily!$H:$H,calculations!U$1)</f>
        <v>-196647.98831693101</v>
      </c>
      <c r="W155" s="2">
        <f t="shared" si="72"/>
        <v>46176.999988425923</v>
      </c>
      <c r="X155" s="3">
        <f t="shared" si="73"/>
        <v>-525366.45348317153</v>
      </c>
      <c r="Y155" s="3">
        <f t="shared" si="74"/>
        <v>-525366.45348317153</v>
      </c>
      <c r="Z155" s="3">
        <f t="shared" si="75"/>
        <v>-1050732.9069663431</v>
      </c>
      <c r="AB155" s="2">
        <f>+B155</f>
        <v>46176.999988425923</v>
      </c>
      <c r="AC155" s="3">
        <f t="shared" si="58"/>
        <v>-11.377232250142983</v>
      </c>
      <c r="AD155" s="3">
        <f t="shared" si="59"/>
        <v>4.4003990993614917</v>
      </c>
      <c r="AE155" s="3">
        <f t="shared" si="64"/>
        <v>-6.9768331507814914</v>
      </c>
      <c r="AH155" s="2">
        <f t="shared" si="37"/>
        <v>46176.999988425923</v>
      </c>
      <c r="AI155" s="4" t="e">
        <f t="shared" si="38"/>
        <v>#DIV/0!</v>
      </c>
      <c r="AJ155" s="4" t="e">
        <f t="shared" si="39"/>
        <v>#DIV/0!</v>
      </c>
      <c r="AK155" s="4">
        <f t="shared" si="40"/>
        <v>-642572.81529720698</v>
      </c>
    </row>
    <row r="156" spans="2:37" x14ac:dyDescent="0.25">
      <c r="B156" s="1"/>
      <c r="AB156" s="2"/>
      <c r="AC156" s="3" t="e">
        <f t="shared" si="58"/>
        <v>#DIV/0!</v>
      </c>
      <c r="AD156" s="3" t="e">
        <f t="shared" si="59"/>
        <v>#DIV/0!</v>
      </c>
      <c r="AE156" s="3"/>
      <c r="AH156" s="2">
        <f t="shared" si="37"/>
        <v>0</v>
      </c>
      <c r="AI156" s="4" t="e">
        <f t="shared" si="38"/>
        <v>#DIV/0!</v>
      </c>
      <c r="AJ156" s="4" t="e">
        <f t="shared" si="39"/>
        <v>#DIV/0!</v>
      </c>
      <c r="AK156" s="4">
        <f t="shared" si="40"/>
        <v>-642572.81529720698</v>
      </c>
    </row>
    <row r="157" spans="2:37" x14ac:dyDescent="0.25">
      <c r="B157" s="1">
        <v>46178.999988425923</v>
      </c>
      <c r="C157">
        <f>+SUMIFS(das_tank_inventories_daily!$M:$M,das_tank_inventories_daily!$C:$C,calculations!$B157,das_tank_inventories_daily!$H:$H,calculations!C$1)</f>
        <v>1859.2843635946599</v>
      </c>
      <c r="D157">
        <f>+SUMIFS(das_tank_inventories_daily!$M:$M,das_tank_inventories_daily!$C:$C,calculations!$B157,das_tank_inventories_daily!$H:$H,calculations!D$1)</f>
        <v>1412.8362179769899</v>
      </c>
      <c r="E157">
        <f>+SUMIFS(das_tank_inventories_daily!$M:$M,das_tank_inventories_daily!$C:$C,calculations!$B157,das_tank_inventories_daily!$H:$H,calculations!E$1)</f>
        <v>-155564.93075878499</v>
      </c>
      <c r="F157">
        <f>+SUMIFS(das_tank_inventories_daily!$M:$M,das_tank_inventories_daily!$C:$C,calculations!$B157,das_tank_inventories_daily!$H:$H,calculations!F$1)</f>
        <v>-8778.2569961043191</v>
      </c>
      <c r="G157">
        <f>+SUMIFS(das_tank_inventories_daily!$M:$M,das_tank_inventories_daily!$C:$C,calculations!$B157,das_tank_inventories_daily!$H:$H,calculations!G$1)</f>
        <v>16414.8350340463</v>
      </c>
      <c r="H157">
        <f>+SUMIFS(das_tank_inventories_daily!$M:$M,das_tank_inventories_daily!$C:$C,calculations!$B157,das_tank_inventories_daily!$H:$H,calculations!H$1)</f>
        <v>-427233.84115364897</v>
      </c>
      <c r="I157">
        <f>+SUMIFS(das_tank_inventories_daily!$M:$M,das_tank_inventories_daily!$C:$C,calculations!$B157,das_tank_inventories_daily!$H:$H,calculations!I$1)</f>
        <v>-27966.288387304699</v>
      </c>
      <c r="J157">
        <f>+SUMIFS(das_tank_inventories_daily!$M:$M,das_tank_inventories_daily!$C:$C,calculations!$B157,das_tank_inventories_daily!$H:$H,calculations!J$1)</f>
        <v>-334601.83583926602</v>
      </c>
      <c r="K157">
        <f>+SUMIFS(das_tank_inventories_daily!$M:$M,das_tank_inventories_daily!$C:$C,calculations!$B157,das_tank_inventories_daily!$H:$H,calculations!K$1)</f>
        <v>0</v>
      </c>
      <c r="L157">
        <f>+SUMIFS(das_tank_inventories_daily!$M:$M,das_tank_inventories_daily!$C:$C,calculations!$B157,das_tank_inventories_daily!$H:$H,calculations!L$1)</f>
        <v>-8021.9213713857398</v>
      </c>
      <c r="M157">
        <f>+SUMIFS(das_tank_inventories_daily!$M:$M,das_tank_inventories_daily!$C:$C,calculations!$B157,das_tank_inventories_daily!$H:$H,calculations!M$1)</f>
        <v>9948.3218514127893</v>
      </c>
      <c r="N157">
        <f>+SUMIFS(das_tank_inventories_daily!$M:$M,das_tank_inventories_daily!$C:$C,calculations!$B157,das_tank_inventories_daily!$H:$H,calculations!N$1)</f>
        <v>198338.30418245899</v>
      </c>
      <c r="O157">
        <f>+SUMIFS(das_tank_inventories_daily!$M:$M,das_tank_inventories_daily!$C:$C,calculations!$B157,das_tank_inventories_daily!$H:$H,calculations!O$1)</f>
        <v>-293660.5436336</v>
      </c>
      <c r="P157">
        <f>+SUMIFS(das_tank_inventories_daily!$M:$M,das_tank_inventories_daily!$C:$C,calculations!$B157,das_tank_inventories_daily!$H:$H,calculations!P$1)</f>
        <v>-465875.18399951502</v>
      </c>
      <c r="Q157">
        <f>+SUMIFS(das_tank_inventories_daily!$M:$M,das_tank_inventories_daily!$C:$C,calculations!$B157,das_tank_inventories_daily!$H:$H,calculations!Q$1)</f>
        <v>0</v>
      </c>
      <c r="R157">
        <f>+SUMIFS(das_tank_inventories_daily!$M:$M,das_tank_inventories_daily!$C:$C,calculations!$B157,das_tank_inventories_daily!$H:$H,calculations!R$1)</f>
        <v>20952.5276036344</v>
      </c>
      <c r="S157">
        <f>+SUMIFS(das_tank_inventories_daily!$M:$M,das_tank_inventories_daily!$C:$C,calculations!$B157,das_tank_inventories_daily!$H:$H,calculations!S$1)</f>
        <v>-197654.25299986699</v>
      </c>
      <c r="T157">
        <f>+SUMIFS(das_tank_inventories_daily!$M:$M,das_tank_inventories_daily!$C:$C,calculations!$B157,das_tank_inventories_daily!$H:$H,calculations!T$1)</f>
        <v>-4041.8120096556299</v>
      </c>
      <c r="U157">
        <f>+SUMIFS(das_tank_inventories_daily!$M:$M,das_tank_inventories_daily!$C:$C,calculations!$B157,das_tank_inventories_daily!$H:$H,calculations!U$1)</f>
        <v>394094.80334739701</v>
      </c>
      <c r="W157" s="2">
        <f>+B157</f>
        <v>46178.999988425923</v>
      </c>
      <c r="X157" s="3">
        <f>+SUMIFS(C157:U157,C157:U157,"&lt;0")</f>
        <v>-1923398.8671491323</v>
      </c>
      <c r="Y157" s="3">
        <f>+SUMIFS(C157:U157,C157:U157,"&lt;0")</f>
        <v>-1923398.8671491323</v>
      </c>
      <c r="Z157" s="3">
        <f t="shared" ref="Z157" si="76">+Y157+X157</f>
        <v>-3846797.7342982646</v>
      </c>
      <c r="AB157" s="2">
        <f>+B157</f>
        <v>46178.999988425923</v>
      </c>
      <c r="AC157" s="3">
        <f t="shared" si="58"/>
        <v>-641132.95571637747</v>
      </c>
      <c r="AD157" s="3">
        <f t="shared" si="59"/>
        <v>214340.3042001737</v>
      </c>
      <c r="AE157" s="3">
        <f t="shared" si="64"/>
        <v>-426792.65151620377</v>
      </c>
      <c r="AH157" s="2">
        <f t="shared" si="37"/>
        <v>46178.999988425923</v>
      </c>
      <c r="AI157" s="4" t="e">
        <f>+AI156+AC157</f>
        <v>#DIV/0!</v>
      </c>
      <c r="AJ157" s="4" t="e">
        <f>+AJ156+AD157</f>
        <v>#DIV/0!</v>
      </c>
      <c r="AK157" s="4">
        <f>+AK156+AE157</f>
        <v>-1069365.4668134106</v>
      </c>
    </row>
    <row r="158" spans="2:37" x14ac:dyDescent="0.25">
      <c r="B158" s="1"/>
      <c r="AB158" s="2"/>
      <c r="AC158" s="3">
        <f t="shared" si="58"/>
        <v>0</v>
      </c>
      <c r="AD158" s="3">
        <f t="shared" si="59"/>
        <v>0</v>
      </c>
      <c r="AE158" s="3"/>
      <c r="AH158" s="2">
        <f t="shared" si="37"/>
        <v>0</v>
      </c>
      <c r="AI158" s="4" t="e">
        <f t="shared" si="38"/>
        <v>#DIV/0!</v>
      </c>
      <c r="AJ158" s="4" t="e">
        <f t="shared" si="39"/>
        <v>#DIV/0!</v>
      </c>
      <c r="AK158" s="4">
        <f t="shared" si="40"/>
        <v>-1069365.4668134106</v>
      </c>
    </row>
    <row r="159" spans="2:37" x14ac:dyDescent="0.25">
      <c r="B159" s="1"/>
      <c r="AB159" s="2"/>
      <c r="AC159" s="3" t="e">
        <f t="shared" si="58"/>
        <v>#DIV/0!</v>
      </c>
      <c r="AD159" s="3" t="e">
        <f t="shared" si="59"/>
        <v>#DIV/0!</v>
      </c>
      <c r="AE159" s="3"/>
      <c r="AH159" s="2">
        <f t="shared" si="37"/>
        <v>0</v>
      </c>
      <c r="AI159" s="4" t="e">
        <f t="shared" si="38"/>
        <v>#DIV/0!</v>
      </c>
      <c r="AJ159" s="4" t="e">
        <f t="shared" si="39"/>
        <v>#DIV/0!</v>
      </c>
      <c r="AK159" s="4">
        <f t="shared" si="40"/>
        <v>-1069365.4668134106</v>
      </c>
    </row>
    <row r="160" spans="2:37" x14ac:dyDescent="0.25">
      <c r="B160" s="1">
        <v>46181.999988425923</v>
      </c>
      <c r="C160">
        <f>+SUMIFS(das_tank_inventories_daily!$M:$M,das_tank_inventories_daily!$C:$C,calculations!$B160,das_tank_inventories_daily!$H:$H,calculations!C$1)</f>
        <v>-2791.71181349988</v>
      </c>
      <c r="D160">
        <f>+SUMIFS(das_tank_inventories_daily!$M:$M,das_tank_inventories_daily!$C:$C,calculations!$B160,das_tank_inventories_daily!$H:$H,calculations!D$1)</f>
        <v>-1471.96834389373</v>
      </c>
      <c r="E160">
        <f>+SUMIFS(das_tank_inventories_daily!$M:$M,das_tank_inventories_daily!$C:$C,calculations!$B160,das_tank_inventories_daily!$H:$H,calculations!E$1)</f>
        <v>-15104.8060313729</v>
      </c>
      <c r="F160">
        <f>+SUMIFS(das_tank_inventories_daily!$M:$M,das_tank_inventories_daily!$C:$C,calculations!$B160,das_tank_inventories_daily!$H:$H,calculations!F$1)</f>
        <v>8778.2569961043191</v>
      </c>
      <c r="G160">
        <f>+SUMIFS(das_tank_inventories_daily!$M:$M,das_tank_inventories_daily!$C:$C,calculations!$B160,das_tank_inventories_daily!$H:$H,calculations!G$1)</f>
        <v>-14196.830093328699</v>
      </c>
      <c r="H160">
        <f>+SUMIFS(das_tank_inventories_daily!$M:$M,das_tank_inventories_daily!$C:$C,calculations!$B160,das_tank_inventories_daily!$H:$H,calculations!H$1)</f>
        <v>181043.12613251101</v>
      </c>
      <c r="I160">
        <f>+SUMIFS(das_tank_inventories_daily!$M:$M,das_tank_inventories_daily!$C:$C,calculations!$B160,das_tank_inventories_daily!$H:$H,calculations!I$1)</f>
        <v>44297.782229603203</v>
      </c>
      <c r="J160">
        <f>+SUMIFS(das_tank_inventories_daily!$M:$M,das_tank_inventories_daily!$C:$C,calculations!$B160,das_tank_inventories_daily!$H:$H,calculations!J$1)</f>
        <v>275902.83040020597</v>
      </c>
      <c r="K160">
        <f>+SUMIFS(das_tank_inventories_daily!$M:$M,das_tank_inventories_daily!$C:$C,calculations!$B160,das_tank_inventories_daily!$H:$H,calculations!K$1)</f>
        <v>626509.71311443602</v>
      </c>
      <c r="L160">
        <f>+SUMIFS(das_tank_inventories_daily!$M:$M,das_tank_inventories_daily!$C:$C,calculations!$B160,das_tank_inventories_daily!$H:$H,calculations!L$1)</f>
        <v>-5030.6033520300898</v>
      </c>
      <c r="M160">
        <f>+SUMIFS(das_tank_inventories_daily!$M:$M,das_tank_inventories_daily!$C:$C,calculations!$B160,das_tank_inventories_daily!$H:$H,calculations!M$1)</f>
        <v>16662.829204069199</v>
      </c>
      <c r="N160">
        <f>+SUMIFS(das_tank_inventories_daily!$M:$M,das_tank_inventories_daily!$C:$C,calculations!$B160,das_tank_inventories_daily!$H:$H,calculations!N$1)</f>
        <v>-182139.472821654</v>
      </c>
      <c r="O160">
        <f>+SUMIFS(das_tank_inventories_daily!$M:$M,das_tank_inventories_daily!$C:$C,calculations!$B160,das_tank_inventories_daily!$H:$H,calculations!O$1)</f>
        <v>0</v>
      </c>
      <c r="P160">
        <f>+SUMIFS(das_tank_inventories_daily!$M:$M,das_tank_inventories_daily!$C:$C,calculations!$B160,das_tank_inventories_daily!$H:$H,calculations!P$1)</f>
        <v>466418.02342199901</v>
      </c>
      <c r="Q160">
        <f>+SUMIFS(das_tank_inventories_daily!$M:$M,das_tank_inventories_daily!$C:$C,calculations!$B160,das_tank_inventories_daily!$H:$H,calculations!Q$1)</f>
        <v>0</v>
      </c>
      <c r="R160">
        <f>+SUMIFS(das_tank_inventories_daily!$M:$M,das_tank_inventories_daily!$C:$C,calculations!$B160,das_tank_inventories_daily!$H:$H,calculations!R$1)</f>
        <v>-142929.671629305</v>
      </c>
      <c r="S160">
        <f>+SUMIFS(das_tank_inventories_daily!$M:$M,das_tank_inventories_daily!$C:$C,calculations!$B160,das_tank_inventories_daily!$H:$H,calculations!S$1)</f>
        <v>0</v>
      </c>
      <c r="T160">
        <f>+SUMIFS(das_tank_inventories_daily!$M:$M,das_tank_inventories_daily!$C:$C,calculations!$B160,das_tank_inventories_daily!$H:$H,calculations!T$1)</f>
        <v>6218.0407169357004</v>
      </c>
      <c r="U160">
        <f>+SUMIFS(das_tank_inventories_daily!$M:$M,das_tank_inventories_daily!$C:$C,calculations!$B160,das_tank_inventories_daily!$H:$H,calculations!U$1)</f>
        <v>-400117.235140473</v>
      </c>
      <c r="W160" s="2">
        <f>+B160</f>
        <v>46181.999988425923</v>
      </c>
      <c r="X160" s="3">
        <f>+SUMIFS(C160:U160,C160:U160,"&lt;0")</f>
        <v>-763782.29922555736</v>
      </c>
      <c r="Y160" s="3">
        <f>+SUMIFS(C160:U160,C160:U160,"&lt;0")</f>
        <v>-763782.29922555736</v>
      </c>
      <c r="Z160" s="3">
        <f t="shared" ref="Z160" si="77">+Y160+X160</f>
        <v>-1527564.5984511147</v>
      </c>
      <c r="AB160" s="2">
        <f>+B160</f>
        <v>46181.999988425923</v>
      </c>
      <c r="AC160" s="3">
        <f t="shared" si="58"/>
        <v>-254594.09974185246</v>
      </c>
      <c r="AD160" s="3">
        <f t="shared" si="59"/>
        <v>541943.53407195478</v>
      </c>
      <c r="AE160" s="3">
        <f t="shared" si="64"/>
        <v>287349.43433010229</v>
      </c>
      <c r="AH160" s="2">
        <f t="shared" ref="AH160:AH223" si="78">+AB160</f>
        <v>46181.999988425923</v>
      </c>
      <c r="AI160" s="4" t="e">
        <f>+AI159+AC160</f>
        <v>#DIV/0!</v>
      </c>
      <c r="AJ160" s="4" t="e">
        <f>+AJ159+AD160</f>
        <v>#DIV/0!</v>
      </c>
      <c r="AK160" s="4">
        <f>+AK159+AE160</f>
        <v>-782016.03248330834</v>
      </c>
    </row>
    <row r="161" spans="2:37" x14ac:dyDescent="0.25">
      <c r="B161" s="1"/>
      <c r="AB161" s="2"/>
      <c r="AC161" s="3" t="e">
        <f t="shared" si="58"/>
        <v>#DIV/0!</v>
      </c>
      <c r="AD161" s="3" t="e">
        <f t="shared" si="59"/>
        <v>#DIV/0!</v>
      </c>
      <c r="AE161" s="3"/>
      <c r="AH161" s="2">
        <f t="shared" si="78"/>
        <v>0</v>
      </c>
      <c r="AI161" s="4" t="e">
        <f t="shared" ref="AI161:AI223" si="79">+AI160+AC161</f>
        <v>#DIV/0!</v>
      </c>
      <c r="AJ161" s="4" t="e">
        <f t="shared" ref="AJ161:AJ223" si="80">+AJ160+AD161</f>
        <v>#DIV/0!</v>
      </c>
      <c r="AK161" s="4">
        <f t="shared" ref="AK161:AK223" si="81">+AK160+AE161</f>
        <v>-782016.03248330834</v>
      </c>
    </row>
    <row r="162" spans="2:37" x14ac:dyDescent="0.25">
      <c r="B162" s="1"/>
      <c r="AB162" s="2"/>
      <c r="AC162" s="3" t="e">
        <f t="shared" si="58"/>
        <v>#DIV/0!</v>
      </c>
      <c r="AD162" s="3" t="e">
        <f t="shared" si="59"/>
        <v>#DIV/0!</v>
      </c>
      <c r="AE162" s="3"/>
      <c r="AH162" s="2">
        <f t="shared" si="78"/>
        <v>0</v>
      </c>
      <c r="AI162" s="4" t="e">
        <f t="shared" si="79"/>
        <v>#DIV/0!</v>
      </c>
      <c r="AJ162" s="4" t="e">
        <f t="shared" si="80"/>
        <v>#DIV/0!</v>
      </c>
      <c r="AK162" s="4">
        <f t="shared" si="81"/>
        <v>-782016.03248330834</v>
      </c>
    </row>
    <row r="163" spans="2:37" x14ac:dyDescent="0.25">
      <c r="B163" s="1"/>
      <c r="AB163" s="2"/>
      <c r="AC163" s="3">
        <f t="shared" si="58"/>
        <v>0</v>
      </c>
      <c r="AD163" s="3">
        <f t="shared" si="59"/>
        <v>0</v>
      </c>
      <c r="AE163" s="3"/>
      <c r="AH163" s="2">
        <f t="shared" si="78"/>
        <v>0</v>
      </c>
      <c r="AI163" s="4" t="e">
        <f t="shared" si="79"/>
        <v>#DIV/0!</v>
      </c>
      <c r="AJ163" s="4" t="e">
        <f t="shared" si="80"/>
        <v>#DIV/0!</v>
      </c>
      <c r="AK163" s="4">
        <f t="shared" si="81"/>
        <v>-782016.03248330834</v>
      </c>
    </row>
    <row r="164" spans="2:37" x14ac:dyDescent="0.25">
      <c r="B164" s="1">
        <v>46185.999988425923</v>
      </c>
      <c r="C164">
        <f>+SUMIFS(das_tank_inventories_daily!$M:$M,das_tank_inventories_daily!$C:$C,calculations!$B164,das_tank_inventories_daily!$H:$H,calculations!C$1)</f>
        <v>3031.2278139436598</v>
      </c>
      <c r="D164">
        <f>+SUMIFS(das_tank_inventories_daily!$M:$M,das_tank_inventories_daily!$C:$C,calculations!$B164,das_tank_inventories_daily!$H:$H,calculations!D$1)</f>
        <v>-620.25077663652996</v>
      </c>
      <c r="E164">
        <f>+SUMIFS(das_tank_inventories_daily!$M:$M,das_tank_inventories_daily!$C:$C,calculations!$B164,das_tank_inventories_daily!$H:$H,calculations!E$1)</f>
        <v>187117.53266851499</v>
      </c>
      <c r="F164">
        <f>+SUMIFS(das_tank_inventories_daily!$M:$M,das_tank_inventories_daily!$C:$C,calculations!$B164,das_tank_inventories_daily!$H:$H,calculations!F$1)</f>
        <v>-5052.7605972845904</v>
      </c>
      <c r="G164">
        <f>+SUMIFS(das_tank_inventories_daily!$M:$M,das_tank_inventories_daily!$C:$C,calculations!$B164,das_tank_inventories_daily!$H:$H,calculations!G$1)</f>
        <v>14776.2498409581</v>
      </c>
      <c r="H164">
        <f>+SUMIFS(das_tank_inventories_daily!$M:$M,das_tank_inventories_daily!$C:$C,calculations!$B164,das_tank_inventories_daily!$H:$H,calculations!H$1)</f>
        <v>233562.44987258001</v>
      </c>
      <c r="I164">
        <f>+SUMIFS(das_tank_inventories_daily!$M:$M,das_tank_inventories_daily!$C:$C,calculations!$B164,das_tank_inventories_daily!$H:$H,calculations!I$1)</f>
        <v>14429.553272516299</v>
      </c>
      <c r="J164">
        <f>+SUMIFS(das_tank_inventories_daily!$M:$M,das_tank_inventories_daily!$C:$C,calculations!$B164,das_tank_inventories_daily!$H:$H,calculations!J$1)</f>
        <v>-325466.587194914</v>
      </c>
      <c r="K164">
        <f>+SUMIFS(das_tank_inventories_daily!$M:$M,das_tank_inventories_daily!$C:$C,calculations!$B164,das_tank_inventories_daily!$H:$H,calculations!K$1)</f>
        <v>-626509.71311443602</v>
      </c>
      <c r="L164">
        <f>+SUMIFS(das_tank_inventories_daily!$M:$M,das_tank_inventories_daily!$C:$C,calculations!$B164,das_tank_inventories_daily!$H:$H,calculations!L$1)</f>
        <v>-4816.8736653484802</v>
      </c>
      <c r="M164">
        <f>+SUMIFS(das_tank_inventories_daily!$M:$M,das_tank_inventories_daily!$C:$C,calculations!$B164,das_tank_inventories_daily!$H:$H,calculations!M$1)</f>
        <v>-17830.6234039466</v>
      </c>
      <c r="N164">
        <f>+SUMIFS(das_tank_inventories_daily!$M:$M,das_tank_inventories_daily!$C:$C,calculations!$B164,das_tank_inventories_daily!$H:$H,calculations!N$1)</f>
        <v>-446.88636559527299</v>
      </c>
      <c r="O164">
        <f>+SUMIFS(das_tank_inventories_daily!$M:$M,das_tank_inventories_daily!$C:$C,calculations!$B164,das_tank_inventories_daily!$H:$H,calculations!O$1)</f>
        <v>178479.91009413899</v>
      </c>
      <c r="P164">
        <f>+SUMIFS(das_tank_inventories_daily!$M:$M,das_tank_inventories_daily!$C:$C,calculations!$B164,das_tank_inventories_daily!$H:$H,calculations!P$1)</f>
        <v>-4712.6817485513702</v>
      </c>
      <c r="Q164">
        <f>+SUMIFS(das_tank_inventories_daily!$M:$M,das_tank_inventories_daily!$C:$C,calculations!$B164,das_tank_inventories_daily!$H:$H,calculations!Q$1)</f>
        <v>0</v>
      </c>
      <c r="R164">
        <f>+SUMIFS(das_tank_inventories_daily!$M:$M,das_tank_inventories_daily!$C:$C,calculations!$B164,das_tank_inventories_daily!$H:$H,calculations!R$1)</f>
        <v>550255.52235888795</v>
      </c>
      <c r="S164">
        <f>+SUMIFS(das_tank_inventories_daily!$M:$M,das_tank_inventories_daily!$C:$C,calculations!$B164,das_tank_inventories_daily!$H:$H,calculations!S$1)</f>
        <v>199371.70337497699</v>
      </c>
      <c r="T164">
        <f>+SUMIFS(das_tank_inventories_daily!$M:$M,das_tank_inventories_daily!$C:$C,calculations!$B164,das_tank_inventories_daily!$H:$H,calculations!T$1)</f>
        <v>-5421.0320704559499</v>
      </c>
      <c r="U164">
        <f>+SUMIFS(das_tank_inventories_daily!$M:$M,das_tank_inventories_daily!$C:$C,calculations!$B164,das_tank_inventories_daily!$H:$H,calculations!U$1)</f>
        <v>-10409.5563033991</v>
      </c>
      <c r="W164" s="2">
        <f>+B164</f>
        <v>46185.999988425923</v>
      </c>
      <c r="X164" s="3">
        <f>+SUMIFS(C164:U164,C164:U164,"&lt;0")</f>
        <v>-1001286.9652405679</v>
      </c>
      <c r="Y164" s="3">
        <f>+SUMIFS(C164:U164,C164:U164,"&lt;0")</f>
        <v>-1001286.9652405679</v>
      </c>
      <c r="Z164" s="3">
        <f t="shared" ref="Z164" si="82">+Y164+X164</f>
        <v>-2002573.9304811358</v>
      </c>
      <c r="AB164" s="2">
        <f>+B164</f>
        <v>46185.999988425923</v>
      </c>
      <c r="AC164" s="3">
        <f t="shared" si="58"/>
        <v>-21.67944757050811</v>
      </c>
      <c r="AD164" s="3">
        <f t="shared" si="59"/>
        <v>29.901358629078025</v>
      </c>
      <c r="AE164" s="3">
        <f t="shared" si="64"/>
        <v>8.2219110585699156</v>
      </c>
      <c r="AH164" s="2">
        <f t="shared" si="78"/>
        <v>46185.999988425923</v>
      </c>
      <c r="AI164" s="4" t="e">
        <f>+AI163+AC164</f>
        <v>#DIV/0!</v>
      </c>
      <c r="AJ164" s="4" t="e">
        <f>+AJ163+AD164</f>
        <v>#DIV/0!</v>
      </c>
      <c r="AK164" s="4">
        <f>+AK163+AE164</f>
        <v>-782007.81057224981</v>
      </c>
    </row>
    <row r="165" spans="2:37" x14ac:dyDescent="0.25">
      <c r="B165" s="1"/>
      <c r="AB165" s="2"/>
      <c r="AC165" s="3" t="e">
        <f t="shared" si="58"/>
        <v>#DIV/0!</v>
      </c>
      <c r="AD165" s="3" t="e">
        <f t="shared" si="59"/>
        <v>#DIV/0!</v>
      </c>
      <c r="AE165" s="3"/>
      <c r="AH165" s="2">
        <f t="shared" si="78"/>
        <v>0</v>
      </c>
      <c r="AI165" s="4" t="e">
        <f t="shared" si="79"/>
        <v>#DIV/0!</v>
      </c>
      <c r="AJ165" s="4" t="e">
        <f t="shared" si="80"/>
        <v>#DIV/0!</v>
      </c>
      <c r="AK165" s="4">
        <f t="shared" si="81"/>
        <v>-782007.81057224981</v>
      </c>
    </row>
    <row r="166" spans="2:37" x14ac:dyDescent="0.25">
      <c r="B166" s="1"/>
      <c r="AB166" s="2"/>
      <c r="AC166" s="3" t="e">
        <f t="shared" si="58"/>
        <v>#DIV/0!</v>
      </c>
      <c r="AD166" s="3" t="e">
        <f t="shared" si="59"/>
        <v>#DIV/0!</v>
      </c>
      <c r="AE166" s="3"/>
      <c r="AH166" s="2">
        <f t="shared" si="78"/>
        <v>0</v>
      </c>
      <c r="AI166" s="4" t="e">
        <f t="shared" si="79"/>
        <v>#DIV/0!</v>
      </c>
      <c r="AJ166" s="4" t="e">
        <f t="shared" si="80"/>
        <v>#DIV/0!</v>
      </c>
      <c r="AK166" s="4">
        <f t="shared" si="81"/>
        <v>-782007.81057224981</v>
      </c>
    </row>
    <row r="167" spans="2:37" x14ac:dyDescent="0.25">
      <c r="B167" s="1">
        <v>46188.999988425923</v>
      </c>
      <c r="C167">
        <f>+SUMIFS(das_tank_inventories_daily!$M:$M,das_tank_inventories_daily!$C:$C,calculations!$B167,das_tank_inventories_daily!$H:$H,calculations!C$1)</f>
        <v>-2729.8653154417102</v>
      </c>
      <c r="D167">
        <f>+SUMIFS(das_tank_inventories_daily!$M:$M,das_tank_inventories_daily!$C:$C,calculations!$B167,das_tank_inventories_daily!$H:$H,calculations!D$1)</f>
        <v>-148.240409040299</v>
      </c>
      <c r="E167">
        <f>+SUMIFS(das_tank_inventories_daily!$M:$M,das_tank_inventories_daily!$C:$C,calculations!$B167,das_tank_inventories_daily!$H:$H,calculations!E$1)</f>
        <v>-21538.2238233186</v>
      </c>
      <c r="F167">
        <f>+SUMIFS(das_tank_inventories_daily!$M:$M,das_tank_inventories_daily!$C:$C,calculations!$B167,das_tank_inventories_daily!$H:$H,calculations!F$1)</f>
        <v>5052.7605972845904</v>
      </c>
      <c r="G167">
        <f>+SUMIFS(das_tank_inventories_daily!$M:$M,das_tank_inventories_daily!$C:$C,calculations!$B167,das_tank_inventories_daily!$H:$H,calculations!G$1)</f>
        <v>-16476.103806180399</v>
      </c>
      <c r="H167">
        <f>+SUMIFS(das_tank_inventories_daily!$M:$M,das_tank_inventories_daily!$C:$C,calculations!$B167,das_tank_inventories_daily!$H:$H,calculations!H$1)</f>
        <v>-5379.2343952183101</v>
      </c>
      <c r="I167">
        <f>+SUMIFS(das_tank_inventories_daily!$M:$M,das_tank_inventories_daily!$C:$C,calculations!$B167,das_tank_inventories_daily!$H:$H,calculations!I$1)</f>
        <v>-516739.26733639999</v>
      </c>
      <c r="J167">
        <f>+SUMIFS(das_tank_inventories_daily!$M:$M,das_tank_inventories_daily!$C:$C,calculations!$B167,das_tank_inventories_daily!$H:$H,calculations!J$1)</f>
        <v>-7684.5526526107496</v>
      </c>
      <c r="K167">
        <f>+SUMIFS(das_tank_inventories_daily!$M:$M,das_tank_inventories_daily!$C:$C,calculations!$B167,das_tank_inventories_daily!$H:$H,calculations!K$1)</f>
        <v>453359.00729042199</v>
      </c>
      <c r="L167">
        <f>+SUMIFS(das_tank_inventories_daily!$M:$M,das_tank_inventories_daily!$C:$C,calculations!$B167,das_tank_inventories_daily!$H:$H,calculations!L$1)</f>
        <v>-1449.4655645899099</v>
      </c>
      <c r="M167">
        <f>+SUMIFS(das_tank_inventories_daily!$M:$M,das_tank_inventories_daily!$C:$C,calculations!$B167,das_tank_inventories_daily!$H:$H,calculations!M$1)</f>
        <v>-1130.3684675362299</v>
      </c>
      <c r="N167">
        <f>+SUMIFS(das_tank_inventories_daily!$M:$M,das_tank_inventories_daily!$C:$C,calculations!$B167,das_tank_inventories_daily!$H:$H,calculations!N$1)</f>
        <v>-35024.943182119401</v>
      </c>
      <c r="O167">
        <f>+SUMIFS(das_tank_inventories_daily!$M:$M,das_tank_inventories_daily!$C:$C,calculations!$B167,das_tank_inventories_daily!$H:$H,calculations!O$1)</f>
        <v>-178479.91009413899</v>
      </c>
      <c r="P167">
        <f>+SUMIFS(das_tank_inventories_daily!$M:$M,das_tank_inventories_daily!$C:$C,calculations!$B167,das_tank_inventories_daily!$H:$H,calculations!P$1)</f>
        <v>2589.95377399271</v>
      </c>
      <c r="Q167">
        <f>+SUMIFS(das_tank_inventories_daily!$M:$M,das_tank_inventories_daily!$C:$C,calculations!$B167,das_tank_inventories_daily!$H:$H,calculations!Q$1)</f>
        <v>0</v>
      </c>
      <c r="R167">
        <f>+SUMIFS(das_tank_inventories_daily!$M:$M,das_tank_inventories_daily!$C:$C,calculations!$B167,das_tank_inventories_daily!$H:$H,calculations!R$1)</f>
        <v>-550255.52235888795</v>
      </c>
      <c r="S167">
        <f>+SUMIFS(das_tank_inventories_daily!$M:$M,das_tank_inventories_daily!$C:$C,calculations!$B167,das_tank_inventories_daily!$H:$H,calculations!S$1)</f>
        <v>-199371.70337497699</v>
      </c>
      <c r="T167">
        <f>+SUMIFS(das_tank_inventories_daily!$M:$M,das_tank_inventories_daily!$C:$C,calculations!$B167,das_tank_inventories_daily!$H:$H,calculations!T$1)</f>
        <v>2820.4068515148801</v>
      </c>
      <c r="U167">
        <f>+SUMIFS(das_tank_inventories_daily!$M:$M,das_tank_inventories_daily!$C:$C,calculations!$B167,das_tank_inventories_daily!$H:$H,calculations!U$1)</f>
        <v>186462.50887316</v>
      </c>
      <c r="W167" s="2">
        <f>+B167</f>
        <v>46188.999988425923</v>
      </c>
      <c r="X167" s="3">
        <f>+SUMIFS(C167:U167,C167:U167,"&lt;0")</f>
        <v>-1536407.4007804596</v>
      </c>
      <c r="Y167" s="3">
        <f>+SUMIFS(C167:U167,C167:U167,"&lt;0")</f>
        <v>-1536407.4007804596</v>
      </c>
      <c r="Z167" s="3">
        <f t="shared" ref="Z167" si="83">+Y167+X167</f>
        <v>-3072814.8015609193</v>
      </c>
      <c r="AB167" s="2">
        <f>+B167</f>
        <v>46188.999988425923</v>
      </c>
      <c r="AC167" s="3">
        <f t="shared" si="58"/>
        <v>-512135.80026015319</v>
      </c>
      <c r="AD167" s="3">
        <f t="shared" si="59"/>
        <v>216761.54579545805</v>
      </c>
      <c r="AE167" s="3">
        <f t="shared" si="64"/>
        <v>-295374.25446469511</v>
      </c>
      <c r="AH167" s="2">
        <f t="shared" si="78"/>
        <v>46188.999988425923</v>
      </c>
      <c r="AI167" s="4" t="e">
        <f>+AI166+AC167</f>
        <v>#DIV/0!</v>
      </c>
      <c r="AJ167" s="4" t="e">
        <f>+AJ166+AD167</f>
        <v>#DIV/0!</v>
      </c>
      <c r="AK167" s="4">
        <f>+AK166+AE167</f>
        <v>-1077382.065036945</v>
      </c>
    </row>
    <row r="168" spans="2:37" x14ac:dyDescent="0.25">
      <c r="B168" s="1"/>
      <c r="AB168" s="2"/>
      <c r="AC168" s="3" t="e">
        <f t="shared" si="58"/>
        <v>#DIV/0!</v>
      </c>
      <c r="AD168" s="3" t="e">
        <f t="shared" si="59"/>
        <v>#DIV/0!</v>
      </c>
      <c r="AE168" s="3"/>
      <c r="AH168" s="2">
        <f t="shared" si="78"/>
        <v>0</v>
      </c>
      <c r="AI168" s="4" t="e">
        <f t="shared" si="79"/>
        <v>#DIV/0!</v>
      </c>
      <c r="AJ168" s="4" t="e">
        <f t="shared" si="80"/>
        <v>#DIV/0!</v>
      </c>
      <c r="AK168" s="4">
        <f t="shared" si="81"/>
        <v>-1077382.065036945</v>
      </c>
    </row>
    <row r="169" spans="2:37" x14ac:dyDescent="0.25">
      <c r="B169" s="1">
        <v>46190.999988425923</v>
      </c>
      <c r="C169">
        <f>+SUMIFS(das_tank_inventories_daily!$M:$M,das_tank_inventories_daily!$C:$C,calculations!$B169,das_tank_inventories_daily!$H:$H,calculations!C$1)</f>
        <v>2988.5323160825001</v>
      </c>
      <c r="D169">
        <f>+SUMIFS(das_tank_inventories_daily!$M:$M,das_tank_inventories_daily!$C:$C,calculations!$B169,das_tank_inventories_daily!$H:$H,calculations!D$1)</f>
        <v>3083.70281328188</v>
      </c>
      <c r="E169">
        <f>+SUMIFS(das_tank_inventories_daily!$M:$M,das_tank_inventories_daily!$C:$C,calculations!$B169,das_tank_inventories_daily!$H:$H,calculations!E$1)</f>
        <v>21900.177400216198</v>
      </c>
      <c r="F169">
        <f>+SUMIFS(das_tank_inventories_daily!$M:$M,das_tank_inventories_daily!$C:$C,calculations!$B169,das_tank_inventories_daily!$H:$H,calculations!F$1)</f>
        <v>-5178.5505905780001</v>
      </c>
      <c r="G169">
        <f>+SUMIFS(das_tank_inventories_daily!$M:$M,das_tank_inventories_daily!$C:$C,calculations!$B169,das_tank_inventories_daily!$H:$H,calculations!G$1)</f>
        <v>18112.687496598599</v>
      </c>
      <c r="H169">
        <f>+SUMIFS(das_tank_inventories_daily!$M:$M,das_tank_inventories_daily!$C:$C,calculations!$B169,das_tank_inventories_daily!$H:$H,calculations!H$1)</f>
        <v>-390186.07200499601</v>
      </c>
      <c r="I169">
        <f>+SUMIFS(das_tank_inventories_daily!$M:$M,das_tank_inventories_daily!$C:$C,calculations!$B169,das_tank_inventories_daily!$H:$H,calculations!I$1)</f>
        <v>31124.749214081901</v>
      </c>
      <c r="J169">
        <f>+SUMIFS(das_tank_inventories_daily!$M:$M,das_tank_inventories_daily!$C:$C,calculations!$B169,das_tank_inventories_daily!$H:$H,calculations!J$1)</f>
        <v>0</v>
      </c>
      <c r="K169">
        <f>+SUMIFS(das_tank_inventories_daily!$M:$M,das_tank_inventories_daily!$C:$C,calculations!$B169,das_tank_inventories_daily!$H:$H,calculations!K$1)</f>
        <v>-453359.00729042199</v>
      </c>
      <c r="L169">
        <f>+SUMIFS(das_tank_inventories_daily!$M:$M,das_tank_inventories_daily!$C:$C,calculations!$B169,das_tank_inventories_daily!$H:$H,calculations!L$1)</f>
        <v>-17418.625700742599</v>
      </c>
      <c r="M169">
        <f>+SUMIFS(das_tank_inventories_daily!$M:$M,das_tank_inventories_daily!$C:$C,calculations!$B169,das_tank_inventories_daily!$H:$H,calculations!M$1)</f>
        <v>-2919.6842890572998</v>
      </c>
      <c r="N169">
        <f>+SUMIFS(das_tank_inventories_daily!$M:$M,das_tank_inventories_daily!$C:$C,calculations!$B169,das_tank_inventories_daily!$H:$H,calculations!N$1)</f>
        <v>24034.604573924498</v>
      </c>
      <c r="O169">
        <f>+SUMIFS(das_tank_inventories_daily!$M:$M,das_tank_inventories_daily!$C:$C,calculations!$B169,das_tank_inventories_daily!$H:$H,calculations!O$1)</f>
        <v>434352.96284416999</v>
      </c>
      <c r="P169">
        <f>+SUMIFS(das_tank_inventories_daily!$M:$M,das_tank_inventories_daily!$C:$C,calculations!$B169,das_tank_inventories_daily!$H:$H,calculations!P$1)</f>
        <v>-15566.115314999401</v>
      </c>
      <c r="Q169">
        <f>+SUMIFS(das_tank_inventories_daily!$M:$M,das_tank_inventories_daily!$C:$C,calculations!$B169,das_tank_inventories_daily!$H:$H,calculations!Q$1)</f>
        <v>0</v>
      </c>
      <c r="R169">
        <f>+SUMIFS(das_tank_inventories_daily!$M:$M,das_tank_inventories_daily!$C:$C,calculations!$B169,das_tank_inventories_daily!$H:$H,calculations!R$1)</f>
        <v>358051.78062900802</v>
      </c>
      <c r="S169">
        <f>+SUMIFS(das_tank_inventories_daily!$M:$M,das_tank_inventories_daily!$C:$C,calculations!$B169,das_tank_inventories_daily!$H:$H,calculations!S$1)</f>
        <v>158714.297953072</v>
      </c>
      <c r="T169">
        <f>+SUMIFS(das_tank_inventories_daily!$M:$M,das_tank_inventories_daily!$C:$C,calculations!$B169,das_tank_inventories_daily!$H:$H,calculations!T$1)</f>
        <v>-1912.0503249210799</v>
      </c>
      <c r="U169">
        <f>+SUMIFS(das_tank_inventories_daily!$M:$M,das_tank_inventories_daily!$C:$C,calculations!$B169,das_tank_inventories_daily!$H:$H,calculations!U$1)</f>
        <v>-118766.156222961</v>
      </c>
      <c r="W169" s="2">
        <f>+B169</f>
        <v>46190.999988425923</v>
      </c>
      <c r="X169" s="3">
        <f>+SUMIFS(C169:U169,C169:U169,"&lt;0")</f>
        <v>-1005306.2617386773</v>
      </c>
      <c r="Y169" s="3">
        <f>+SUMIFS(C169:U169,C169:U169,"&lt;0")</f>
        <v>-1005306.2617386773</v>
      </c>
      <c r="Z169" s="3">
        <f t="shared" ref="Z169" si="84">+Y169+X169</f>
        <v>-2010612.5234773546</v>
      </c>
      <c r="AB169" s="2">
        <f>+B169</f>
        <v>46190.999988425923</v>
      </c>
      <c r="AC169" s="3">
        <f t="shared" si="58"/>
        <v>-21.764115563433933</v>
      </c>
      <c r="AD169" s="3">
        <f t="shared" si="59"/>
        <v>22.782868859823914</v>
      </c>
      <c r="AE169" s="3">
        <f t="shared" si="64"/>
        <v>1.0187532963899812</v>
      </c>
      <c r="AH169" s="2">
        <f t="shared" si="78"/>
        <v>46190.999988425923</v>
      </c>
      <c r="AI169" s="4" t="e">
        <f>+AI168+AC169</f>
        <v>#DIV/0!</v>
      </c>
      <c r="AJ169" s="4" t="e">
        <f>+AJ168+AD169</f>
        <v>#DIV/0!</v>
      </c>
      <c r="AK169" s="4">
        <f>+AK168+AE169</f>
        <v>-1077381.0462836486</v>
      </c>
    </row>
    <row r="170" spans="2:37" x14ac:dyDescent="0.25">
      <c r="B170" s="1"/>
      <c r="AB170" s="2"/>
      <c r="AC170" s="3">
        <f t="shared" si="58"/>
        <v>0</v>
      </c>
      <c r="AD170" s="3">
        <f t="shared" si="59"/>
        <v>0</v>
      </c>
      <c r="AE170" s="3"/>
      <c r="AH170" s="2">
        <f t="shared" si="78"/>
        <v>0</v>
      </c>
      <c r="AI170" s="4" t="e">
        <f t="shared" si="79"/>
        <v>#DIV/0!</v>
      </c>
      <c r="AJ170" s="4" t="e">
        <f t="shared" si="80"/>
        <v>#DIV/0!</v>
      </c>
      <c r="AK170" s="4">
        <f t="shared" si="81"/>
        <v>-1077381.0462836486</v>
      </c>
    </row>
    <row r="171" spans="2:37" x14ac:dyDescent="0.25">
      <c r="B171" s="1"/>
      <c r="AB171" s="2"/>
      <c r="AC171" s="3" t="e">
        <f t="shared" si="58"/>
        <v>#DIV/0!</v>
      </c>
      <c r="AD171" s="3" t="e">
        <f t="shared" si="59"/>
        <v>#DIV/0!</v>
      </c>
      <c r="AE171" s="3"/>
      <c r="AH171" s="2">
        <f t="shared" si="78"/>
        <v>0</v>
      </c>
      <c r="AI171" s="4" t="e">
        <f t="shared" si="79"/>
        <v>#DIV/0!</v>
      </c>
      <c r="AJ171" s="4" t="e">
        <f t="shared" si="80"/>
        <v>#DIV/0!</v>
      </c>
      <c r="AK171" s="4">
        <f t="shared" si="81"/>
        <v>-1077381.0462836486</v>
      </c>
    </row>
    <row r="172" spans="2:37" x14ac:dyDescent="0.25">
      <c r="B172" s="1">
        <v>46193.999988425923</v>
      </c>
      <c r="C172">
        <f>+SUMIFS(das_tank_inventories_daily!$M:$M,das_tank_inventories_daily!$C:$C,calculations!$B172,das_tank_inventories_daily!$H:$H,calculations!C$1)</f>
        <v>-2454.8259078115202</v>
      </c>
      <c r="D172">
        <f>+SUMIFS(das_tank_inventories_daily!$M:$M,das_tank_inventories_daily!$C:$C,calculations!$B172,das_tank_inventories_daily!$H:$H,calculations!D$1)</f>
        <v>-2559.1164609872499</v>
      </c>
      <c r="E172">
        <f>+SUMIFS(das_tank_inventories_daily!$M:$M,das_tank_inventories_daily!$C:$C,calculations!$B172,das_tank_inventories_daily!$H:$H,calculations!E$1)</f>
        <v>-22192.5916329666</v>
      </c>
      <c r="F172">
        <f>+SUMIFS(das_tank_inventories_daily!$M:$M,das_tank_inventories_daily!$C:$C,calculations!$B172,das_tank_inventories_daily!$H:$H,calculations!F$1)</f>
        <v>5178.5505905780001</v>
      </c>
      <c r="G172">
        <f>+SUMIFS(das_tank_inventories_daily!$M:$M,das_tank_inventories_daily!$C:$C,calculations!$B172,das_tank_inventories_daily!$H:$H,calculations!G$1)</f>
        <v>6109.4242643848902</v>
      </c>
      <c r="H172">
        <f>+SUMIFS(das_tank_inventories_daily!$M:$M,das_tank_inventories_daily!$C:$C,calculations!$B172,das_tank_inventories_daily!$H:$H,calculations!H$1)</f>
        <v>431824.90036366897</v>
      </c>
      <c r="I172">
        <f>+SUMIFS(das_tank_inventories_daily!$M:$M,das_tank_inventories_daily!$C:$C,calculations!$B172,das_tank_inventories_daily!$H:$H,calculations!I$1)</f>
        <v>478630.80007212103</v>
      </c>
      <c r="J172">
        <f>+SUMIFS(das_tank_inventories_daily!$M:$M,das_tank_inventories_daily!$C:$C,calculations!$B172,das_tank_inventories_daily!$H:$H,calculations!J$1)</f>
        <v>394602.996642504</v>
      </c>
      <c r="K172">
        <f>+SUMIFS(das_tank_inventories_daily!$M:$M,das_tank_inventories_daily!$C:$C,calculations!$B172,das_tank_inventories_daily!$H:$H,calculations!K$1)</f>
        <v>338919.44681902498</v>
      </c>
      <c r="L172">
        <f>+SUMIFS(das_tank_inventories_daily!$M:$M,das_tank_inventories_daily!$C:$C,calculations!$B172,das_tank_inventories_daily!$H:$H,calculations!L$1)</f>
        <v>-1996.7412136103001</v>
      </c>
      <c r="M172">
        <f>+SUMIFS(das_tank_inventories_daily!$M:$M,das_tank_inventories_daily!$C:$C,calculations!$B172,das_tank_inventories_daily!$H:$H,calculations!M$1)</f>
        <v>-7831.8195768514697</v>
      </c>
      <c r="N172">
        <f>+SUMIFS(das_tank_inventories_daily!$M:$M,das_tank_inventories_daily!$C:$C,calculations!$B172,das_tank_inventories_daily!$H:$H,calculations!N$1)</f>
        <v>5722.5055624557399</v>
      </c>
      <c r="O172">
        <f>+SUMIFS(das_tank_inventories_daily!$M:$M,das_tank_inventories_daily!$C:$C,calculations!$B172,das_tank_inventories_daily!$H:$H,calculations!O$1)</f>
        <v>7079.5281334568799</v>
      </c>
      <c r="P172">
        <f>+SUMIFS(das_tank_inventories_daily!$M:$M,das_tank_inventories_daily!$C:$C,calculations!$B172,das_tank_inventories_daily!$H:$H,calculations!P$1)</f>
        <v>22956.605889242899</v>
      </c>
      <c r="Q172">
        <f>+SUMIFS(das_tank_inventories_daily!$M:$M,das_tank_inventories_daily!$C:$C,calculations!$B172,das_tank_inventories_daily!$H:$H,calculations!Q$1)</f>
        <v>0</v>
      </c>
      <c r="R172">
        <f>+SUMIFS(das_tank_inventories_daily!$M:$M,das_tank_inventories_daily!$C:$C,calculations!$B172,das_tank_inventories_daily!$H:$H,calculations!R$1)</f>
        <v>-41139.847233804503</v>
      </c>
      <c r="S172">
        <f>+SUMIFS(das_tank_inventories_daily!$M:$M,das_tank_inventories_daily!$C:$C,calculations!$B172,das_tank_inventories_daily!$H:$H,calculations!S$1)</f>
        <v>232822.28925459899</v>
      </c>
      <c r="T172">
        <f>+SUMIFS(das_tank_inventories_daily!$M:$M,das_tank_inventories_daily!$C:$C,calculations!$B172,das_tank_inventories_daily!$H:$H,calculations!T$1)</f>
        <v>2422.4810219522301</v>
      </c>
      <c r="U172">
        <f>+SUMIFS(das_tank_inventories_daily!$M:$M,das_tank_inventories_daily!$C:$C,calculations!$B172,das_tank_inventories_daily!$H:$H,calculations!U$1)</f>
        <v>86784.427509456495</v>
      </c>
      <c r="W172" s="2">
        <f>+B172</f>
        <v>46193.999988425923</v>
      </c>
      <c r="X172" s="3">
        <f>+SUMIFS(C172:U172,C172:U172,"&lt;0")</f>
        <v>-78174.94202603164</v>
      </c>
      <c r="Y172" s="3">
        <f>+SUMIFS(C172:U172,C172:U172,"&lt;0")</f>
        <v>-78174.94202603164</v>
      </c>
      <c r="Z172" s="3">
        <f t="shared" ref="Z172" si="85">+Y172+X172</f>
        <v>-156349.88405206328</v>
      </c>
      <c r="AB172" s="2">
        <f>+B172</f>
        <v>46193.999988425923</v>
      </c>
      <c r="AC172" s="3">
        <f t="shared" si="58"/>
        <v>-26058.314008677215</v>
      </c>
      <c r="AD172" s="3">
        <f t="shared" si="59"/>
        <v>671017.98537448165</v>
      </c>
      <c r="AE172" s="3">
        <f t="shared" si="64"/>
        <v>644959.67136580439</v>
      </c>
      <c r="AH172" s="2">
        <f t="shared" si="78"/>
        <v>46193.999988425923</v>
      </c>
      <c r="AI172" s="4" t="e">
        <f>+AI171+AC172</f>
        <v>#DIV/0!</v>
      </c>
      <c r="AJ172" s="4" t="e">
        <f>+AJ171+AD172</f>
        <v>#DIV/0!</v>
      </c>
      <c r="AK172" s="4">
        <f>+AK171+AE172</f>
        <v>-432421.37491784419</v>
      </c>
    </row>
    <row r="173" spans="2:37" x14ac:dyDescent="0.25">
      <c r="B173" s="1"/>
      <c r="AB173" s="2"/>
      <c r="AC173" s="3" t="e">
        <f t="shared" si="58"/>
        <v>#DIV/0!</v>
      </c>
      <c r="AD173" s="3" t="e">
        <f t="shared" si="59"/>
        <v>#DIV/0!</v>
      </c>
      <c r="AE173" s="3"/>
      <c r="AH173" s="2">
        <f t="shared" si="78"/>
        <v>0</v>
      </c>
      <c r="AI173" s="4" t="e">
        <f t="shared" si="79"/>
        <v>#DIV/0!</v>
      </c>
      <c r="AJ173" s="4" t="e">
        <f t="shared" si="80"/>
        <v>#DIV/0!</v>
      </c>
      <c r="AK173" s="4">
        <f t="shared" si="81"/>
        <v>-432421.37491784419</v>
      </c>
    </row>
    <row r="174" spans="2:37" x14ac:dyDescent="0.25">
      <c r="B174" s="1"/>
      <c r="AB174" s="2"/>
      <c r="AC174" s="3" t="e">
        <f t="shared" si="58"/>
        <v>#DIV/0!</v>
      </c>
      <c r="AD174" s="3" t="e">
        <f t="shared" si="59"/>
        <v>#DIV/0!</v>
      </c>
      <c r="AE174" s="3"/>
      <c r="AH174" s="2">
        <f t="shared" si="78"/>
        <v>0</v>
      </c>
      <c r="AI174" s="4" t="e">
        <f t="shared" si="79"/>
        <v>#DIV/0!</v>
      </c>
      <c r="AJ174" s="4" t="e">
        <f t="shared" si="80"/>
        <v>#DIV/0!</v>
      </c>
      <c r="AK174" s="4">
        <f t="shared" si="81"/>
        <v>-432421.37491784419</v>
      </c>
    </row>
    <row r="175" spans="2:37" x14ac:dyDescent="0.25">
      <c r="B175" s="1"/>
      <c r="AB175" s="2"/>
      <c r="AC175" s="3">
        <f t="shared" si="58"/>
        <v>0</v>
      </c>
      <c r="AD175" s="3">
        <f t="shared" si="59"/>
        <v>0</v>
      </c>
      <c r="AE175" s="3"/>
      <c r="AH175" s="2">
        <f t="shared" si="78"/>
        <v>0</v>
      </c>
      <c r="AI175" s="4" t="e">
        <f t="shared" si="79"/>
        <v>#DIV/0!</v>
      </c>
      <c r="AJ175" s="4" t="e">
        <f t="shared" si="80"/>
        <v>#DIV/0!</v>
      </c>
      <c r="AK175" s="4">
        <f t="shared" si="81"/>
        <v>-432421.37491784419</v>
      </c>
    </row>
    <row r="176" spans="2:37" x14ac:dyDescent="0.25">
      <c r="B176" s="1">
        <v>46197.999988425923</v>
      </c>
      <c r="C176">
        <f>+SUMIFS(das_tank_inventories_daily!$M:$M,das_tank_inventories_daily!$C:$C,calculations!$B176,das_tank_inventories_daily!$H:$H,calculations!C$1)</f>
        <v>3011.1225146379102</v>
      </c>
      <c r="D176">
        <f>+SUMIFS(das_tank_inventories_daily!$M:$M,das_tank_inventories_daily!$C:$C,calculations!$B176,das_tank_inventories_daily!$H:$H,calculations!D$1)</f>
        <v>-1635.3768398776499</v>
      </c>
      <c r="E176">
        <f>+SUMIFS(das_tank_inventories_daily!$M:$M,das_tank_inventories_daily!$C:$C,calculations!$B176,das_tank_inventories_daily!$H:$H,calculations!E$1)</f>
        <v>18632.5966765587</v>
      </c>
      <c r="F176">
        <f>+SUMIFS(das_tank_inventories_daily!$M:$M,das_tank_inventories_daily!$C:$C,calculations!$B176,das_tank_inventories_daily!$H:$H,calculations!F$1)</f>
        <v>-1889.19858617364</v>
      </c>
      <c r="G176">
        <f>+SUMIFS(das_tank_inventories_daily!$M:$M,das_tank_inventories_daily!$C:$C,calculations!$B176,das_tank_inventories_daily!$H:$H,calculations!G$1)</f>
        <v>-9993.5741379308693</v>
      </c>
      <c r="H176">
        <f>+SUMIFS(das_tank_inventories_daily!$M:$M,das_tank_inventories_daily!$C:$C,calculations!$B176,das_tank_inventories_daily!$H:$H,calculations!H$1)</f>
        <v>-92889.857234143099</v>
      </c>
      <c r="I176">
        <f>+SUMIFS(das_tank_inventories_daily!$M:$M,das_tank_inventories_daily!$C:$C,calculations!$B176,das_tank_inventories_daily!$H:$H,calculations!I$1)</f>
        <v>9094.1945399678007</v>
      </c>
      <c r="J176">
        <f>+SUMIFS(das_tank_inventories_daily!$M:$M,das_tank_inventories_daily!$C:$C,calculations!$B176,das_tank_inventories_daily!$H:$H,calculations!J$1)</f>
        <v>14842.727279455299</v>
      </c>
      <c r="K176">
        <f>+SUMIFS(das_tank_inventories_daily!$M:$M,das_tank_inventories_daily!$C:$C,calculations!$B176,das_tank_inventories_daily!$H:$H,calculations!K$1)</f>
        <v>308032.17162598099</v>
      </c>
      <c r="L176">
        <f>+SUMIFS(das_tank_inventories_daily!$M:$M,das_tank_inventories_daily!$C:$C,calculations!$B176,das_tank_inventories_daily!$H:$H,calculations!L$1)</f>
        <v>-295.04836691182498</v>
      </c>
      <c r="M176">
        <f>+SUMIFS(das_tank_inventories_daily!$M:$M,das_tank_inventories_daily!$C:$C,calculations!$B176,das_tank_inventories_daily!$H:$H,calculations!M$1)</f>
        <v>10998.567500130501</v>
      </c>
      <c r="N176">
        <f>+SUMIFS(das_tank_inventories_daily!$M:$M,das_tank_inventories_daily!$C:$C,calculations!$B176,das_tank_inventories_daily!$H:$H,calculations!N$1)</f>
        <v>-3955.9513941315199</v>
      </c>
      <c r="O176">
        <f>+SUMIFS(das_tank_inventories_daily!$M:$M,das_tank_inventories_daily!$C:$C,calculations!$B176,das_tank_inventories_daily!$H:$H,calculations!O$1)</f>
        <v>-11367.1423214194</v>
      </c>
      <c r="P176">
        <f>+SUMIFS(das_tank_inventories_daily!$M:$M,das_tank_inventories_daily!$C:$C,calculations!$B176,das_tank_inventories_daily!$H:$H,calculations!P$1)</f>
        <v>-20718.851535479102</v>
      </c>
      <c r="Q176">
        <f>+SUMIFS(das_tank_inventories_daily!$M:$M,das_tank_inventories_daily!$C:$C,calculations!$B176,das_tank_inventories_daily!$H:$H,calculations!Q$1)</f>
        <v>0</v>
      </c>
      <c r="R176">
        <f>+SUMIFS(das_tank_inventories_daily!$M:$M,das_tank_inventories_daily!$C:$C,calculations!$B176,das_tank_inventories_daily!$H:$H,calculations!R$1)</f>
        <v>186910.535301564</v>
      </c>
      <c r="S176">
        <f>+SUMIFS(das_tank_inventories_daily!$M:$M,das_tank_inventories_daily!$C:$C,calculations!$B176,das_tank_inventories_daily!$H:$H,calculations!S$1)</f>
        <v>-391536.58720767201</v>
      </c>
      <c r="T176">
        <f>+SUMIFS(das_tank_inventories_daily!$M:$M,das_tank_inventories_daily!$C:$C,calculations!$B176,das_tank_inventories_daily!$H:$H,calculations!T$1)</f>
        <v>-3271.0397714753599</v>
      </c>
      <c r="U176">
        <f>+SUMIFS(das_tank_inventories_daily!$M:$M,das_tank_inventories_daily!$C:$C,calculations!$B176,das_tank_inventories_daily!$H:$H,calculations!U$1)</f>
        <v>187342.734457488</v>
      </c>
      <c r="W176" s="2">
        <f>+B176</f>
        <v>46197.999988425923</v>
      </c>
      <c r="X176" s="3">
        <f>+SUMIFS(C176:U176,C176:U176,"&lt;0")</f>
        <v>-537552.62739521451</v>
      </c>
      <c r="Y176" s="3">
        <f>+SUMIFS(C176:U176,C176:U176,"&lt;0")</f>
        <v>-537552.62739521451</v>
      </c>
      <c r="Z176" s="3">
        <f t="shared" ref="Z176" si="86">+Y176+X176</f>
        <v>-1075105.254790429</v>
      </c>
      <c r="AB176" s="2">
        <f>+B176</f>
        <v>46197.999988425923</v>
      </c>
      <c r="AC176" s="3">
        <f t="shared" si="58"/>
        <v>-11.635841974325482</v>
      </c>
      <c r="AD176" s="3">
        <f t="shared" si="59"/>
        <v>15.9934337001795</v>
      </c>
      <c r="AE176" s="3">
        <f t="shared" si="64"/>
        <v>4.357591725854018</v>
      </c>
      <c r="AH176" s="2">
        <f t="shared" si="78"/>
        <v>46197.999988425923</v>
      </c>
      <c r="AI176" s="4" t="e">
        <f>+AI175+AC176</f>
        <v>#DIV/0!</v>
      </c>
      <c r="AJ176" s="4" t="e">
        <f>+AJ175+AD176</f>
        <v>#DIV/0!</v>
      </c>
      <c r="AK176" s="4">
        <f>+AK175+AE176</f>
        <v>-432417.01732611837</v>
      </c>
    </row>
    <row r="177" spans="2:37" x14ac:dyDescent="0.25">
      <c r="B177" s="1"/>
      <c r="AB177" s="2"/>
      <c r="AC177" s="3" t="e">
        <f t="shared" si="58"/>
        <v>#DIV/0!</v>
      </c>
      <c r="AD177" s="3" t="e">
        <f t="shared" si="59"/>
        <v>#DIV/0!</v>
      </c>
      <c r="AE177" s="3"/>
      <c r="AH177" s="2">
        <f t="shared" si="78"/>
        <v>0</v>
      </c>
      <c r="AI177" s="4" t="e">
        <f t="shared" si="79"/>
        <v>#DIV/0!</v>
      </c>
      <c r="AJ177" s="4" t="e">
        <f t="shared" si="80"/>
        <v>#DIV/0!</v>
      </c>
      <c r="AK177" s="4">
        <f t="shared" si="81"/>
        <v>-432417.01732611837</v>
      </c>
    </row>
    <row r="178" spans="2:37" x14ac:dyDescent="0.25">
      <c r="B178" s="1"/>
      <c r="AB178" s="2"/>
      <c r="AC178" s="3" t="e">
        <f t="shared" si="58"/>
        <v>#DIV/0!</v>
      </c>
      <c r="AD178" s="3" t="e">
        <f t="shared" si="59"/>
        <v>#DIV/0!</v>
      </c>
      <c r="AE178" s="3"/>
      <c r="AH178" s="2">
        <f t="shared" si="78"/>
        <v>0</v>
      </c>
      <c r="AI178" s="4" t="e">
        <f t="shared" si="79"/>
        <v>#DIV/0!</v>
      </c>
      <c r="AJ178" s="4" t="e">
        <f t="shared" si="80"/>
        <v>#DIV/0!</v>
      </c>
      <c r="AK178" s="4">
        <f t="shared" si="81"/>
        <v>-432417.01732611837</v>
      </c>
    </row>
    <row r="179" spans="2:37" x14ac:dyDescent="0.25">
      <c r="B179" s="1">
        <v>46200.999988425923</v>
      </c>
      <c r="C179">
        <f>+SUMIFS(das_tank_inventories_daily!$M:$M,das_tank_inventories_daily!$C:$C,calculations!$B179,das_tank_inventories_daily!$H:$H,calculations!C$1)</f>
        <v>-2791.1672745690098</v>
      </c>
      <c r="D179">
        <f>+SUMIFS(das_tank_inventories_daily!$M:$M,das_tank_inventories_daily!$C:$C,calculations!$B179,das_tank_inventories_daily!$H:$H,calculations!D$1)</f>
        <v>2056.1580867101702</v>
      </c>
      <c r="E179">
        <f>+SUMIFS(das_tank_inventories_daily!$M:$M,das_tank_inventories_daily!$C:$C,calculations!$B179,das_tank_inventories_daily!$H:$H,calculations!E$1)</f>
        <v>-18490.4227750832</v>
      </c>
      <c r="F179">
        <f>+SUMIFS(das_tank_inventories_daily!$M:$M,das_tank_inventories_daily!$C:$C,calculations!$B179,das_tank_inventories_daily!$H:$H,calculations!F$1)</f>
        <v>-6823.9184694220803</v>
      </c>
      <c r="G179">
        <f>+SUMIFS(das_tank_inventories_daily!$M:$M,das_tank_inventories_daily!$C:$C,calculations!$B179,das_tank_inventories_daily!$H:$H,calculations!G$1)</f>
        <v>-7954.2208790139903</v>
      </c>
      <c r="H179">
        <f>+SUMIFS(das_tank_inventories_daily!$M:$M,das_tank_inventories_daily!$C:$C,calculations!$B179,das_tank_inventories_daily!$H:$H,calculations!H$1)</f>
        <v>56953.015683159101</v>
      </c>
      <c r="I179">
        <f>+SUMIFS(das_tank_inventories_daily!$M:$M,das_tank_inventories_daily!$C:$C,calculations!$B179,das_tank_inventories_daily!$H:$H,calculations!I$1)</f>
        <v>-515419.08878236602</v>
      </c>
      <c r="J179">
        <f>+SUMIFS(das_tank_inventories_daily!$M:$M,das_tank_inventories_daily!$C:$C,calculations!$B179,das_tank_inventories_daily!$H:$H,calculations!J$1)</f>
        <v>-305443.87196326</v>
      </c>
      <c r="K179">
        <f>+SUMIFS(das_tank_inventories_daily!$M:$M,das_tank_inventories_daily!$C:$C,calculations!$B179,das_tank_inventories_daily!$H:$H,calculations!K$1)</f>
        <v>-11578.1649655166</v>
      </c>
      <c r="L179">
        <f>+SUMIFS(das_tank_inventories_daily!$M:$M,das_tank_inventories_daily!$C:$C,calculations!$B179,das_tank_inventories_daily!$H:$H,calculations!L$1)</f>
        <v>-3488.33945167914</v>
      </c>
      <c r="M179">
        <f>+SUMIFS(das_tank_inventories_daily!$M:$M,das_tank_inventories_daily!$C:$C,calculations!$B179,das_tank_inventories_daily!$H:$H,calculations!M$1)</f>
        <v>12180.9018793613</v>
      </c>
      <c r="N179">
        <f>+SUMIFS(das_tank_inventories_daily!$M:$M,das_tank_inventories_daily!$C:$C,calculations!$B179,das_tank_inventories_daily!$H:$H,calculations!N$1)</f>
        <v>24700.798375731501</v>
      </c>
      <c r="O179">
        <f>+SUMIFS(das_tank_inventories_daily!$M:$M,das_tank_inventories_daily!$C:$C,calculations!$B179,das_tank_inventories_daily!$H:$H,calculations!O$1)</f>
        <v>-430065.34865620697</v>
      </c>
      <c r="P179">
        <f>+SUMIFS(das_tank_inventories_daily!$M:$M,das_tank_inventories_daily!$C:$C,calculations!$B179,das_tank_inventories_daily!$H:$H,calculations!P$1)</f>
        <v>19607.954326925599</v>
      </c>
      <c r="Q179">
        <f>+SUMIFS(das_tank_inventories_daily!$M:$M,das_tank_inventories_daily!$C:$C,calculations!$B179,das_tank_inventories_daily!$H:$H,calculations!Q$1)</f>
        <v>0</v>
      </c>
      <c r="R179">
        <f>+SUMIFS(das_tank_inventories_daily!$M:$M,das_tank_inventories_daily!$C:$C,calculations!$B179,das_tank_inventories_daily!$H:$H,calculations!R$1)</f>
        <v>-151406.22907793699</v>
      </c>
      <c r="S179">
        <f>+SUMIFS(das_tank_inventories_daily!$M:$M,das_tank_inventories_daily!$C:$C,calculations!$B179,das_tank_inventories_daily!$H:$H,calculations!S$1)</f>
        <v>0</v>
      </c>
      <c r="T179">
        <f>+SUMIFS(das_tank_inventories_daily!$M:$M,das_tank_inventories_daily!$C:$C,calculations!$B179,das_tank_inventories_daily!$H:$H,calculations!T$1)</f>
        <v>5629.4045756965597</v>
      </c>
      <c r="U179">
        <f>+SUMIFS(das_tank_inventories_daily!$M:$M,das_tank_inventories_daily!$C:$C,calculations!$B179,das_tank_inventories_daily!$H:$H,calculations!U$1)</f>
        <v>-312638.56174326001</v>
      </c>
      <c r="W179" s="2">
        <f>+B179</f>
        <v>46200.999988425923</v>
      </c>
      <c r="X179" s="3">
        <f>+SUMIFS(C179:U179,C179:U179,"&lt;0")</f>
        <v>-1766099.3340383139</v>
      </c>
      <c r="Y179" s="3">
        <f>+SUMIFS(C179:U179,C179:U179,"&lt;0")</f>
        <v>-1766099.3340383139</v>
      </c>
      <c r="Z179" s="3">
        <f t="shared" ref="Z179" si="87">+Y179+X179</f>
        <v>-3532198.6680766279</v>
      </c>
      <c r="AB179" s="2">
        <f>+B179</f>
        <v>46200.999988425923</v>
      </c>
      <c r="AC179" s="3">
        <f t="shared" si="58"/>
        <v>-588699.77801277128</v>
      </c>
      <c r="AD179" s="3">
        <f t="shared" si="59"/>
        <v>40376.077642528078</v>
      </c>
      <c r="AE179" s="3">
        <f t="shared" si="64"/>
        <v>-548323.70037024317</v>
      </c>
      <c r="AH179" s="2">
        <f t="shared" si="78"/>
        <v>46200.999988425923</v>
      </c>
      <c r="AI179" s="4" t="e">
        <f>+AI178+AC179</f>
        <v>#DIV/0!</v>
      </c>
      <c r="AJ179" s="4" t="e">
        <f>+AJ178+AD179</f>
        <v>#DIV/0!</v>
      </c>
      <c r="AK179" s="4">
        <f>+AK178+AE179</f>
        <v>-980740.71769636148</v>
      </c>
    </row>
    <row r="180" spans="2:37" x14ac:dyDescent="0.25">
      <c r="B180" s="1"/>
      <c r="AB180" s="2"/>
      <c r="AC180" s="3" t="e">
        <f t="shared" si="58"/>
        <v>#DIV/0!</v>
      </c>
      <c r="AD180" s="3" t="e">
        <f t="shared" si="59"/>
        <v>#DIV/0!</v>
      </c>
      <c r="AE180" s="3"/>
      <c r="AH180" s="2">
        <f t="shared" si="78"/>
        <v>0</v>
      </c>
      <c r="AI180" s="4" t="e">
        <f t="shared" si="79"/>
        <v>#DIV/0!</v>
      </c>
      <c r="AJ180" s="4" t="e">
        <f t="shared" si="80"/>
        <v>#DIV/0!</v>
      </c>
      <c r="AK180" s="4">
        <f t="shared" si="81"/>
        <v>-980740.71769636148</v>
      </c>
    </row>
    <row r="181" spans="2:37" x14ac:dyDescent="0.25">
      <c r="B181" s="1"/>
      <c r="AB181" s="2"/>
      <c r="AC181" s="3" t="e">
        <f t="shared" si="58"/>
        <v>#DIV/0!</v>
      </c>
      <c r="AD181" s="3" t="e">
        <f t="shared" si="59"/>
        <v>#DIV/0!</v>
      </c>
      <c r="AE181" s="3"/>
      <c r="AH181" s="2">
        <f t="shared" si="78"/>
        <v>0</v>
      </c>
      <c r="AI181" s="4" t="e">
        <f t="shared" si="79"/>
        <v>#DIV/0!</v>
      </c>
      <c r="AJ181" s="4" t="e">
        <f t="shared" si="80"/>
        <v>#DIV/0!</v>
      </c>
      <c r="AK181" s="4">
        <f t="shared" si="81"/>
        <v>-980740.71769636148</v>
      </c>
    </row>
    <row r="182" spans="2:37" x14ac:dyDescent="0.25">
      <c r="B182" s="1">
        <v>46203.999988425923</v>
      </c>
      <c r="C182">
        <f>+SUMIFS(das_tank_inventories_daily!$M:$M,das_tank_inventories_daily!$C:$C,calculations!$B182,das_tank_inventories_daily!$H:$H,calculations!C$1)</f>
        <v>2245.15276479872</v>
      </c>
      <c r="D182">
        <f>+SUMIFS(das_tank_inventories_daily!$M:$M,das_tank_inventories_daily!$C:$C,calculations!$B182,das_tank_inventories_daily!$H:$H,calculations!D$1)</f>
        <v>5963.0779643789501</v>
      </c>
      <c r="E182">
        <f>+SUMIFS(das_tank_inventories_daily!$M:$M,das_tank_inventories_daily!$C:$C,calculations!$B182,das_tank_inventories_daily!$H:$H,calculations!E$1)</f>
        <v>16540.7884973625</v>
      </c>
      <c r="F182">
        <f>+SUMIFS(das_tank_inventories_daily!$M:$M,das_tank_inventories_daily!$C:$C,calculations!$B182,das_tank_inventories_daily!$H:$H,calculations!F$1)</f>
        <v>-127.69520342902899</v>
      </c>
      <c r="G182">
        <f>+SUMIFS(das_tank_inventories_daily!$M:$M,das_tank_inventories_daily!$C:$C,calculations!$B182,das_tank_inventories_daily!$H:$H,calculations!G$1)</f>
        <v>9984.3360169054904</v>
      </c>
      <c r="H182">
        <f>+SUMIFS(das_tank_inventories_daily!$M:$M,das_tank_inventories_daily!$C:$C,calculations!$B182,das_tank_inventories_daily!$H:$H,calculations!H$1)</f>
        <v>-5761.4415585236202</v>
      </c>
      <c r="I182">
        <f>+SUMIFS(das_tank_inventories_daily!$M:$M,das_tank_inventories_daily!$C:$C,calculations!$B182,das_tank_inventories_daily!$H:$H,calculations!I$1)</f>
        <v>533703.84858561703</v>
      </c>
      <c r="J182">
        <f>+SUMIFS(das_tank_inventories_daily!$M:$M,das_tank_inventories_daily!$C:$C,calculations!$B182,das_tank_inventories_daily!$H:$H,calculations!J$1)</f>
        <v>-66062.542966816196</v>
      </c>
      <c r="K182">
        <f>+SUMIFS(das_tank_inventories_daily!$M:$M,das_tank_inventories_daily!$C:$C,calculations!$B182,das_tank_inventories_daily!$H:$H,calculations!K$1)</f>
        <v>42874.233393902403</v>
      </c>
      <c r="L182">
        <f>+SUMIFS(das_tank_inventories_daily!$M:$M,das_tank_inventories_daily!$C:$C,calculations!$B182,das_tank_inventories_daily!$H:$H,calculations!L$1)</f>
        <v>6289.2911806862103</v>
      </c>
      <c r="M182">
        <f>+SUMIFS(das_tank_inventories_daily!$M:$M,das_tank_inventories_daily!$C:$C,calculations!$B182,das_tank_inventories_daily!$H:$H,calculations!M$1)</f>
        <v>-11181.043786857301</v>
      </c>
      <c r="N182">
        <f>+SUMIFS(das_tank_inventories_daily!$M:$M,das_tank_inventories_daily!$C:$C,calculations!$B182,das_tank_inventories_daily!$H:$H,calculations!N$1)</f>
        <v>356713.06050752901</v>
      </c>
      <c r="O182">
        <f>+SUMIFS(das_tank_inventories_daily!$M:$M,das_tank_inventories_daily!$C:$C,calculations!$B182,das_tank_inventories_daily!$H:$H,calculations!O$1)</f>
        <v>55574.379741415098</v>
      </c>
      <c r="P182">
        <f>+SUMIFS(das_tank_inventories_daily!$M:$M,das_tank_inventories_daily!$C:$C,calculations!$B182,das_tank_inventories_daily!$H:$H,calculations!P$1)</f>
        <v>-16214.7311408646</v>
      </c>
      <c r="Q182">
        <f>+SUMIFS(das_tank_inventories_daily!$M:$M,das_tank_inventories_daily!$C:$C,calculations!$B182,das_tank_inventories_daily!$H:$H,calculations!Q$1)</f>
        <v>0</v>
      </c>
      <c r="R182">
        <f>+SUMIFS(das_tank_inventories_daily!$M:$M,das_tank_inventories_daily!$C:$C,calculations!$B182,das_tank_inventories_daily!$H:$H,calculations!R$1)</f>
        <v>-40231.2954209089</v>
      </c>
      <c r="S182">
        <f>+SUMIFS(das_tank_inventories_daily!$M:$M,das_tank_inventories_daily!$C:$C,calculations!$B182,das_tank_inventories_daily!$H:$H,calculations!S$1)</f>
        <v>360472.49912149401</v>
      </c>
      <c r="T182">
        <f>+SUMIFS(das_tank_inventories_daily!$M:$M,das_tank_inventories_daily!$C:$C,calculations!$B182,das_tank_inventories_daily!$H:$H,calculations!T$1)</f>
        <v>-5318.2961231564896</v>
      </c>
      <c r="U182">
        <f>+SUMIFS(das_tank_inventories_daily!$M:$M,das_tank_inventories_daily!$C:$C,calculations!$B182,das_tank_inventories_daily!$H:$H,calculations!U$1)</f>
        <v>-13083.8051975897</v>
      </c>
      <c r="W182" s="2">
        <f>+B182</f>
        <v>46203.999988425923</v>
      </c>
      <c r="X182" s="3">
        <f>+SUMIFS(C182:U182,C182:U182,"&lt;0")</f>
        <v>-157980.85139814587</v>
      </c>
      <c r="Y182" s="3">
        <f>+SUMIFS(C182:U182,C182:U182,"&lt;0")</f>
        <v>-157980.85139814587</v>
      </c>
      <c r="Z182" s="3">
        <f t="shared" ref="Z182" si="88">+Y182+X182</f>
        <v>-315961.70279629173</v>
      </c>
      <c r="AB182" s="2">
        <f>+B182</f>
        <v>46203.999988425923</v>
      </c>
      <c r="AC182" s="3">
        <f t="shared" si="58"/>
        <v>-52660.283799381956</v>
      </c>
      <c r="AD182" s="3">
        <f t="shared" si="59"/>
        <v>463453.55592469656</v>
      </c>
      <c r="AE182" s="3">
        <f t="shared" si="64"/>
        <v>410793.27212531457</v>
      </c>
      <c r="AH182" s="2">
        <f t="shared" si="78"/>
        <v>46203.999988425923</v>
      </c>
      <c r="AI182" s="4" t="e">
        <f>+AI181+AC182</f>
        <v>#DIV/0!</v>
      </c>
      <c r="AJ182" s="4" t="e">
        <f>+AJ181+AD182</f>
        <v>#DIV/0!</v>
      </c>
      <c r="AK182" s="4">
        <f>+AK181+AE182</f>
        <v>-569947.4455710469</v>
      </c>
    </row>
    <row r="183" spans="2:37" x14ac:dyDescent="0.25">
      <c r="B183" s="1"/>
      <c r="AB183" s="2"/>
      <c r="AC183" s="3" t="e">
        <f t="shared" si="58"/>
        <v>#DIV/0!</v>
      </c>
      <c r="AD183" s="3" t="e">
        <f t="shared" si="59"/>
        <v>#DIV/0!</v>
      </c>
      <c r="AE183" s="3"/>
      <c r="AH183" s="2">
        <f t="shared" si="78"/>
        <v>0</v>
      </c>
      <c r="AI183" s="4" t="e">
        <f t="shared" si="79"/>
        <v>#DIV/0!</v>
      </c>
      <c r="AJ183" s="4" t="e">
        <f t="shared" si="80"/>
        <v>#DIV/0!</v>
      </c>
      <c r="AK183" s="4">
        <f t="shared" si="81"/>
        <v>-569947.4455710469</v>
      </c>
    </row>
    <row r="184" spans="2:37" x14ac:dyDescent="0.25">
      <c r="B184" s="1"/>
      <c r="AB184" s="2"/>
      <c r="AC184" s="3" t="e">
        <f t="shared" si="58"/>
        <v>#DIV/0!</v>
      </c>
      <c r="AD184" s="3" t="e">
        <f t="shared" si="59"/>
        <v>#DIV/0!</v>
      </c>
      <c r="AE184" s="3"/>
      <c r="AH184" s="2">
        <f t="shared" si="78"/>
        <v>0</v>
      </c>
      <c r="AI184" s="4" t="e">
        <f t="shared" si="79"/>
        <v>#DIV/0!</v>
      </c>
      <c r="AJ184" s="4" t="e">
        <f t="shared" si="80"/>
        <v>#DIV/0!</v>
      </c>
      <c r="AK184" s="4">
        <f t="shared" si="81"/>
        <v>-569947.4455710469</v>
      </c>
    </row>
    <row r="185" spans="2:37" x14ac:dyDescent="0.25">
      <c r="B185" s="1">
        <v>46206.999988425923</v>
      </c>
      <c r="C185">
        <f>+SUMIFS(das_tank_inventories_daily!$M:$M,das_tank_inventories_daily!$C:$C,calculations!$B185,das_tank_inventories_daily!$H:$H,calculations!C$1)</f>
        <v>-2997.3907198908501</v>
      </c>
      <c r="D185">
        <f>+SUMIFS(das_tank_inventories_daily!$M:$M,das_tank_inventories_daily!$C:$C,calculations!$B185,das_tank_inventories_daily!$H:$H,calculations!D$1)</f>
        <v>-6062.0061870723102</v>
      </c>
      <c r="E185">
        <f>+SUMIFS(das_tank_inventories_daily!$M:$M,das_tank_inventories_daily!$C:$C,calculations!$B185,das_tank_inventories_daily!$H:$H,calculations!E$1)</f>
        <v>-20418.282798321299</v>
      </c>
      <c r="F185">
        <f>+SUMIFS(das_tank_inventories_daily!$M:$M,das_tank_inventories_daily!$C:$C,calculations!$B185,das_tank_inventories_daily!$H:$H,calculations!F$1)</f>
        <v>5364.3315255003899</v>
      </c>
      <c r="G185">
        <f>+SUMIFS(das_tank_inventories_daily!$M:$M,das_tank_inventories_daily!$C:$C,calculations!$B185,das_tank_inventories_daily!$H:$H,calculations!G$1)</f>
        <v>-9114.1409590516705</v>
      </c>
      <c r="H185">
        <f>+SUMIFS(das_tank_inventories_daily!$M:$M,das_tank_inventories_daily!$C:$C,calculations!$B185,das_tank_inventories_daily!$H:$H,calculations!H$1)</f>
        <v>16111.917558286799</v>
      </c>
      <c r="I185">
        <f>+SUMIFS(das_tank_inventories_daily!$M:$M,das_tank_inventories_daily!$C:$C,calculations!$B185,das_tank_inventories_daily!$H:$H,calculations!I$1)</f>
        <v>-203886.36086339099</v>
      </c>
      <c r="J185">
        <f>+SUMIFS(das_tank_inventories_daily!$M:$M,das_tank_inventories_daily!$C:$C,calculations!$B185,das_tank_inventories_daily!$H:$H,calculations!J$1)</f>
        <v>339819.88560792501</v>
      </c>
      <c r="K185">
        <f>+SUMIFS(das_tank_inventories_daily!$M:$M,das_tank_inventories_daily!$C:$C,calculations!$B185,das_tank_inventories_daily!$H:$H,calculations!K$1)</f>
        <v>-44616.372571060601</v>
      </c>
      <c r="L185">
        <f>+SUMIFS(das_tank_inventories_daily!$M:$M,das_tank_inventories_daily!$C:$C,calculations!$B185,das_tank_inventories_daily!$H:$H,calculations!L$1)</f>
        <v>-20701.798395776499</v>
      </c>
      <c r="M185">
        <f>+SUMIFS(das_tank_inventories_daily!$M:$M,das_tank_inventories_daily!$C:$C,calculations!$B185,das_tank_inventories_daily!$H:$H,calculations!M$1)</f>
        <v>7033.6175649543502</v>
      </c>
      <c r="N185">
        <f>+SUMIFS(das_tank_inventories_daily!$M:$M,das_tank_inventories_daily!$C:$C,calculations!$B185,das_tank_inventories_daily!$H:$H,calculations!N$1)</f>
        <v>-269575.28532356903</v>
      </c>
      <c r="O185">
        <f>+SUMIFS(das_tank_inventories_daily!$M:$M,das_tank_inventories_daily!$C:$C,calculations!$B185,das_tank_inventories_daily!$H:$H,calculations!O$1)</f>
        <v>370589.03127674101</v>
      </c>
      <c r="P185">
        <f>+SUMIFS(das_tank_inventories_daily!$M:$M,das_tank_inventories_daily!$C:$C,calculations!$B185,das_tank_inventories_daily!$H:$H,calculations!P$1)</f>
        <v>12851.0762114234</v>
      </c>
      <c r="Q185">
        <f>+SUMIFS(das_tank_inventories_daily!$M:$M,das_tank_inventories_daily!$C:$C,calculations!$B185,das_tank_inventories_daily!$H:$H,calculations!Q$1)</f>
        <v>0</v>
      </c>
      <c r="R185">
        <f>+SUMIFS(das_tank_inventories_daily!$M:$M,das_tank_inventories_daily!$C:$C,calculations!$B185,das_tank_inventories_daily!$H:$H,calculations!R$1)</f>
        <v>258911.164805543</v>
      </c>
      <c r="S185">
        <f>+SUMIFS(das_tank_inventories_daily!$M:$M,das_tank_inventories_daily!$C:$C,calculations!$B185,das_tank_inventories_daily!$H:$H,calculations!S$1)</f>
        <v>-244154.638863311</v>
      </c>
      <c r="T185">
        <f>+SUMIFS(das_tank_inventories_daily!$M:$M,das_tank_inventories_daily!$C:$C,calculations!$B185,das_tank_inventories_daily!$H:$H,calculations!T$1)</f>
        <v>5684.4695012931998</v>
      </c>
      <c r="U185">
        <f>+SUMIFS(das_tank_inventories_daily!$M:$M,das_tank_inventories_daily!$C:$C,calculations!$B185,das_tank_inventories_daily!$H:$H,calculations!U$1)</f>
        <v>1466.9033811342599</v>
      </c>
      <c r="W185" s="2">
        <f>+B185</f>
        <v>46206.999988425923</v>
      </c>
      <c r="X185" s="3">
        <f>+SUMIFS(C185:U185,C185:U185,"&lt;0")</f>
        <v>-821526.27668144426</v>
      </c>
      <c r="Y185" s="3">
        <f>+SUMIFS(C185:U185,C185:U185,"&lt;0")</f>
        <v>-821526.27668144426</v>
      </c>
      <c r="Z185" s="3">
        <f t="shared" ref="Z185" si="89">+Y185+X185</f>
        <v>-1643052.5533628885</v>
      </c>
      <c r="AB185" s="2">
        <f>+B185</f>
        <v>46206.999988425923</v>
      </c>
      <c r="AC185" s="3">
        <f t="shared" si="58"/>
        <v>-273842.09222714807</v>
      </c>
      <c r="AD185" s="3">
        <f t="shared" si="59"/>
        <v>339277.46581093379</v>
      </c>
      <c r="AE185" s="3">
        <f t="shared" si="64"/>
        <v>65435.373583785724</v>
      </c>
      <c r="AH185" s="2">
        <f t="shared" si="78"/>
        <v>46206.999988425923</v>
      </c>
      <c r="AI185" s="4" t="e">
        <f>+AI184+AC185</f>
        <v>#DIV/0!</v>
      </c>
      <c r="AJ185" s="4" t="e">
        <f>+AJ184+AD185</f>
        <v>#DIV/0!</v>
      </c>
      <c r="AK185" s="4">
        <f>+AK184+AE185</f>
        <v>-504512.07198726118</v>
      </c>
    </row>
    <row r="186" spans="2:37" x14ac:dyDescent="0.25">
      <c r="B186" s="1"/>
      <c r="AB186" s="2"/>
      <c r="AC186" s="3" t="e">
        <f t="shared" si="58"/>
        <v>#DIV/0!</v>
      </c>
      <c r="AD186" s="3" t="e">
        <f t="shared" si="59"/>
        <v>#DIV/0!</v>
      </c>
      <c r="AE186" s="3"/>
      <c r="AH186" s="2">
        <f t="shared" si="78"/>
        <v>0</v>
      </c>
      <c r="AI186" s="4" t="e">
        <f t="shared" si="79"/>
        <v>#DIV/0!</v>
      </c>
      <c r="AJ186" s="4" t="e">
        <f t="shared" si="80"/>
        <v>#DIV/0!</v>
      </c>
      <c r="AK186" s="4">
        <f t="shared" si="81"/>
        <v>-504512.07198726118</v>
      </c>
    </row>
    <row r="187" spans="2:37" x14ac:dyDescent="0.25">
      <c r="B187" s="1"/>
      <c r="AB187" s="2"/>
      <c r="AC187" s="3" t="e">
        <f t="shared" si="58"/>
        <v>#DIV/0!</v>
      </c>
      <c r="AD187" s="3" t="e">
        <f t="shared" si="59"/>
        <v>#DIV/0!</v>
      </c>
      <c r="AE187" s="3"/>
      <c r="AH187" s="2">
        <f t="shared" si="78"/>
        <v>0</v>
      </c>
      <c r="AI187" s="4" t="e">
        <f t="shared" si="79"/>
        <v>#DIV/0!</v>
      </c>
      <c r="AJ187" s="4" t="e">
        <f t="shared" si="80"/>
        <v>#DIV/0!</v>
      </c>
      <c r="AK187" s="4">
        <f t="shared" si="81"/>
        <v>-504512.07198726118</v>
      </c>
    </row>
    <row r="188" spans="2:37" x14ac:dyDescent="0.25">
      <c r="B188" s="1">
        <v>46209.999988425923</v>
      </c>
      <c r="C188">
        <f>+SUMIFS(das_tank_inventories_daily!$M:$M,das_tank_inventories_daily!$C:$C,calculations!$B188,das_tank_inventories_daily!$H:$H,calculations!C$1)</f>
        <v>2817.8769141718499</v>
      </c>
      <c r="D188">
        <f>+SUMIFS(das_tank_inventories_daily!$M:$M,das_tank_inventories_daily!$C:$C,calculations!$B188,das_tank_inventories_daily!$H:$H,calculations!D$1)</f>
        <v>799.90387391851903</v>
      </c>
      <c r="E188">
        <f>+SUMIFS(das_tank_inventories_daily!$M:$M,das_tank_inventories_daily!$C:$C,calculations!$B188,das_tank_inventories_daily!$H:$H,calculations!E$1)</f>
        <v>14907.1540603749</v>
      </c>
      <c r="F188">
        <f>+SUMIFS(das_tank_inventories_daily!$M:$M,das_tank_inventories_daily!$C:$C,calculations!$B188,das_tank_inventories_daily!$H:$H,calculations!F$1)</f>
        <v>-10113.823596710101</v>
      </c>
      <c r="G188">
        <f>+SUMIFS(das_tank_inventories_daily!$M:$M,das_tank_inventories_daily!$C:$C,calculations!$B188,das_tank_inventories_daily!$H:$H,calculations!G$1)</f>
        <v>5790.2422489521496</v>
      </c>
      <c r="H188">
        <f>+SUMIFS(das_tank_inventories_daily!$M:$M,das_tank_inventories_daily!$C:$C,calculations!$B188,das_tank_inventories_daily!$H:$H,calculations!H$1)</f>
        <v>-14674.674105909</v>
      </c>
      <c r="I188">
        <f>+SUMIFS(das_tank_inventories_daily!$M:$M,das_tank_inventories_daily!$C:$C,calculations!$B188,das_tank_inventories_daily!$H:$H,calculations!I$1)</f>
        <v>116443.849670246</v>
      </c>
      <c r="J188">
        <f>+SUMIFS(das_tank_inventories_daily!$M:$M,das_tank_inventories_daily!$C:$C,calculations!$B188,das_tank_inventories_daily!$H:$H,calculations!J$1)</f>
        <v>-377759.19459980697</v>
      </c>
      <c r="K188">
        <f>+SUMIFS(das_tank_inventories_daily!$M:$M,das_tank_inventories_daily!$C:$C,calculations!$B188,das_tank_inventories_daily!$H:$H,calculations!K$1)</f>
        <v>15678.510813721799</v>
      </c>
      <c r="L188">
        <f>+SUMIFS(das_tank_inventories_daily!$M:$M,das_tank_inventories_daily!$C:$C,calculations!$B188,das_tank_inventories_daily!$H:$H,calculations!L$1)</f>
        <v>6548.7600365163498</v>
      </c>
      <c r="M188">
        <f>+SUMIFS(das_tank_inventories_daily!$M:$M,das_tank_inventories_daily!$C:$C,calculations!$B188,das_tank_inventories_daily!$H:$H,calculations!M$1)</f>
        <v>-9158.4239596188108</v>
      </c>
      <c r="N188">
        <f>+SUMIFS(das_tank_inventories_daily!$M:$M,das_tank_inventories_daily!$C:$C,calculations!$B188,das_tank_inventories_daily!$H:$H,calculations!N$1)</f>
        <v>267598.44878230401</v>
      </c>
      <c r="O188">
        <f>+SUMIFS(das_tank_inventories_daily!$M:$M,das_tank_inventories_daily!$C:$C,calculations!$B188,das_tank_inventories_daily!$H:$H,calculations!O$1)</f>
        <v>-426163.41101815598</v>
      </c>
      <c r="P188">
        <f>+SUMIFS(das_tank_inventories_daily!$M:$M,das_tank_inventories_daily!$C:$C,calculations!$B188,das_tank_inventories_daily!$H:$H,calculations!P$1)</f>
        <v>-15160.019557239901</v>
      </c>
      <c r="Q188">
        <f>+SUMIFS(das_tank_inventories_daily!$M:$M,das_tank_inventories_daily!$C:$C,calculations!$B188,das_tank_inventories_daily!$H:$H,calculations!Q$1)</f>
        <v>0</v>
      </c>
      <c r="R188">
        <f>+SUMIFS(das_tank_inventories_daily!$M:$M,das_tank_inventories_daily!$C:$C,calculations!$B188,das_tank_inventories_daily!$H:$H,calculations!R$1)</f>
        <v>-199319.35662032099</v>
      </c>
      <c r="S188">
        <f>+SUMIFS(das_tank_inventories_daily!$M:$M,das_tank_inventories_daily!$C:$C,calculations!$B188,das_tank_inventories_daily!$H:$H,calculations!S$1)</f>
        <v>-116317.860258182</v>
      </c>
      <c r="T188">
        <f>+SUMIFS(das_tank_inventories_daily!$M:$M,das_tank_inventories_daily!$C:$C,calculations!$B188,das_tank_inventories_daily!$H:$H,calculations!T$1)</f>
        <v>-8309.4693892711002</v>
      </c>
      <c r="U188">
        <f>+SUMIFS(das_tank_inventories_daily!$M:$M,das_tank_inventories_daily!$C:$C,calculations!$B188,das_tank_inventories_daily!$H:$H,calculations!U$1)</f>
        <v>4215.3478834505604</v>
      </c>
      <c r="W188" s="2">
        <f>+B188</f>
        <v>46209.999988425923</v>
      </c>
      <c r="X188" s="3">
        <f>+SUMIFS(C188:U188,C188:U188,"&lt;0")</f>
        <v>-1176976.2331052148</v>
      </c>
      <c r="Y188" s="3">
        <f>+SUMIFS(C188:U188,C188:U188,"&lt;0")</f>
        <v>-1176976.2331052148</v>
      </c>
      <c r="Z188" s="3">
        <f t="shared" ref="Z188" si="90">+Y188+X188</f>
        <v>-2353952.4662104296</v>
      </c>
      <c r="AB188" s="2">
        <f>+B188</f>
        <v>46209.999988425923</v>
      </c>
      <c r="AC188" s="3">
        <f t="shared" si="58"/>
        <v>-392325.41103507159</v>
      </c>
      <c r="AD188" s="3">
        <f t="shared" si="59"/>
        <v>144933.36476121872</v>
      </c>
      <c r="AE188" s="3">
        <f t="shared" si="64"/>
        <v>-247392.04627385287</v>
      </c>
      <c r="AH188" s="2">
        <f t="shared" si="78"/>
        <v>46209.999988425923</v>
      </c>
      <c r="AI188" s="4" t="e">
        <f>+AI187+AC188</f>
        <v>#DIV/0!</v>
      </c>
      <c r="AJ188" s="4" t="e">
        <f>+AJ187+AD188</f>
        <v>#DIV/0!</v>
      </c>
      <c r="AK188" s="4">
        <f>+AK187+AE188</f>
        <v>-751904.118261114</v>
      </c>
    </row>
    <row r="189" spans="2:37" x14ac:dyDescent="0.25">
      <c r="B189" s="1"/>
      <c r="AB189" s="2"/>
      <c r="AC189" s="3" t="e">
        <f t="shared" si="58"/>
        <v>#DIV/0!</v>
      </c>
      <c r="AD189" s="3" t="e">
        <f t="shared" si="59"/>
        <v>#DIV/0!</v>
      </c>
      <c r="AE189" s="3"/>
      <c r="AH189" s="2">
        <f t="shared" si="78"/>
        <v>0</v>
      </c>
      <c r="AI189" s="4" t="e">
        <f t="shared" si="79"/>
        <v>#DIV/0!</v>
      </c>
      <c r="AJ189" s="4" t="e">
        <f t="shared" si="80"/>
        <v>#DIV/0!</v>
      </c>
      <c r="AK189" s="4">
        <f t="shared" si="81"/>
        <v>-751904.118261114</v>
      </c>
    </row>
    <row r="190" spans="2:37" x14ac:dyDescent="0.25">
      <c r="B190" s="1"/>
      <c r="AB190" s="2"/>
      <c r="AC190" s="3" t="e">
        <f t="shared" si="58"/>
        <v>#DIV/0!</v>
      </c>
      <c r="AD190" s="3" t="e">
        <f t="shared" si="59"/>
        <v>#DIV/0!</v>
      </c>
      <c r="AE190" s="3"/>
      <c r="AH190" s="2">
        <f t="shared" si="78"/>
        <v>0</v>
      </c>
      <c r="AI190" s="4" t="e">
        <f t="shared" si="79"/>
        <v>#DIV/0!</v>
      </c>
      <c r="AJ190" s="4" t="e">
        <f t="shared" si="80"/>
        <v>#DIV/0!</v>
      </c>
      <c r="AK190" s="4">
        <f t="shared" si="81"/>
        <v>-751904.118261114</v>
      </c>
    </row>
    <row r="191" spans="2:37" x14ac:dyDescent="0.25">
      <c r="B191" s="1">
        <v>46212.999988425923</v>
      </c>
      <c r="C191">
        <f>+SUMIFS(das_tank_inventories_daily!$M:$M,das_tank_inventories_daily!$C:$C,calculations!$B191,das_tank_inventories_daily!$H:$H,calculations!C$1)</f>
        <v>-3848.1935231831098</v>
      </c>
      <c r="D191">
        <f>+SUMIFS(das_tank_inventories_daily!$M:$M,das_tank_inventories_daily!$C:$C,calculations!$B191,das_tank_inventories_daily!$H:$H,calculations!D$1)</f>
        <v>-1248.7250572457499</v>
      </c>
      <c r="E191">
        <f>+SUMIFS(das_tank_inventories_daily!$M:$M,das_tank_inventories_daily!$C:$C,calculations!$B191,das_tank_inventories_daily!$H:$H,calculations!E$1)</f>
        <v>-86780.370922027505</v>
      </c>
      <c r="F191">
        <f>+SUMIFS(das_tank_inventories_daily!$M:$M,das_tank_inventories_daily!$C:$C,calculations!$B191,das_tank_inventories_daily!$H:$H,calculations!F$1)</f>
        <v>13590.3043302345</v>
      </c>
      <c r="G191">
        <f>+SUMIFS(das_tank_inventories_daily!$M:$M,das_tank_inventories_daily!$C:$C,calculations!$B191,das_tank_inventories_daily!$H:$H,calculations!G$1)</f>
        <v>-14362.0040902083</v>
      </c>
      <c r="H191">
        <f>+SUMIFS(das_tank_inventories_daily!$M:$M,das_tank_inventories_daily!$C:$C,calculations!$B191,das_tank_inventories_daily!$H:$H,calculations!H$1)</f>
        <v>-449185.19725582399</v>
      </c>
      <c r="I191">
        <f>+SUMIFS(das_tank_inventories_daily!$M:$M,das_tank_inventories_daily!$C:$C,calculations!$B191,das_tank_inventories_daily!$H:$H,calculations!I$1)</f>
        <v>-449691.99243627599</v>
      </c>
      <c r="J191">
        <f>+SUMIFS(das_tank_inventories_daily!$M:$M,das_tank_inventories_daily!$C:$C,calculations!$B191,das_tank_inventories_daily!$H:$H,calculations!J$1)</f>
        <v>61855.521106924803</v>
      </c>
      <c r="K191">
        <f>+SUMIFS(das_tank_inventories_daily!$M:$M,das_tank_inventories_daily!$C:$C,calculations!$B191,das_tank_inventories_daily!$H:$H,calculations!K$1)</f>
        <v>-628495.75189059495</v>
      </c>
      <c r="L191">
        <f>+SUMIFS(das_tank_inventories_daily!$M:$M,das_tank_inventories_daily!$C:$C,calculations!$B191,das_tank_inventories_daily!$H:$H,calculations!L$1)</f>
        <v>-17265.354563747002</v>
      </c>
      <c r="M191">
        <f>+SUMIFS(das_tank_inventories_daily!$M:$M,das_tank_inventories_daily!$C:$C,calculations!$B191,das_tank_inventories_daily!$H:$H,calculations!M$1)</f>
        <v>-8462.1284995122096</v>
      </c>
      <c r="N191">
        <f>+SUMIFS(das_tank_inventories_daily!$M:$M,das_tank_inventories_daily!$C:$C,calculations!$B191,das_tank_inventories_daily!$H:$H,calculations!N$1)</f>
        <v>1160.30691688501</v>
      </c>
      <c r="O191">
        <f>+SUMIFS(das_tank_inventories_daily!$M:$M,das_tank_inventories_daily!$C:$C,calculations!$B191,das_tank_inventories_daily!$H:$H,calculations!O$1)</f>
        <v>0</v>
      </c>
      <c r="P191">
        <f>+SUMIFS(das_tank_inventories_daily!$M:$M,das_tank_inventories_daily!$C:$C,calculations!$B191,das_tank_inventories_daily!$H:$H,calculations!P$1)</f>
        <v>11619.259288151099</v>
      </c>
      <c r="Q191">
        <f>+SUMIFS(das_tank_inventories_daily!$M:$M,das_tank_inventories_daily!$C:$C,calculations!$B191,das_tank_inventories_daily!$H:$H,calculations!Q$1)</f>
        <v>0</v>
      </c>
      <c r="R191">
        <f>+SUMIFS(das_tank_inventories_daily!$M:$M,das_tank_inventories_daily!$C:$C,calculations!$B191,das_tank_inventories_daily!$H:$H,calculations!R$1)</f>
        <v>-371776.75238314399</v>
      </c>
      <c r="S191">
        <f>+SUMIFS(das_tank_inventories_daily!$M:$M,das_tank_inventories_daily!$C:$C,calculations!$B191,das_tank_inventories_daily!$H:$H,calculations!S$1)</f>
        <v>0</v>
      </c>
      <c r="T191">
        <f>+SUMIFS(das_tank_inventories_daily!$M:$M,das_tank_inventories_daily!$C:$C,calculations!$B191,das_tank_inventories_daily!$H:$H,calculations!T$1)</f>
        <v>5906.1036564675696</v>
      </c>
      <c r="U191">
        <f>+SUMIFS(das_tank_inventories_daily!$M:$M,das_tank_inventories_daily!$C:$C,calculations!$B191,das_tank_inventories_daily!$H:$H,calculations!U$1)</f>
        <v>337087.64011181501</v>
      </c>
      <c r="W191" s="2">
        <f>+B191</f>
        <v>46212.999988425923</v>
      </c>
      <c r="X191" s="3">
        <f>+SUMIFS(C191:U191,C191:U191,"&lt;0")</f>
        <v>-2031116.4706217628</v>
      </c>
      <c r="Y191" s="3">
        <f>+SUMIFS(C191:U191,C191:U191,"&lt;0")</f>
        <v>-2031116.4706217628</v>
      </c>
      <c r="Z191" s="3">
        <f t="shared" ref="Z191" si="91">+Y191+X191</f>
        <v>-4062232.9412435256</v>
      </c>
      <c r="AB191" s="2">
        <f>+B191</f>
        <v>46212.999988425923</v>
      </c>
      <c r="AC191" s="3">
        <f t="shared" si="58"/>
        <v>-677038.82354058756</v>
      </c>
      <c r="AD191" s="3">
        <f t="shared" si="59"/>
        <v>143739.71180349265</v>
      </c>
      <c r="AE191" s="3">
        <f t="shared" si="64"/>
        <v>-533299.11173709494</v>
      </c>
      <c r="AH191" s="2">
        <f t="shared" si="78"/>
        <v>46212.999988425923</v>
      </c>
      <c r="AI191" s="4" t="e">
        <f>+AI190+AC191</f>
        <v>#DIV/0!</v>
      </c>
      <c r="AJ191" s="4" t="e">
        <f>+AJ190+AD191</f>
        <v>#DIV/0!</v>
      </c>
      <c r="AK191" s="4">
        <f>+AK190+AE191</f>
        <v>-1285203.229998209</v>
      </c>
    </row>
    <row r="192" spans="2:37" x14ac:dyDescent="0.25">
      <c r="B192" s="1"/>
      <c r="AB192" s="2"/>
      <c r="AC192" s="3" t="e">
        <f t="shared" si="58"/>
        <v>#DIV/0!</v>
      </c>
      <c r="AD192" s="3" t="e">
        <f t="shared" si="59"/>
        <v>#DIV/0!</v>
      </c>
      <c r="AE192" s="3"/>
      <c r="AH192" s="2">
        <f t="shared" si="78"/>
        <v>0</v>
      </c>
      <c r="AI192" s="4" t="e">
        <f t="shared" si="79"/>
        <v>#DIV/0!</v>
      </c>
      <c r="AJ192" s="4" t="e">
        <f t="shared" si="80"/>
        <v>#DIV/0!</v>
      </c>
      <c r="AK192" s="4">
        <f t="shared" si="81"/>
        <v>-1285203.229998209</v>
      </c>
    </row>
    <row r="193" spans="2:37" x14ac:dyDescent="0.25">
      <c r="B193" s="1"/>
      <c r="AB193" s="2"/>
      <c r="AC193" s="3" t="e">
        <f t="shared" si="58"/>
        <v>#DIV/0!</v>
      </c>
      <c r="AD193" s="3" t="e">
        <f t="shared" si="59"/>
        <v>#DIV/0!</v>
      </c>
      <c r="AE193" s="3"/>
      <c r="AH193" s="2">
        <f t="shared" si="78"/>
        <v>0</v>
      </c>
      <c r="AI193" s="4" t="e">
        <f t="shared" si="79"/>
        <v>#DIV/0!</v>
      </c>
      <c r="AJ193" s="4" t="e">
        <f t="shared" si="80"/>
        <v>#DIV/0!</v>
      </c>
      <c r="AK193" s="4">
        <f t="shared" si="81"/>
        <v>-1285203.229998209</v>
      </c>
    </row>
    <row r="194" spans="2:37" x14ac:dyDescent="0.25">
      <c r="B194" s="1">
        <v>46215.999988425923</v>
      </c>
      <c r="C194">
        <f>+SUMIFS(das_tank_inventories_daily!$M:$M,das_tank_inventories_daily!$C:$C,calculations!$B194,das_tank_inventories_daily!$H:$H,calculations!C$1)</f>
        <v>4979.8462432106899</v>
      </c>
      <c r="D194">
        <f>+SUMIFS(das_tank_inventories_daily!$M:$M,das_tank_inventories_daily!$C:$C,calculations!$B194,das_tank_inventories_daily!$H:$H,calculations!D$1)</f>
        <v>1074.6121788281</v>
      </c>
      <c r="E194">
        <f>+SUMIFS(das_tank_inventories_daily!$M:$M,das_tank_inventories_daily!$C:$C,calculations!$B194,das_tank_inventories_daily!$H:$H,calculations!E$1)</f>
        <v>94076.873198787405</v>
      </c>
      <c r="F194">
        <f>+SUMIFS(das_tank_inventories_daily!$M:$M,das_tank_inventories_daily!$C:$C,calculations!$B194,das_tank_inventories_daily!$H:$H,calculations!F$1)</f>
        <v>-5872.1279478154001</v>
      </c>
      <c r="G194">
        <f>+SUMIFS(das_tank_inventories_daily!$M:$M,das_tank_inventories_daily!$C:$C,calculations!$B194,das_tank_inventories_daily!$H:$H,calculations!G$1)</f>
        <v>16806.745726299399</v>
      </c>
      <c r="H194">
        <f>+SUMIFS(das_tank_inventories_daily!$M:$M,das_tank_inventories_daily!$C:$C,calculations!$B194,das_tank_inventories_daily!$H:$H,calculations!H$1)</f>
        <v>7811.7705707730402</v>
      </c>
      <c r="I194">
        <f>+SUMIFS(das_tank_inventories_daily!$M:$M,das_tank_inventories_daily!$C:$C,calculations!$B194,das_tank_inventories_daily!$H:$H,calculations!I$1)</f>
        <v>510828.62788644299</v>
      </c>
      <c r="J194">
        <f>+SUMIFS(das_tank_inventories_daily!$M:$M,das_tank_inventories_daily!$C:$C,calculations!$B194,das_tank_inventories_daily!$H:$H,calculations!J$1)</f>
        <v>-61855.521106924803</v>
      </c>
      <c r="K194">
        <f>+SUMIFS(das_tank_inventories_daily!$M:$M,das_tank_inventories_daily!$C:$C,calculations!$B194,das_tank_inventories_daily!$H:$H,calculations!K$1)</f>
        <v>621716.33474775904</v>
      </c>
      <c r="L194">
        <f>+SUMIFS(das_tank_inventories_daily!$M:$M,das_tank_inventories_daily!$C:$C,calculations!$B194,das_tank_inventories_daily!$H:$H,calculations!L$1)</f>
        <v>14019.7254537932</v>
      </c>
      <c r="M194">
        <f>+SUMIFS(das_tank_inventories_daily!$M:$M,das_tank_inventories_daily!$C:$C,calculations!$B194,das_tank_inventories_daily!$H:$H,calculations!M$1)</f>
        <v>7075.8311131125602</v>
      </c>
      <c r="N194">
        <f>+SUMIFS(das_tank_inventories_daily!$M:$M,das_tank_inventories_daily!$C:$C,calculations!$B194,das_tank_inventories_daily!$H:$H,calculations!N$1)</f>
        <v>-461850.744980508</v>
      </c>
      <c r="O194">
        <f>+SUMIFS(das_tank_inventories_daily!$M:$M,das_tank_inventories_daily!$C:$C,calculations!$B194,das_tank_inventories_daily!$H:$H,calculations!O$1)</f>
        <v>0</v>
      </c>
      <c r="P194">
        <f>+SUMIFS(das_tank_inventories_daily!$M:$M,das_tank_inventories_daily!$C:$C,calculations!$B194,das_tank_inventories_daily!$H:$H,calculations!P$1)</f>
        <v>-15210.8937089518</v>
      </c>
      <c r="Q194">
        <f>+SUMIFS(das_tank_inventories_daily!$M:$M,das_tank_inventories_daily!$C:$C,calculations!$B194,das_tank_inventories_daily!$H:$H,calculations!Q$1)</f>
        <v>0</v>
      </c>
      <c r="R194">
        <f>+SUMIFS(das_tank_inventories_daily!$M:$M,das_tank_inventories_daily!$C:$C,calculations!$B194,das_tank_inventories_daily!$H:$H,calculations!R$1)</f>
        <v>613119.33435980696</v>
      </c>
      <c r="S194">
        <f>+SUMIFS(das_tank_inventories_daily!$M:$M,das_tank_inventories_daily!$C:$C,calculations!$B194,das_tank_inventories_daily!$H:$H,calculations!S$1)</f>
        <v>383631.66145004501</v>
      </c>
      <c r="T194">
        <f>+SUMIFS(das_tank_inventories_daily!$M:$M,das_tank_inventories_daily!$C:$C,calculations!$B194,das_tank_inventories_daily!$H:$H,calculations!T$1)</f>
        <v>-2613.6788639586798</v>
      </c>
      <c r="U194">
        <f>+SUMIFS(das_tank_inventories_daily!$M:$M,das_tank_inventories_daily!$C:$C,calculations!$B194,das_tank_inventories_daily!$H:$H,calculations!U$1)</f>
        <v>-365419.96455677302</v>
      </c>
      <c r="W194" s="2">
        <f>+B194</f>
        <v>46215.999988425923</v>
      </c>
      <c r="X194" s="3">
        <f>+SUMIFS(C194:U194,C194:U194,"&lt;0")</f>
        <v>-912822.93116493174</v>
      </c>
      <c r="Y194" s="3">
        <f>+SUMIFS(C194:U194,C194:U194,"&lt;0")</f>
        <v>-912822.93116493174</v>
      </c>
      <c r="Z194" s="3">
        <f t="shared" ref="Z194" si="92">+Y194+X194</f>
        <v>-1825645.8623298635</v>
      </c>
      <c r="AB194" s="2">
        <f>+B194</f>
        <v>46215.999988425923</v>
      </c>
      <c r="AC194" s="3">
        <f t="shared" si="58"/>
        <v>-304274.31038831058</v>
      </c>
      <c r="AD194" s="3">
        <f t="shared" si="59"/>
        <v>758380.4543096195</v>
      </c>
      <c r="AE194" s="3">
        <f t="shared" si="64"/>
        <v>454106.14392130892</v>
      </c>
      <c r="AH194" s="2">
        <f t="shared" si="78"/>
        <v>46215.999988425923</v>
      </c>
      <c r="AI194" s="4" t="e">
        <f>+AI193+AC194</f>
        <v>#DIV/0!</v>
      </c>
      <c r="AJ194" s="4" t="e">
        <f>+AJ193+AD194</f>
        <v>#DIV/0!</v>
      </c>
      <c r="AK194" s="4">
        <f>+AK193+AE194</f>
        <v>-831097.08607690013</v>
      </c>
    </row>
    <row r="195" spans="2:37" x14ac:dyDescent="0.25">
      <c r="B195" s="1"/>
      <c r="AB195" s="2"/>
      <c r="AC195" s="3" t="e">
        <f t="shared" si="58"/>
        <v>#DIV/0!</v>
      </c>
      <c r="AD195" s="3" t="e">
        <f t="shared" si="59"/>
        <v>#DIV/0!</v>
      </c>
      <c r="AE195" s="3"/>
      <c r="AH195" s="2">
        <f t="shared" si="78"/>
        <v>0</v>
      </c>
      <c r="AI195" s="4" t="e">
        <f t="shared" si="79"/>
        <v>#DIV/0!</v>
      </c>
      <c r="AJ195" s="4" t="e">
        <f t="shared" si="80"/>
        <v>#DIV/0!</v>
      </c>
      <c r="AK195" s="4">
        <f t="shared" si="81"/>
        <v>-831097.08607690013</v>
      </c>
    </row>
    <row r="196" spans="2:37" x14ac:dyDescent="0.25">
      <c r="B196" s="1"/>
      <c r="AB196" s="2"/>
      <c r="AC196" s="3" t="e">
        <f t="shared" si="58"/>
        <v>#DIV/0!</v>
      </c>
      <c r="AD196" s="3" t="e">
        <f t="shared" si="59"/>
        <v>#DIV/0!</v>
      </c>
      <c r="AE196" s="3"/>
      <c r="AH196" s="2">
        <f t="shared" si="78"/>
        <v>0</v>
      </c>
      <c r="AI196" s="4" t="e">
        <f t="shared" si="79"/>
        <v>#DIV/0!</v>
      </c>
      <c r="AJ196" s="4" t="e">
        <f t="shared" si="80"/>
        <v>#DIV/0!</v>
      </c>
      <c r="AK196" s="4">
        <f t="shared" si="81"/>
        <v>-831097.08607690013</v>
      </c>
    </row>
    <row r="197" spans="2:37" x14ac:dyDescent="0.25">
      <c r="B197" s="1">
        <v>46218.999988425923</v>
      </c>
      <c r="C197">
        <f>+SUMIFS(das_tank_inventories_daily!$M:$M,das_tank_inventories_daily!$C:$C,calculations!$B197,das_tank_inventories_daily!$H:$H,calculations!C$1)</f>
        <v>-4207.1984692645201</v>
      </c>
      <c r="D197">
        <f>+SUMIFS(das_tank_inventories_daily!$M:$M,das_tank_inventories_daily!$C:$C,calculations!$B197,das_tank_inventories_daily!$H:$H,calculations!D$1)</f>
        <v>-49.649760601838302</v>
      </c>
      <c r="E197">
        <f>+SUMIFS(das_tank_inventories_daily!$M:$M,das_tank_inventories_daily!$C:$C,calculations!$B197,das_tank_inventories_daily!$H:$H,calculations!E$1)</f>
        <v>-15490.2480435998</v>
      </c>
      <c r="F197">
        <f>+SUMIFS(das_tank_inventories_daily!$M:$M,das_tank_inventories_daily!$C:$C,calculations!$B197,das_tank_inventories_daily!$H:$H,calculations!F$1)</f>
        <v>5872.1279478154001</v>
      </c>
      <c r="G197">
        <f>+SUMIFS(das_tank_inventories_daily!$M:$M,das_tank_inventories_daily!$C:$C,calculations!$B197,das_tank_inventories_daily!$H:$H,calculations!G$1)</f>
        <v>-7043.7645985126701</v>
      </c>
      <c r="H197">
        <f>+SUMIFS(das_tank_inventories_daily!$M:$M,das_tank_inventories_daily!$C:$C,calculations!$B197,das_tank_inventories_daily!$H:$H,calculations!H$1)</f>
        <v>457341.699093993</v>
      </c>
      <c r="I197">
        <f>+SUMIFS(das_tank_inventories_daily!$M:$M,das_tank_inventories_daily!$C:$C,calculations!$B197,das_tank_inventories_daily!$H:$H,calculations!I$1)</f>
        <v>-510828.62788644299</v>
      </c>
      <c r="J197">
        <f>+SUMIFS(das_tank_inventories_daily!$M:$M,das_tank_inventories_daily!$C:$C,calculations!$B197,das_tank_inventories_daily!$H:$H,calculations!J$1)</f>
        <v>0</v>
      </c>
      <c r="K197">
        <f>+SUMIFS(das_tank_inventories_daily!$M:$M,das_tank_inventories_daily!$C:$C,calculations!$B197,das_tank_inventories_daily!$H:$H,calculations!K$1)</f>
        <v>-442444.362739723</v>
      </c>
      <c r="L197">
        <f>+SUMIFS(das_tank_inventories_daily!$M:$M,das_tank_inventories_daily!$C:$C,calculations!$B197,das_tank_inventories_daily!$H:$H,calculations!L$1)</f>
        <v>-8108.6946499556898</v>
      </c>
      <c r="M197">
        <f>+SUMIFS(das_tank_inventories_daily!$M:$M,das_tank_inventories_daily!$C:$C,calculations!$B197,das_tank_inventories_daily!$H:$H,calculations!M$1)</f>
        <v>-480.74897511117098</v>
      </c>
      <c r="N197">
        <f>+SUMIFS(das_tank_inventories_daily!$M:$M,das_tank_inventories_daily!$C:$C,calculations!$B197,das_tank_inventories_daily!$H:$H,calculations!N$1)</f>
        <v>280836.72870849702</v>
      </c>
      <c r="O197">
        <f>+SUMIFS(das_tank_inventories_daily!$M:$M,das_tank_inventories_daily!$C:$C,calculations!$B197,das_tank_inventories_daily!$H:$H,calculations!O$1)</f>
        <v>0</v>
      </c>
      <c r="P197">
        <f>+SUMIFS(das_tank_inventories_daily!$M:$M,das_tank_inventories_daily!$C:$C,calculations!$B197,das_tank_inventories_daily!$H:$H,calculations!P$1)</f>
        <v>17928.425420036401</v>
      </c>
      <c r="Q197">
        <f>+SUMIFS(das_tank_inventories_daily!$M:$M,das_tank_inventories_daily!$C:$C,calculations!$B197,das_tank_inventories_daily!$H:$H,calculations!Q$1)</f>
        <v>0</v>
      </c>
      <c r="R197">
        <f>+SUMIFS(das_tank_inventories_daily!$M:$M,das_tank_inventories_daily!$C:$C,calculations!$B197,das_tank_inventories_daily!$H:$H,calculations!R$1)</f>
        <v>-613119.33435980696</v>
      </c>
      <c r="S197">
        <f>+SUMIFS(das_tank_inventories_daily!$M:$M,das_tank_inventories_daily!$C:$C,calculations!$B197,das_tank_inventories_daily!$H:$H,calculations!S$1)</f>
        <v>-383631.66145004501</v>
      </c>
      <c r="T197">
        <f>+SUMIFS(das_tank_inventories_daily!$M:$M,das_tank_inventories_daily!$C:$C,calculations!$B197,das_tank_inventories_daily!$H:$H,calculations!T$1)</f>
        <v>3829.4794834270701</v>
      </c>
      <c r="U197">
        <f>+SUMIFS(das_tank_inventories_daily!$M:$M,das_tank_inventories_daily!$C:$C,calculations!$B197,das_tank_inventories_daily!$H:$H,calculations!U$1)</f>
        <v>63138.956087163999</v>
      </c>
      <c r="W197" s="2">
        <f>+B197</f>
        <v>46218.999988425923</v>
      </c>
      <c r="X197" s="3">
        <f>+SUMIFS(C197:U197,C197:U197,"&lt;0")</f>
        <v>-1985404.2909330637</v>
      </c>
      <c r="Y197" s="3">
        <f>+SUMIFS(C197:U197,C197:U197,"&lt;0")</f>
        <v>-1985404.2909330637</v>
      </c>
      <c r="Z197" s="3">
        <f t="shared" ref="Z197" si="93">+Y197+X197</f>
        <v>-3970808.5818661274</v>
      </c>
      <c r="AB197" s="2">
        <f>+B197</f>
        <v>46218.999988425923</v>
      </c>
      <c r="AC197" s="3">
        <f t="shared" si="58"/>
        <v>-661801.43031102128</v>
      </c>
      <c r="AD197" s="3">
        <f t="shared" si="59"/>
        <v>276315.80558031093</v>
      </c>
      <c r="AE197" s="3">
        <f t="shared" si="64"/>
        <v>-385485.62473071035</v>
      </c>
      <c r="AH197" s="2">
        <f t="shared" si="78"/>
        <v>46218.999988425923</v>
      </c>
      <c r="AI197" s="4" t="e">
        <f>+AI196+AC197</f>
        <v>#DIV/0!</v>
      </c>
      <c r="AJ197" s="4" t="e">
        <f>+AJ196+AD197</f>
        <v>#DIV/0!</v>
      </c>
      <c r="AK197" s="4">
        <f>+AK196+AE197</f>
        <v>-1216582.7108076105</v>
      </c>
    </row>
    <row r="198" spans="2:37" x14ac:dyDescent="0.25">
      <c r="B198" s="1"/>
      <c r="AB198" s="2"/>
      <c r="AC198" s="3" t="e">
        <f t="shared" si="58"/>
        <v>#DIV/0!</v>
      </c>
      <c r="AD198" s="3" t="e">
        <f t="shared" si="59"/>
        <v>#DIV/0!</v>
      </c>
      <c r="AE198" s="3"/>
      <c r="AH198" s="2">
        <f t="shared" si="78"/>
        <v>0</v>
      </c>
      <c r="AI198" s="4" t="e">
        <f t="shared" si="79"/>
        <v>#DIV/0!</v>
      </c>
      <c r="AJ198" s="4" t="e">
        <f t="shared" si="80"/>
        <v>#DIV/0!</v>
      </c>
      <c r="AK198" s="4">
        <f t="shared" si="81"/>
        <v>-1216582.7108076105</v>
      </c>
    </row>
    <row r="199" spans="2:37" x14ac:dyDescent="0.25">
      <c r="B199" s="1"/>
      <c r="AB199" s="2"/>
      <c r="AC199" s="3" t="e">
        <f t="shared" si="58"/>
        <v>#DIV/0!</v>
      </c>
      <c r="AD199" s="3" t="e">
        <f t="shared" si="59"/>
        <v>#DIV/0!</v>
      </c>
      <c r="AE199" s="3"/>
      <c r="AH199" s="2">
        <f t="shared" si="78"/>
        <v>0</v>
      </c>
      <c r="AI199" s="4" t="e">
        <f t="shared" si="79"/>
        <v>#DIV/0!</v>
      </c>
      <c r="AJ199" s="4" t="e">
        <f t="shared" si="80"/>
        <v>#DIV/0!</v>
      </c>
      <c r="AK199" s="4">
        <f t="shared" si="81"/>
        <v>-1216582.7108076105</v>
      </c>
    </row>
    <row r="200" spans="2:37" x14ac:dyDescent="0.25">
      <c r="B200" s="1">
        <v>46221.999988425923</v>
      </c>
      <c r="C200">
        <f>+SUMIFS(das_tank_inventories_daily!$M:$M,das_tank_inventories_daily!$C:$C,calculations!$B200,das_tank_inventories_daily!$H:$H,calculations!C$1)</f>
        <v>2538.86762490306</v>
      </c>
      <c r="D200">
        <f>+SUMIFS(das_tank_inventories_daily!$M:$M,das_tank_inventories_daily!$C:$C,calculations!$B200,das_tank_inventories_daily!$H:$H,calculations!D$1)</f>
        <v>-2548.3889300405499</v>
      </c>
      <c r="E200">
        <f>+SUMIFS(das_tank_inventories_daily!$M:$M,das_tank_inventories_daily!$C:$C,calculations!$B200,das_tank_inventories_daily!$H:$H,calculations!E$1)</f>
        <v>-67200.887940743502</v>
      </c>
      <c r="F200">
        <f>+SUMIFS(das_tank_inventories_daily!$M:$M,das_tank_inventories_daily!$C:$C,calculations!$B200,das_tank_inventories_daily!$H:$H,calculations!F$1)</f>
        <v>-5268.4831731745498</v>
      </c>
      <c r="G200">
        <f>+SUMIFS(das_tank_inventories_daily!$M:$M,das_tank_inventories_daily!$C:$C,calculations!$B200,das_tank_inventories_daily!$H:$H,calculations!G$1)</f>
        <v>3310.4642963602601</v>
      </c>
      <c r="H200">
        <f>+SUMIFS(das_tank_inventories_daily!$M:$M,das_tank_inventories_daily!$C:$C,calculations!$B200,das_tank_inventories_daily!$H:$H,calculations!H$1)</f>
        <v>-460704.2990388</v>
      </c>
      <c r="I200">
        <f>+SUMIFS(das_tank_inventories_daily!$M:$M,das_tank_inventories_daily!$C:$C,calculations!$B200,das_tank_inventories_daily!$H:$H,calculations!I$1)</f>
        <v>0</v>
      </c>
      <c r="J200">
        <f>+SUMIFS(das_tank_inventories_daily!$M:$M,das_tank_inventories_daily!$C:$C,calculations!$B200,das_tank_inventories_daily!$H:$H,calculations!J$1)</f>
        <v>0</v>
      </c>
      <c r="K200">
        <f>+SUMIFS(das_tank_inventories_daily!$M:$M,das_tank_inventories_daily!$C:$C,calculations!$B200,das_tank_inventories_daily!$H:$H,calculations!K$1)</f>
        <v>-200086.04523349399</v>
      </c>
      <c r="L200">
        <f>+SUMIFS(das_tank_inventories_daily!$M:$M,das_tank_inventories_daily!$C:$C,calculations!$B200,das_tank_inventories_daily!$H:$H,calculations!L$1)</f>
        <v>-1323.6666464893401</v>
      </c>
      <c r="M200">
        <f>+SUMIFS(das_tank_inventories_daily!$M:$M,das_tank_inventories_daily!$C:$C,calculations!$B200,das_tank_inventories_daily!$H:$H,calculations!M$1)</f>
        <v>4460.4504494406801</v>
      </c>
      <c r="N200">
        <f>+SUMIFS(das_tank_inventories_daily!$M:$M,das_tank_inventories_daily!$C:$C,calculations!$B200,das_tank_inventories_daily!$H:$H,calculations!N$1)</f>
        <v>-197203.59516927399</v>
      </c>
      <c r="O200">
        <f>+SUMIFS(das_tank_inventories_daily!$M:$M,das_tank_inventories_daily!$C:$C,calculations!$B200,das_tank_inventories_daily!$H:$H,calculations!O$1)</f>
        <v>0</v>
      </c>
      <c r="P200">
        <f>+SUMIFS(das_tank_inventories_daily!$M:$M,das_tank_inventories_daily!$C:$C,calculations!$B200,das_tank_inventories_daily!$H:$H,calculations!P$1)</f>
        <v>-466388.00532568397</v>
      </c>
      <c r="Q200">
        <f>+SUMIFS(das_tank_inventories_daily!$M:$M,das_tank_inventories_daily!$C:$C,calculations!$B200,das_tank_inventories_daily!$H:$H,calculations!Q$1)</f>
        <v>0</v>
      </c>
      <c r="R200">
        <f>+SUMIFS(das_tank_inventories_daily!$M:$M,das_tank_inventories_daily!$C:$C,calculations!$B200,das_tank_inventories_daily!$H:$H,calculations!R$1)</f>
        <v>331347.845282781</v>
      </c>
      <c r="S200">
        <f>+SUMIFS(das_tank_inventories_daily!$M:$M,das_tank_inventories_daily!$C:$C,calculations!$B200,das_tank_inventories_daily!$H:$H,calculations!S$1)</f>
        <v>283071.54609576898</v>
      </c>
      <c r="T200">
        <f>+SUMIFS(das_tank_inventories_daily!$M:$M,das_tank_inventories_daily!$C:$C,calculations!$B200,das_tank_inventories_daily!$H:$H,calculations!T$1)</f>
        <v>-7398.1043221310201</v>
      </c>
      <c r="U200">
        <f>+SUMIFS(das_tank_inventories_daily!$M:$M,das_tank_inventories_daily!$C:$C,calculations!$B200,das_tank_inventories_daily!$H:$H,calculations!U$1)</f>
        <v>-28955.284194976</v>
      </c>
      <c r="W200" s="2">
        <f>+B200</f>
        <v>46221.999988425923</v>
      </c>
      <c r="X200" s="3">
        <f>+SUMIFS(C200:U200,C200:U200,"&lt;0")</f>
        <v>-1437076.759974807</v>
      </c>
      <c r="Y200" s="3">
        <f>+SUMIFS(C200:U200,C200:U200,"&lt;0")</f>
        <v>-1437076.759974807</v>
      </c>
      <c r="Z200" s="3">
        <f t="shared" ref="Z200" si="94">+Y200+X200</f>
        <v>-2874153.5199496141</v>
      </c>
      <c r="AB200" s="2">
        <f>+B200</f>
        <v>46221.999988425923</v>
      </c>
      <c r="AC200" s="3">
        <f t="shared" ref="AC200:AC224" si="95">+SUMIFS(C200:U200,C200:U200,"&lt;0")/(AB200-AB197)</f>
        <v>-479025.58665826899</v>
      </c>
      <c r="AD200" s="3">
        <f t="shared" ref="AD200:AD224" si="96">+SUMIFS(C200:U200,C200:U200,"&gt;0")/(AB200-AB197)</f>
        <v>208243.05791641798</v>
      </c>
      <c r="AE200" s="3">
        <f t="shared" si="64"/>
        <v>-270782.52874185098</v>
      </c>
      <c r="AH200" s="2">
        <f t="shared" si="78"/>
        <v>46221.999988425923</v>
      </c>
      <c r="AI200" s="4" t="e">
        <f>+AI199+AC200</f>
        <v>#DIV/0!</v>
      </c>
      <c r="AJ200" s="4" t="e">
        <f>+AJ199+AD200</f>
        <v>#DIV/0!</v>
      </c>
      <c r="AK200" s="4">
        <f>+AK199+AE200</f>
        <v>-1487365.2395494615</v>
      </c>
    </row>
    <row r="201" spans="2:37" x14ac:dyDescent="0.25">
      <c r="B201" s="1"/>
      <c r="AB201" s="2"/>
      <c r="AC201" s="3" t="e">
        <f t="shared" si="95"/>
        <v>#DIV/0!</v>
      </c>
      <c r="AD201" s="3" t="e">
        <f t="shared" si="96"/>
        <v>#DIV/0!</v>
      </c>
      <c r="AE201" s="3"/>
      <c r="AH201" s="2">
        <f t="shared" si="78"/>
        <v>0</v>
      </c>
      <c r="AI201" s="4" t="e">
        <f t="shared" si="79"/>
        <v>#DIV/0!</v>
      </c>
      <c r="AJ201" s="4" t="e">
        <f t="shared" si="80"/>
        <v>#DIV/0!</v>
      </c>
      <c r="AK201" s="4">
        <f t="shared" si="81"/>
        <v>-1487365.2395494615</v>
      </c>
    </row>
    <row r="202" spans="2:37" x14ac:dyDescent="0.25">
      <c r="B202" s="1"/>
      <c r="AB202" s="2"/>
      <c r="AC202" s="3" t="e">
        <f t="shared" si="95"/>
        <v>#DIV/0!</v>
      </c>
      <c r="AD202" s="3" t="e">
        <f t="shared" si="96"/>
        <v>#DIV/0!</v>
      </c>
      <c r="AE202" s="3"/>
      <c r="AH202" s="2">
        <f t="shared" si="78"/>
        <v>0</v>
      </c>
      <c r="AI202" s="4" t="e">
        <f t="shared" si="79"/>
        <v>#DIV/0!</v>
      </c>
      <c r="AJ202" s="4" t="e">
        <f t="shared" si="80"/>
        <v>#DIV/0!</v>
      </c>
      <c r="AK202" s="4">
        <f t="shared" si="81"/>
        <v>-1487365.2395494615</v>
      </c>
    </row>
    <row r="203" spans="2:37" x14ac:dyDescent="0.25">
      <c r="B203" s="1">
        <v>46224.999988425923</v>
      </c>
      <c r="C203">
        <f>+SUMIFS(das_tank_inventories_daily!$M:$M,das_tank_inventories_daily!$C:$C,calculations!$B203,das_tank_inventories_daily!$H:$H,calculations!C$1)</f>
        <v>-2961.8283194456599</v>
      </c>
      <c r="D203">
        <f>+SUMIFS(das_tank_inventories_daily!$M:$M,das_tank_inventories_daily!$C:$C,calculations!$B203,das_tank_inventories_daily!$H:$H,calculations!D$1)</f>
        <v>1824.8995153005501</v>
      </c>
      <c r="E203">
        <f>+SUMIFS(das_tank_inventories_daily!$M:$M,das_tank_inventories_daily!$C:$C,calculations!$B203,das_tank_inventories_daily!$H:$H,calculations!E$1)</f>
        <v>-317086.976130975</v>
      </c>
      <c r="F203">
        <f>+SUMIFS(das_tank_inventories_daily!$M:$M,das_tank_inventories_daily!$C:$C,calculations!$B203,das_tank_inventories_daily!$H:$H,calculations!F$1)</f>
        <v>5268.4831731745498</v>
      </c>
      <c r="G203">
        <f>+SUMIFS(das_tank_inventories_daily!$M:$M,das_tank_inventories_daily!$C:$C,calculations!$B203,das_tank_inventories_daily!$H:$H,calculations!G$1)</f>
        <v>-10404.8675300987</v>
      </c>
      <c r="H203">
        <f>+SUMIFS(das_tank_inventories_daily!$M:$M,das_tank_inventories_daily!$C:$C,calculations!$B203,das_tank_inventories_daily!$H:$H,calculations!H$1)</f>
        <v>197057.42120113</v>
      </c>
      <c r="I203">
        <f>+SUMIFS(das_tank_inventories_daily!$M:$M,das_tank_inventories_daily!$C:$C,calculations!$B203,das_tank_inventories_daily!$H:$H,calculations!I$1)</f>
        <v>506208.99871056498</v>
      </c>
      <c r="J203">
        <f>+SUMIFS(das_tank_inventories_daily!$M:$M,das_tank_inventories_daily!$C:$C,calculations!$B203,das_tank_inventories_daily!$H:$H,calculations!J$1)</f>
        <v>0</v>
      </c>
      <c r="K203">
        <f>+SUMIFS(das_tank_inventories_daily!$M:$M,das_tank_inventories_daily!$C:$C,calculations!$B203,das_tank_inventories_daily!$H:$H,calculations!K$1)</f>
        <v>0</v>
      </c>
      <c r="L203">
        <f>+SUMIFS(das_tank_inventories_daily!$M:$M,das_tank_inventories_daily!$C:$C,calculations!$B203,das_tank_inventories_daily!$H:$H,calculations!L$1)</f>
        <v>-18561.635529561401</v>
      </c>
      <c r="M203">
        <f>+SUMIFS(das_tank_inventories_daily!$M:$M,das_tank_inventories_daily!$C:$C,calculations!$B203,das_tank_inventories_daily!$H:$H,calculations!M$1)</f>
        <v>-8000.6012588031499</v>
      </c>
      <c r="N203">
        <f>+SUMIFS(das_tank_inventories_daily!$M:$M,das_tank_inventories_daily!$C:$C,calculations!$B203,das_tank_inventories_daily!$H:$H,calculations!N$1)</f>
        <v>377241.17996253603</v>
      </c>
      <c r="O203">
        <f>+SUMIFS(das_tank_inventories_daily!$M:$M,das_tank_inventories_daily!$C:$C,calculations!$B203,das_tank_inventories_daily!$H:$H,calculations!O$1)</f>
        <v>0</v>
      </c>
      <c r="P203">
        <f>+SUMIFS(das_tank_inventories_daily!$M:$M,das_tank_inventories_daily!$C:$C,calculations!$B203,das_tank_inventories_daily!$H:$H,calculations!P$1)</f>
        <v>461892.43068429898</v>
      </c>
      <c r="Q203">
        <f>+SUMIFS(das_tank_inventories_daily!$M:$M,das_tank_inventories_daily!$C:$C,calculations!$B203,das_tank_inventories_daily!$H:$H,calculations!Q$1)</f>
        <v>0</v>
      </c>
      <c r="R203">
        <f>+SUMIFS(das_tank_inventories_daily!$M:$M,das_tank_inventories_daily!$C:$C,calculations!$B203,das_tank_inventories_daily!$H:$H,calculations!R$1)</f>
        <v>-331347.845282781</v>
      </c>
      <c r="S203">
        <f>+SUMIFS(das_tank_inventories_daily!$M:$M,das_tank_inventories_daily!$C:$C,calculations!$B203,das_tank_inventories_daily!$H:$H,calculations!S$1)</f>
        <v>-283071.54609576898</v>
      </c>
      <c r="T203">
        <f>+SUMIFS(das_tank_inventories_daily!$M:$M,das_tank_inventories_daily!$C:$C,calculations!$B203,das_tank_inventories_daily!$H:$H,calculations!T$1)</f>
        <v>4329.9661068292298</v>
      </c>
      <c r="U203">
        <f>+SUMIFS(das_tank_inventories_daily!$M:$M,das_tank_inventories_daily!$C:$C,calculations!$B203,das_tank_inventories_daily!$H:$H,calculations!U$1)</f>
        <v>371066.06303175801</v>
      </c>
      <c r="W203" s="2">
        <f>+B203</f>
        <v>46224.999988425923</v>
      </c>
      <c r="X203" s="3">
        <f>+SUMIFS(C203:U203,C203:U203,"&lt;0")</f>
        <v>-971435.30014743377</v>
      </c>
      <c r="Y203" s="3">
        <f>+SUMIFS(C203:U203,C203:U203,"&lt;0")</f>
        <v>-971435.30014743377</v>
      </c>
      <c r="Z203" s="3">
        <f t="shared" ref="Z203" si="97">+Y203+X203</f>
        <v>-1942870.6002948675</v>
      </c>
      <c r="AB203" s="2">
        <f>+B203</f>
        <v>46224.999988425923</v>
      </c>
      <c r="AC203" s="3">
        <f t="shared" si="95"/>
        <v>-323811.76671581127</v>
      </c>
      <c r="AD203" s="3">
        <f t="shared" si="96"/>
        <v>641629.81412853079</v>
      </c>
      <c r="AE203" s="3">
        <f t="shared" ref="AE203:AE224" si="98">+AD203+AC203</f>
        <v>317818.04741271952</v>
      </c>
      <c r="AH203" s="2">
        <f t="shared" si="78"/>
        <v>46224.999988425923</v>
      </c>
      <c r="AI203" s="4" t="e">
        <f>+AI202+AC203</f>
        <v>#DIV/0!</v>
      </c>
      <c r="AJ203" s="4" t="e">
        <f>+AJ202+AD203</f>
        <v>#DIV/0!</v>
      </c>
      <c r="AK203" s="4">
        <f>+AK202+AE203</f>
        <v>-1169547.1921367419</v>
      </c>
    </row>
    <row r="204" spans="2:37" x14ac:dyDescent="0.25">
      <c r="B204" s="1"/>
      <c r="AB204" s="2"/>
      <c r="AC204" s="3" t="e">
        <f t="shared" si="95"/>
        <v>#DIV/0!</v>
      </c>
      <c r="AD204" s="3" t="e">
        <f t="shared" si="96"/>
        <v>#DIV/0!</v>
      </c>
      <c r="AE204" s="3"/>
      <c r="AH204" s="2">
        <f t="shared" si="78"/>
        <v>0</v>
      </c>
      <c r="AI204" s="4" t="e">
        <f t="shared" si="79"/>
        <v>#DIV/0!</v>
      </c>
      <c r="AJ204" s="4" t="e">
        <f t="shared" si="80"/>
        <v>#DIV/0!</v>
      </c>
      <c r="AK204" s="4">
        <f t="shared" si="81"/>
        <v>-1169547.1921367419</v>
      </c>
    </row>
    <row r="205" spans="2:37" x14ac:dyDescent="0.25">
      <c r="B205" s="1"/>
      <c r="AB205" s="2"/>
      <c r="AC205" s="3" t="e">
        <f t="shared" si="95"/>
        <v>#DIV/0!</v>
      </c>
      <c r="AD205" s="3" t="e">
        <f t="shared" si="96"/>
        <v>#DIV/0!</v>
      </c>
      <c r="AE205" s="3"/>
      <c r="AH205" s="2">
        <f t="shared" si="78"/>
        <v>0</v>
      </c>
      <c r="AI205" s="4" t="e">
        <f t="shared" si="79"/>
        <v>#DIV/0!</v>
      </c>
      <c r="AJ205" s="4" t="e">
        <f t="shared" si="80"/>
        <v>#DIV/0!</v>
      </c>
      <c r="AK205" s="4">
        <f t="shared" si="81"/>
        <v>-1169547.1921367419</v>
      </c>
    </row>
    <row r="206" spans="2:37" x14ac:dyDescent="0.25">
      <c r="B206" s="1">
        <v>46227.999988425923</v>
      </c>
      <c r="C206">
        <f>+SUMIFS(das_tank_inventories_daily!$M:$M,das_tank_inventories_daily!$C:$C,calculations!$B206,das_tank_inventories_daily!$H:$H,calculations!C$1)</f>
        <v>3648.2704627701801</v>
      </c>
      <c r="D206">
        <f>+SUMIFS(das_tank_inventories_daily!$M:$M,das_tank_inventories_daily!$C:$C,calculations!$B206,das_tank_inventories_daily!$H:$H,calculations!D$1)</f>
        <v>796.33078379445897</v>
      </c>
      <c r="E206">
        <f>+SUMIFS(das_tank_inventories_daily!$M:$M,das_tank_inventories_daily!$C:$C,calculations!$B206,das_tank_inventories_daily!$H:$H,calculations!E$1)</f>
        <v>409727.70809211599</v>
      </c>
      <c r="F206">
        <f>+SUMIFS(das_tank_inventories_daily!$M:$M,das_tank_inventories_daily!$C:$C,calculations!$B206,das_tank_inventories_daily!$H:$H,calculations!F$1)</f>
        <v>-9092.9908683739995</v>
      </c>
      <c r="G206">
        <f>+SUMIFS(das_tank_inventories_daily!$M:$M,das_tank_inventories_daily!$C:$C,calculations!$B206,das_tank_inventories_daily!$H:$H,calculations!G$1)</f>
        <v>20262.069488336601</v>
      </c>
      <c r="H206">
        <f>+SUMIFS(das_tank_inventories_daily!$M:$M,das_tank_inventories_daily!$C:$C,calculations!$B206,das_tank_inventories_daily!$H:$H,calculations!H$1)</f>
        <v>130340.39739083999</v>
      </c>
      <c r="I206">
        <f>+SUMIFS(das_tank_inventories_daily!$M:$M,das_tank_inventories_daily!$C:$C,calculations!$B206,das_tank_inventories_daily!$H:$H,calculations!I$1)</f>
        <v>10563.5390615083</v>
      </c>
      <c r="J206">
        <f>+SUMIFS(das_tank_inventories_daily!$M:$M,das_tank_inventories_daily!$C:$C,calculations!$B206,das_tank_inventories_daily!$H:$H,calculations!J$1)</f>
        <v>417527.21157649002</v>
      </c>
      <c r="K206">
        <f>+SUMIFS(das_tank_inventories_daily!$M:$M,das_tank_inventories_daily!$C:$C,calculations!$B206,das_tank_inventories_daily!$H:$H,calculations!K$1)</f>
        <v>384255.15536768403</v>
      </c>
      <c r="L206">
        <f>+SUMIFS(das_tank_inventories_daily!$M:$M,das_tank_inventories_daily!$C:$C,calculations!$B206,das_tank_inventories_daily!$H:$H,calculations!L$1)</f>
        <v>4313.8368822173798</v>
      </c>
      <c r="M206">
        <f>+SUMIFS(das_tank_inventories_daily!$M:$M,das_tank_inventories_daily!$C:$C,calculations!$B206,das_tank_inventories_daily!$H:$H,calculations!M$1)</f>
        <v>5809.9306959881196</v>
      </c>
      <c r="N206">
        <f>+SUMIFS(das_tank_inventories_daily!$M:$M,das_tank_inventories_daily!$C:$C,calculations!$B206,das_tank_inventories_daily!$H:$H,calculations!N$1)</f>
        <v>-274145.40742831799</v>
      </c>
      <c r="O206">
        <f>+SUMIFS(das_tank_inventories_daily!$M:$M,das_tank_inventories_daily!$C:$C,calculations!$B206,das_tank_inventories_daily!$H:$H,calculations!O$1)</f>
        <v>0</v>
      </c>
      <c r="P206">
        <f>+SUMIFS(das_tank_inventories_daily!$M:$M,das_tank_inventories_daily!$C:$C,calculations!$B206,das_tank_inventories_daily!$H:$H,calculations!P$1)</f>
        <v>-461892.43068429898</v>
      </c>
      <c r="Q206">
        <f>+SUMIFS(das_tank_inventories_daily!$M:$M,das_tank_inventories_daily!$C:$C,calculations!$B206,das_tank_inventories_daily!$H:$H,calculations!Q$1)</f>
        <v>0</v>
      </c>
      <c r="R206">
        <f>+SUMIFS(das_tank_inventories_daily!$M:$M,das_tank_inventories_daily!$C:$C,calculations!$B206,das_tank_inventories_daily!$H:$H,calculations!R$1)</f>
        <v>110255.074668264</v>
      </c>
      <c r="S206">
        <f>+SUMIFS(das_tank_inventories_daily!$M:$M,das_tank_inventories_daily!$C:$C,calculations!$B206,das_tank_inventories_daily!$H:$H,calculations!S$1)</f>
        <v>389820.96306927101</v>
      </c>
      <c r="T206">
        <f>+SUMIFS(das_tank_inventories_daily!$M:$M,das_tank_inventories_daily!$C:$C,calculations!$B206,das_tank_inventories_daily!$H:$H,calculations!T$1)</f>
        <v>4420.8877724514396</v>
      </c>
      <c r="U206">
        <f>+SUMIFS(das_tank_inventories_daily!$M:$M,das_tank_inventories_daily!$C:$C,calculations!$B206,das_tank_inventories_daily!$H:$H,calculations!U$1)</f>
        <v>-302423.85882141499</v>
      </c>
      <c r="W206" s="2">
        <f>+B206</f>
        <v>46227.999988425923</v>
      </c>
      <c r="X206" s="3">
        <f>+SUMIFS(C206:U206,C206:U206,"&lt;0")</f>
        <v>-1047554.6878024059</v>
      </c>
      <c r="Y206" s="3">
        <f>+SUMIFS(C206:U206,C206:U206,"&lt;0")</f>
        <v>-1047554.6878024059</v>
      </c>
      <c r="Z206" s="3">
        <f t="shared" ref="Z206" si="99">+Y206+X206</f>
        <v>-2095109.3756048118</v>
      </c>
      <c r="AB206" s="2">
        <f>+B206</f>
        <v>46227.999988425923</v>
      </c>
      <c r="AC206" s="3">
        <f t="shared" si="95"/>
        <v>-349184.8959341353</v>
      </c>
      <c r="AD206" s="3">
        <f t="shared" si="96"/>
        <v>630580.45843724383</v>
      </c>
      <c r="AE206" s="3">
        <f t="shared" si="98"/>
        <v>281395.56250310852</v>
      </c>
      <c r="AH206" s="2">
        <f t="shared" si="78"/>
        <v>46227.999988425923</v>
      </c>
      <c r="AI206" s="4" t="e">
        <f>+AI205+AC206</f>
        <v>#DIV/0!</v>
      </c>
      <c r="AJ206" s="4" t="e">
        <f>+AJ205+AD206</f>
        <v>#DIV/0!</v>
      </c>
      <c r="AK206" s="4">
        <f>+AK205+AE206</f>
        <v>-888151.62963363342</v>
      </c>
    </row>
    <row r="207" spans="2:37" x14ac:dyDescent="0.25">
      <c r="B207" s="1"/>
      <c r="AB207" s="2"/>
      <c r="AC207" s="3" t="e">
        <f t="shared" si="95"/>
        <v>#DIV/0!</v>
      </c>
      <c r="AD207" s="3" t="e">
        <f t="shared" si="96"/>
        <v>#DIV/0!</v>
      </c>
      <c r="AE207" s="3"/>
      <c r="AH207" s="2">
        <f t="shared" si="78"/>
        <v>0</v>
      </c>
      <c r="AI207" s="4" t="e">
        <f t="shared" si="79"/>
        <v>#DIV/0!</v>
      </c>
      <c r="AJ207" s="4" t="e">
        <f t="shared" si="80"/>
        <v>#DIV/0!</v>
      </c>
      <c r="AK207" s="4">
        <f t="shared" si="81"/>
        <v>-888151.62963363342</v>
      </c>
    </row>
    <row r="208" spans="2:37" x14ac:dyDescent="0.25">
      <c r="B208" s="1"/>
      <c r="AB208" s="2"/>
      <c r="AC208" s="3" t="e">
        <f t="shared" si="95"/>
        <v>#DIV/0!</v>
      </c>
      <c r="AD208" s="3" t="e">
        <f t="shared" si="96"/>
        <v>#DIV/0!</v>
      </c>
      <c r="AE208" s="3"/>
      <c r="AH208" s="2">
        <f t="shared" si="78"/>
        <v>0</v>
      </c>
      <c r="AI208" s="4" t="e">
        <f t="shared" si="79"/>
        <v>#DIV/0!</v>
      </c>
      <c r="AJ208" s="4" t="e">
        <f t="shared" si="80"/>
        <v>#DIV/0!</v>
      </c>
      <c r="AK208" s="4">
        <f t="shared" si="81"/>
        <v>-888151.62963363342</v>
      </c>
    </row>
    <row r="209" spans="2:37" x14ac:dyDescent="0.25">
      <c r="B209" s="1">
        <v>46230.999988425923</v>
      </c>
      <c r="C209">
        <f>+SUMIFS(das_tank_inventories_daily!$M:$M,das_tank_inventories_daily!$C:$C,calculations!$B209,das_tank_inventories_daily!$H:$H,calculations!C$1)</f>
        <v>-2523.0980349854799</v>
      </c>
      <c r="D209">
        <f>+SUMIFS(das_tank_inventories_daily!$M:$M,das_tank_inventories_daily!$C:$C,calculations!$B209,das_tank_inventories_daily!$H:$H,calculations!D$1)</f>
        <v>581.82227033586196</v>
      </c>
      <c r="E209">
        <f>+SUMIFS(das_tank_inventories_daily!$M:$M,das_tank_inventories_daily!$C:$C,calculations!$B209,das_tank_inventories_daily!$H:$H,calculations!E$1)</f>
        <v>-15065.128056605899</v>
      </c>
      <c r="F209">
        <f>+SUMIFS(das_tank_inventories_daily!$M:$M,das_tank_inventories_daily!$C:$C,calculations!$B209,das_tank_inventories_daily!$H:$H,calculations!F$1)</f>
        <v>9092.9908683739995</v>
      </c>
      <c r="G209">
        <f>+SUMIFS(das_tank_inventories_daily!$M:$M,das_tank_inventories_daily!$C:$C,calculations!$B209,das_tank_inventories_daily!$H:$H,calculations!G$1)</f>
        <v>-16935.526395010598</v>
      </c>
      <c r="H209">
        <f>+SUMIFS(das_tank_inventories_daily!$M:$M,das_tank_inventories_daily!$C:$C,calculations!$B209,das_tank_inventories_daily!$H:$H,calculations!H$1)</f>
        <v>-260471.14226239</v>
      </c>
      <c r="I209">
        <f>+SUMIFS(das_tank_inventories_daily!$M:$M,das_tank_inventories_daily!$C:$C,calculations!$B209,das_tank_inventories_daily!$H:$H,calculations!I$1)</f>
        <v>-516772.537772073</v>
      </c>
      <c r="J209">
        <f>+SUMIFS(das_tank_inventories_daily!$M:$M,das_tank_inventories_daily!$C:$C,calculations!$B209,das_tank_inventories_daily!$H:$H,calculations!J$1)</f>
        <v>-18835.907183507501</v>
      </c>
      <c r="K209">
        <f>+SUMIFS(das_tank_inventories_daily!$M:$M,das_tank_inventories_daily!$C:$C,calculations!$B209,das_tank_inventories_daily!$H:$H,calculations!K$1)</f>
        <v>240950.61760367901</v>
      </c>
      <c r="L209">
        <f>+SUMIFS(das_tank_inventories_daily!$M:$M,das_tank_inventories_daily!$C:$C,calculations!$B209,das_tank_inventories_daily!$H:$H,calculations!L$1)</f>
        <v>16237.067311476099</v>
      </c>
      <c r="M209">
        <f>+SUMIFS(das_tank_inventories_daily!$M:$M,das_tank_inventories_daily!$C:$C,calculations!$B209,das_tank_inventories_daily!$H:$H,calculations!M$1)</f>
        <v>4708.4532369031203</v>
      </c>
      <c r="N209">
        <f>+SUMIFS(das_tank_inventories_daily!$M:$M,das_tank_inventories_daily!$C:$C,calculations!$B209,das_tank_inventories_daily!$H:$H,calculations!N$1)</f>
        <v>107534.040679425</v>
      </c>
      <c r="O209">
        <f>+SUMIFS(das_tank_inventories_daily!$M:$M,das_tank_inventories_daily!$C:$C,calculations!$B209,das_tank_inventories_daily!$H:$H,calculations!O$1)</f>
        <v>13114.675468097201</v>
      </c>
      <c r="P209">
        <f>+SUMIFS(das_tank_inventories_daily!$M:$M,das_tank_inventories_daily!$C:$C,calculations!$B209,das_tank_inventories_daily!$H:$H,calculations!P$1)</f>
        <v>466602.10127103701</v>
      </c>
      <c r="Q209">
        <f>+SUMIFS(das_tank_inventories_daily!$M:$M,das_tank_inventories_daily!$C:$C,calculations!$B209,das_tank_inventories_daily!$H:$H,calculations!Q$1)</f>
        <v>0</v>
      </c>
      <c r="R209">
        <f>+SUMIFS(das_tank_inventories_daily!$M:$M,das_tank_inventories_daily!$C:$C,calculations!$B209,das_tank_inventories_daily!$H:$H,calculations!R$1)</f>
        <v>339315.18986796797</v>
      </c>
      <c r="S209">
        <f>+SUMIFS(das_tank_inventories_daily!$M:$M,das_tank_inventories_daily!$C:$C,calculations!$B209,das_tank_inventories_daily!$H:$H,calculations!S$1)</f>
        <v>-389820.96306927101</v>
      </c>
      <c r="T209">
        <f>+SUMIFS(das_tank_inventories_daily!$M:$M,das_tank_inventories_daily!$C:$C,calculations!$B209,das_tank_inventories_daily!$H:$H,calculations!T$1)</f>
        <v>191.25510630750699</v>
      </c>
      <c r="U209">
        <f>+SUMIFS(das_tank_inventories_daily!$M:$M,das_tank_inventories_daily!$C:$C,calculations!$B209,das_tank_inventories_daily!$H:$H,calculations!U$1)</f>
        <v>-77901.791840394901</v>
      </c>
      <c r="W209" s="2">
        <f>+B209</f>
        <v>46230.999988425923</v>
      </c>
      <c r="X209" s="3">
        <f>+SUMIFS(C209:U209,C209:U209,"&lt;0")</f>
        <v>-1298326.0946142385</v>
      </c>
      <c r="Y209" s="3">
        <f>+SUMIFS(C209:U209,C209:U209,"&lt;0")</f>
        <v>-1298326.0946142385</v>
      </c>
      <c r="Z209" s="3">
        <f t="shared" ref="Z209" si="100">+Y209+X209</f>
        <v>-2596652.189228477</v>
      </c>
      <c r="AB209" s="2">
        <f>+B209</f>
        <v>46230.999988425923</v>
      </c>
      <c r="AC209" s="3">
        <f t="shared" si="95"/>
        <v>-432775.36487141281</v>
      </c>
      <c r="AD209" s="3">
        <f t="shared" si="96"/>
        <v>399442.73789453431</v>
      </c>
      <c r="AE209" s="3">
        <f t="shared" si="98"/>
        <v>-33332.626976878499</v>
      </c>
      <c r="AH209" s="2">
        <f t="shared" si="78"/>
        <v>46230.999988425923</v>
      </c>
      <c r="AI209" s="4" t="e">
        <f>+AI208+AC209</f>
        <v>#DIV/0!</v>
      </c>
      <c r="AJ209" s="4" t="e">
        <f>+AJ208+AD209</f>
        <v>#DIV/0!</v>
      </c>
      <c r="AK209" s="4">
        <f>+AK208+AE209</f>
        <v>-921484.25661051192</v>
      </c>
    </row>
    <row r="210" spans="2:37" x14ac:dyDescent="0.25">
      <c r="B210" s="1"/>
      <c r="AB210" s="2"/>
      <c r="AC210" s="3" t="e">
        <f t="shared" si="95"/>
        <v>#DIV/0!</v>
      </c>
      <c r="AD210" s="3" t="e">
        <f t="shared" si="96"/>
        <v>#DIV/0!</v>
      </c>
      <c r="AE210" s="3"/>
      <c r="AH210" s="2">
        <f t="shared" si="78"/>
        <v>0</v>
      </c>
      <c r="AI210" s="4" t="e">
        <f t="shared" si="79"/>
        <v>#DIV/0!</v>
      </c>
      <c r="AJ210" s="4" t="e">
        <f t="shared" si="80"/>
        <v>#DIV/0!</v>
      </c>
      <c r="AK210" s="4">
        <f t="shared" si="81"/>
        <v>-921484.25661051192</v>
      </c>
    </row>
    <row r="211" spans="2:37" x14ac:dyDescent="0.25">
      <c r="B211" s="1"/>
      <c r="AB211" s="2"/>
      <c r="AC211" s="3" t="e">
        <f t="shared" si="95"/>
        <v>#DIV/0!</v>
      </c>
      <c r="AD211" s="3" t="e">
        <f t="shared" si="96"/>
        <v>#DIV/0!</v>
      </c>
      <c r="AE211" s="3"/>
      <c r="AH211" s="2">
        <f t="shared" si="78"/>
        <v>0</v>
      </c>
      <c r="AI211" s="4" t="e">
        <f t="shared" si="79"/>
        <v>#DIV/0!</v>
      </c>
      <c r="AJ211" s="4" t="e">
        <f t="shared" si="80"/>
        <v>#DIV/0!</v>
      </c>
      <c r="AK211" s="4">
        <f t="shared" si="81"/>
        <v>-921484.25661051192</v>
      </c>
    </row>
    <row r="212" spans="2:37" x14ac:dyDescent="0.25">
      <c r="B212" s="1">
        <v>46233.999988425923</v>
      </c>
      <c r="C212">
        <f>+SUMIFS(das_tank_inventories_daily!$M:$M,das_tank_inventories_daily!$C:$C,calculations!$B212,das_tank_inventories_daily!$H:$H,calculations!C$1)</f>
        <v>3975.3255391591201</v>
      </c>
      <c r="D212">
        <f>+SUMIFS(das_tank_inventories_daily!$M:$M,das_tank_inventories_daily!$C:$C,calculations!$B212,das_tank_inventories_daily!$H:$H,calculations!D$1)</f>
        <v>-3559.2913593829699</v>
      </c>
      <c r="E212">
        <f>+SUMIFS(das_tank_inventories_daily!$M:$M,das_tank_inventories_daily!$C:$C,calculations!$B212,das_tank_inventories_daily!$H:$H,calculations!E$1)</f>
        <v>8203.5136944057795</v>
      </c>
      <c r="F212">
        <f>+SUMIFS(das_tank_inventories_daily!$M:$M,das_tank_inventories_daily!$C:$C,calculations!$B212,das_tank_inventories_daily!$H:$H,calculations!F$1)</f>
        <v>-3128.9694829749601</v>
      </c>
      <c r="G212">
        <f>+SUMIFS(das_tank_inventories_daily!$M:$M,das_tank_inventories_daily!$C:$C,calculations!$B212,das_tank_inventories_daily!$H:$H,calculations!G$1)</f>
        <v>12276.135719620899</v>
      </c>
      <c r="H212">
        <f>+SUMIFS(das_tank_inventories_daily!$M:$M,das_tank_inventories_daily!$C:$C,calculations!$B212,das_tank_inventories_daily!$H:$H,calculations!H$1)</f>
        <v>-25639.542657742601</v>
      </c>
      <c r="I212">
        <f>+SUMIFS(das_tank_inventories_daily!$M:$M,das_tank_inventories_daily!$C:$C,calculations!$B212,das_tank_inventories_daily!$H:$H,calculations!I$1)</f>
        <v>140116.85122673199</v>
      </c>
      <c r="J212">
        <f>+SUMIFS(das_tank_inventories_daily!$M:$M,das_tank_inventories_daily!$C:$C,calculations!$B212,das_tank_inventories_daily!$H:$H,calculations!J$1)</f>
        <v>-3896.8096508725998</v>
      </c>
      <c r="K212">
        <f>+SUMIFS(das_tank_inventories_daily!$M:$M,das_tank_inventories_daily!$C:$C,calculations!$B212,das_tank_inventories_daily!$H:$H,calculations!K$1)</f>
        <v>15755.792132103001</v>
      </c>
      <c r="L212">
        <f>+SUMIFS(das_tank_inventories_daily!$M:$M,das_tank_inventories_daily!$C:$C,calculations!$B212,das_tank_inventories_daily!$H:$H,calculations!L$1)</f>
        <v>-20550.904193693499</v>
      </c>
      <c r="M212">
        <f>+SUMIFS(das_tank_inventories_daily!$M:$M,das_tank_inventories_daily!$C:$C,calculations!$B212,das_tank_inventories_daily!$H:$H,calculations!M$1)</f>
        <v>-7776.8505440589797</v>
      </c>
      <c r="N212">
        <f>+SUMIFS(das_tank_inventories_daily!$M:$M,das_tank_inventories_daily!$C:$C,calculations!$B212,das_tank_inventories_daily!$H:$H,calculations!N$1)</f>
        <v>168235.96329325601</v>
      </c>
      <c r="O212">
        <f>+SUMIFS(das_tank_inventories_daily!$M:$M,das_tank_inventories_daily!$C:$C,calculations!$B212,das_tank_inventories_daily!$H:$H,calculations!O$1)</f>
        <v>-13114.675468097201</v>
      </c>
      <c r="P212">
        <f>+SUMIFS(das_tank_inventories_daily!$M:$M,das_tank_inventories_daily!$C:$C,calculations!$B212,das_tank_inventories_daily!$H:$H,calculations!P$1)</f>
        <v>-11504.898648071099</v>
      </c>
      <c r="Q212">
        <f>+SUMIFS(das_tank_inventories_daily!$M:$M,das_tank_inventories_daily!$C:$C,calculations!$B212,das_tank_inventories_daily!$H:$H,calculations!Q$1)</f>
        <v>0</v>
      </c>
      <c r="R212">
        <f>+SUMIFS(das_tank_inventories_daily!$M:$M,das_tank_inventories_daily!$C:$C,calculations!$B212,das_tank_inventories_daily!$H:$H,calculations!R$1)</f>
        <v>-119171.655114376</v>
      </c>
      <c r="S212">
        <f>+SUMIFS(das_tank_inventories_daily!$M:$M,das_tank_inventories_daily!$C:$C,calculations!$B212,das_tank_inventories_daily!$H:$H,calculations!S$1)</f>
        <v>298859.92799668998</v>
      </c>
      <c r="T212">
        <f>+SUMIFS(das_tank_inventories_daily!$M:$M,das_tank_inventories_daily!$C:$C,calculations!$B212,das_tank_inventories_daily!$H:$H,calculations!T$1)</f>
        <v>-3671.9241890725002</v>
      </c>
      <c r="U212">
        <f>+SUMIFS(das_tank_inventories_daily!$M:$M,das_tank_inventories_daily!$C:$C,calculations!$B212,das_tank_inventories_daily!$H:$H,calculations!U$1)</f>
        <v>235404.89845146501</v>
      </c>
      <c r="W212" s="2">
        <f>+B212</f>
        <v>46233.999988425923</v>
      </c>
      <c r="X212" s="3">
        <f>+SUMIFS(C212:U212,C212:U212,"&lt;0")</f>
        <v>-212015.5213083424</v>
      </c>
      <c r="Y212" s="3">
        <f>+SUMIFS(C212:U212,C212:U212,"&lt;0")</f>
        <v>-212015.5213083424</v>
      </c>
      <c r="Z212" s="3">
        <f t="shared" ref="Z212" si="101">+Y212+X212</f>
        <v>-424031.0426166848</v>
      </c>
      <c r="AB212" s="2">
        <f>+B212</f>
        <v>46233.999988425923</v>
      </c>
      <c r="AC212" s="3">
        <f t="shared" si="95"/>
        <v>-70671.840436114129</v>
      </c>
      <c r="AD212" s="3">
        <f t="shared" si="96"/>
        <v>294276.13601781055</v>
      </c>
      <c r="AE212" s="3">
        <f t="shared" si="98"/>
        <v>223604.29558169644</v>
      </c>
      <c r="AH212" s="2">
        <f t="shared" si="78"/>
        <v>46233.999988425923</v>
      </c>
      <c r="AI212" s="4" t="e">
        <f>+AI211+AC212</f>
        <v>#DIV/0!</v>
      </c>
      <c r="AJ212" s="4" t="e">
        <f>+AJ211+AD212</f>
        <v>#DIV/0!</v>
      </c>
      <c r="AK212" s="4">
        <f>+AK211+AE212</f>
        <v>-697879.96102881548</v>
      </c>
    </row>
    <row r="213" spans="2:37" x14ac:dyDescent="0.25">
      <c r="B213" s="1"/>
      <c r="AB213" s="2"/>
      <c r="AC213" s="3" t="e">
        <f t="shared" si="95"/>
        <v>#DIV/0!</v>
      </c>
      <c r="AD213" s="3" t="e">
        <f t="shared" si="96"/>
        <v>#DIV/0!</v>
      </c>
      <c r="AE213" s="3"/>
      <c r="AH213" s="2">
        <f t="shared" si="78"/>
        <v>0</v>
      </c>
      <c r="AI213" s="4" t="e">
        <f t="shared" si="79"/>
        <v>#DIV/0!</v>
      </c>
      <c r="AJ213" s="4" t="e">
        <f t="shared" si="80"/>
        <v>#DIV/0!</v>
      </c>
      <c r="AK213" s="4">
        <f t="shared" si="81"/>
        <v>-697879.96102881548</v>
      </c>
    </row>
    <row r="214" spans="2:37" x14ac:dyDescent="0.25">
      <c r="B214" s="1"/>
      <c r="AB214" s="2"/>
      <c r="AC214" s="3" t="e">
        <f t="shared" si="95"/>
        <v>#DIV/0!</v>
      </c>
      <c r="AD214" s="3" t="e">
        <f t="shared" si="96"/>
        <v>#DIV/0!</v>
      </c>
      <c r="AE214" s="3"/>
      <c r="AH214" s="2">
        <f t="shared" si="78"/>
        <v>0</v>
      </c>
      <c r="AI214" s="4" t="e">
        <f t="shared" si="79"/>
        <v>#DIV/0!</v>
      </c>
      <c r="AJ214" s="4" t="e">
        <f t="shared" si="80"/>
        <v>#DIV/0!</v>
      </c>
      <c r="AK214" s="4">
        <f t="shared" si="81"/>
        <v>-697879.96102881548</v>
      </c>
    </row>
    <row r="215" spans="2:37" x14ac:dyDescent="0.25">
      <c r="B215" s="1">
        <v>46236.999988425923</v>
      </c>
      <c r="C215">
        <f>+SUMIFS(das_tank_inventories_daily!$M:$M,das_tank_inventories_daily!$C:$C,calculations!$B215,das_tank_inventories_daily!$H:$H,calculations!C$1)</f>
        <v>-6520.5723150144904</v>
      </c>
      <c r="D215">
        <f>+SUMIFS(das_tank_inventories_daily!$M:$M,das_tank_inventories_daily!$C:$C,calculations!$B215,das_tank_inventories_daily!$H:$H,calculations!D$1)</f>
        <v>3144.2546963398299</v>
      </c>
      <c r="E215">
        <f>+SUMIFS(das_tank_inventories_daily!$M:$M,das_tank_inventories_daily!$C:$C,calculations!$B215,das_tank_inventories_daily!$H:$H,calculations!E$1)</f>
        <v>-19475.574669912399</v>
      </c>
      <c r="F215">
        <f>+SUMIFS(das_tank_inventories_daily!$M:$M,das_tank_inventories_daily!$C:$C,calculations!$B215,das_tank_inventories_daily!$H:$H,calculations!F$1)</f>
        <v>3128.9694829749601</v>
      </c>
      <c r="G215">
        <f>+SUMIFS(das_tank_inventories_daily!$M:$M,das_tank_inventories_daily!$C:$C,calculations!$B215,das_tank_inventories_daily!$H:$H,calculations!G$1)</f>
        <v>-14837.6283008503</v>
      </c>
      <c r="H215">
        <f>+SUMIFS(das_tank_inventories_daily!$M:$M,das_tank_inventories_daily!$C:$C,calculations!$B215,das_tank_inventories_daily!$H:$H,calculations!H$1)</f>
        <v>413089.256346362</v>
      </c>
      <c r="I215">
        <f>+SUMIFS(das_tank_inventories_daily!$M:$M,das_tank_inventories_daily!$C:$C,calculations!$B215,das_tank_inventories_daily!$H:$H,calculations!I$1)</f>
        <v>359790.20360803697</v>
      </c>
      <c r="J215">
        <f>+SUMIFS(das_tank_inventories_daily!$M:$M,das_tank_inventories_daily!$C:$C,calculations!$B215,das_tank_inventories_daily!$H:$H,calculations!J$1)</f>
        <v>-376842.40757580701</v>
      </c>
      <c r="K215">
        <f>+SUMIFS(das_tank_inventories_daily!$M:$M,das_tank_inventories_daily!$C:$C,calculations!$B215,das_tank_inventories_daily!$H:$H,calculations!K$1)</f>
        <v>-17844.433170041499</v>
      </c>
      <c r="L215">
        <f>+SUMIFS(das_tank_inventories_daily!$M:$M,das_tank_inventories_daily!$C:$C,calculations!$B215,das_tank_inventories_daily!$H:$H,calculations!L$1)</f>
        <v>0</v>
      </c>
      <c r="M215">
        <f>+SUMIFS(das_tank_inventories_daily!$M:$M,das_tank_inventories_daily!$C:$C,calculations!$B215,das_tank_inventories_daily!$H:$H,calculations!M$1)</f>
        <v>2674.4227820074302</v>
      </c>
      <c r="N215">
        <f>+SUMIFS(das_tank_inventories_daily!$M:$M,das_tank_inventories_daily!$C:$C,calculations!$B215,das_tank_inventories_daily!$H:$H,calculations!N$1)</f>
        <v>-371123.61631229997</v>
      </c>
      <c r="O215">
        <f>+SUMIFS(das_tank_inventories_daily!$M:$M,das_tank_inventories_daily!$C:$C,calculations!$B215,das_tank_inventories_daily!$H:$H,calculations!O$1)</f>
        <v>217996.37968409699</v>
      </c>
      <c r="P215">
        <f>+SUMIFS(das_tank_inventories_daily!$M:$M,das_tank_inventories_daily!$C:$C,calculations!$B215,das_tank_inventories_daily!$H:$H,calculations!P$1)</f>
        <v>10766.549295819001</v>
      </c>
      <c r="Q215">
        <f>+SUMIFS(das_tank_inventories_daily!$M:$M,das_tank_inventories_daily!$C:$C,calculations!$B215,das_tank_inventories_daily!$H:$H,calculations!Q$1)</f>
        <v>0</v>
      </c>
      <c r="R215">
        <f>+SUMIFS(das_tank_inventories_daily!$M:$M,das_tank_inventories_daily!$C:$C,calculations!$B215,das_tank_inventories_daily!$H:$H,calculations!R$1)</f>
        <v>315753.00810876099</v>
      </c>
      <c r="S215">
        <f>+SUMIFS(das_tank_inventories_daily!$M:$M,das_tank_inventories_daily!$C:$C,calculations!$B215,das_tank_inventories_daily!$H:$H,calculations!S$1)</f>
        <v>81973.233530186102</v>
      </c>
      <c r="T215">
        <f>+SUMIFS(das_tank_inventories_daily!$M:$M,das_tank_inventories_daily!$C:$C,calculations!$B215,das_tank_inventories_daily!$H:$H,calculations!T$1)</f>
        <v>993.26424147945295</v>
      </c>
      <c r="U215">
        <f>+SUMIFS(das_tank_inventories_daily!$M:$M,das_tank_inventories_daily!$C:$C,calculations!$B215,das_tank_inventories_daily!$H:$H,calculations!U$1)</f>
        <v>88680.961439499195</v>
      </c>
      <c r="W215" s="2">
        <f>+B215</f>
        <v>46236.999988425923</v>
      </c>
      <c r="X215" s="3">
        <f>+SUMIFS(C215:U215,C215:U215,"&lt;0")</f>
        <v>-806644.23234392563</v>
      </c>
      <c r="Y215" s="3">
        <f>+SUMIFS(C215:U215,C215:U215,"&lt;0")</f>
        <v>-806644.23234392563</v>
      </c>
      <c r="Z215" s="3">
        <f t="shared" ref="Z215" si="102">+Y215+X215</f>
        <v>-1613288.4646878513</v>
      </c>
      <c r="AB215" s="2">
        <f>+B215</f>
        <v>46236.999988425923</v>
      </c>
      <c r="AC215" s="3">
        <f t="shared" si="95"/>
        <v>-268881.41078130854</v>
      </c>
      <c r="AD215" s="3">
        <f t="shared" si="96"/>
        <v>499330.16773852095</v>
      </c>
      <c r="AE215" s="3">
        <f t="shared" si="98"/>
        <v>230448.7569572124</v>
      </c>
      <c r="AH215" s="2">
        <f t="shared" si="78"/>
        <v>46236.999988425923</v>
      </c>
      <c r="AI215" s="4" t="e">
        <f>+AI214+AC215</f>
        <v>#DIV/0!</v>
      </c>
      <c r="AJ215" s="4" t="e">
        <f>+AJ214+AD215</f>
        <v>#DIV/0!</v>
      </c>
      <c r="AK215" s="4">
        <f>+AK214+AE215</f>
        <v>-467431.20407160308</v>
      </c>
    </row>
    <row r="216" spans="2:37" x14ac:dyDescent="0.25">
      <c r="B216" s="1"/>
      <c r="AB216" s="2"/>
      <c r="AC216" s="3" t="e">
        <f t="shared" si="95"/>
        <v>#DIV/0!</v>
      </c>
      <c r="AD216" s="3" t="e">
        <f t="shared" si="96"/>
        <v>#DIV/0!</v>
      </c>
      <c r="AE216" s="3"/>
      <c r="AH216" s="2">
        <f t="shared" si="78"/>
        <v>0</v>
      </c>
      <c r="AI216" s="4" t="e">
        <f t="shared" si="79"/>
        <v>#DIV/0!</v>
      </c>
      <c r="AJ216" s="4" t="e">
        <f t="shared" si="80"/>
        <v>#DIV/0!</v>
      </c>
      <c r="AK216" s="4">
        <f t="shared" si="81"/>
        <v>-467431.20407160308</v>
      </c>
    </row>
    <row r="217" spans="2:37" x14ac:dyDescent="0.25">
      <c r="B217" s="1"/>
      <c r="AB217" s="2"/>
      <c r="AC217" s="3" t="e">
        <f t="shared" si="95"/>
        <v>#DIV/0!</v>
      </c>
      <c r="AD217" s="3" t="e">
        <f t="shared" si="96"/>
        <v>#DIV/0!</v>
      </c>
      <c r="AE217" s="3"/>
      <c r="AH217" s="2">
        <f t="shared" si="78"/>
        <v>0</v>
      </c>
      <c r="AI217" s="4" t="e">
        <f t="shared" si="79"/>
        <v>#DIV/0!</v>
      </c>
      <c r="AJ217" s="4" t="e">
        <f t="shared" si="80"/>
        <v>#DIV/0!</v>
      </c>
      <c r="AK217" s="4">
        <f t="shared" si="81"/>
        <v>-467431.20407160308</v>
      </c>
    </row>
    <row r="218" spans="2:37" x14ac:dyDescent="0.25">
      <c r="B218" s="1">
        <v>46239.999988425923</v>
      </c>
      <c r="C218">
        <f>+SUMIFS(das_tank_inventories_daily!$M:$M,das_tank_inventories_daily!$C:$C,calculations!$B218,das_tank_inventories_daily!$H:$H,calculations!C$1)</f>
        <v>5685.3197694289502</v>
      </c>
      <c r="D218">
        <f>+SUMIFS(das_tank_inventories_daily!$M:$M,das_tank_inventories_daily!$C:$C,calculations!$B218,das_tank_inventories_daily!$H:$H,calculations!D$1)</f>
        <v>-990.18393440270995</v>
      </c>
      <c r="E218">
        <f>+SUMIFS(das_tank_inventories_daily!$M:$M,das_tank_inventories_daily!$C:$C,calculations!$B218,das_tank_inventories_daily!$H:$H,calculations!E$1)</f>
        <v>16539.831840540599</v>
      </c>
      <c r="F218">
        <f>+SUMIFS(das_tank_inventories_daily!$M:$M,das_tank_inventories_daily!$C:$C,calculations!$B218,das_tank_inventories_daily!$H:$H,calculations!F$1)</f>
        <v>-1953.9329473252201</v>
      </c>
      <c r="G218">
        <f>+SUMIFS(das_tank_inventories_daily!$M:$M,das_tank_inventories_daily!$C:$C,calculations!$B218,das_tank_inventories_daily!$H:$H,calculations!G$1)</f>
        <v>16445.5971193267</v>
      </c>
      <c r="H218">
        <f>+SUMIFS(das_tank_inventories_daily!$M:$M,das_tank_inventories_daily!$C:$C,calculations!$B218,das_tank_inventories_daily!$H:$H,calculations!H$1)</f>
        <v>-13019.031775351899</v>
      </c>
      <c r="I218">
        <f>+SUMIFS(das_tank_inventories_daily!$M:$M,das_tank_inventories_daily!$C:$C,calculations!$B218,das_tank_inventories_daily!$H:$H,calculations!I$1)</f>
        <v>-8231.02717326936</v>
      </c>
      <c r="J218">
        <f>+SUMIFS(das_tank_inventories_daily!$M:$M,das_tank_inventories_daily!$C:$C,calculations!$B218,das_tank_inventories_daily!$H:$H,calculations!J$1)</f>
        <v>222164.708203029</v>
      </c>
      <c r="K218">
        <f>+SUMIFS(das_tank_inventories_daily!$M:$M,das_tank_inventories_daily!$C:$C,calculations!$B218,das_tank_inventories_daily!$H:$H,calculations!K$1)</f>
        <v>21846.647616165101</v>
      </c>
      <c r="L218">
        <f>+SUMIFS(das_tank_inventories_daily!$M:$M,das_tank_inventories_daily!$C:$C,calculations!$B218,das_tank_inventories_daily!$H:$H,calculations!L$1)</f>
        <v>53.825063349213401</v>
      </c>
      <c r="M218">
        <f>+SUMIFS(das_tank_inventories_daily!$M:$M,das_tank_inventories_daily!$C:$C,calculations!$B218,das_tank_inventories_daily!$H:$H,calculations!M$1)</f>
        <v>-3567.0389576787702</v>
      </c>
      <c r="N218">
        <f>+SUMIFS(das_tank_inventories_daily!$M:$M,das_tank_inventories_daily!$C:$C,calculations!$B218,das_tank_inventories_daily!$H:$H,calculations!N$1)</f>
        <v>363874.85885986401</v>
      </c>
      <c r="O218">
        <f>+SUMIFS(das_tank_inventories_daily!$M:$M,das_tank_inventories_daily!$C:$C,calculations!$B218,das_tank_inventories_daily!$H:$H,calculations!O$1)</f>
        <v>-217996.37968409699</v>
      </c>
      <c r="P218">
        <f>+SUMIFS(das_tank_inventories_daily!$M:$M,das_tank_inventories_daily!$C:$C,calculations!$B218,das_tank_inventories_daily!$H:$H,calculations!P$1)</f>
        <v>-465863.75191878498</v>
      </c>
      <c r="Q218">
        <f>+SUMIFS(das_tank_inventories_daily!$M:$M,das_tank_inventories_daily!$C:$C,calculations!$B218,das_tank_inventories_daily!$H:$H,calculations!Q$1)</f>
        <v>0</v>
      </c>
      <c r="R218">
        <f>+SUMIFS(das_tank_inventories_daily!$M:$M,das_tank_inventories_daily!$C:$C,calculations!$B218,das_tank_inventories_daily!$H:$H,calculations!R$1)</f>
        <v>-480128.68285475997</v>
      </c>
      <c r="S218">
        <f>+SUMIFS(das_tank_inventories_daily!$M:$M,das_tank_inventories_daily!$C:$C,calculations!$B218,das_tank_inventories_daily!$H:$H,calculations!S$1)</f>
        <v>-176146.23362641799</v>
      </c>
      <c r="T218">
        <f>+SUMIFS(das_tank_inventories_daily!$M:$M,das_tank_inventories_daily!$C:$C,calculations!$B218,das_tank_inventories_daily!$H:$H,calculations!T$1)</f>
        <v>-829.62067264597795</v>
      </c>
      <c r="U218">
        <f>+SUMIFS(das_tank_inventories_daily!$M:$M,das_tank_inventories_daily!$C:$C,calculations!$B218,das_tank_inventories_daily!$H:$H,calculations!U$1)</f>
        <v>69307.122934227693</v>
      </c>
      <c r="W218" s="2">
        <f>+B218</f>
        <v>46239.999988425923</v>
      </c>
      <c r="X218" s="3">
        <f>+SUMIFS(C218:U218,C218:U218,"&lt;0")</f>
        <v>-1368725.883544734</v>
      </c>
      <c r="Y218" s="3">
        <f>+SUMIFS(C218:U218,C218:U218,"&lt;0")</f>
        <v>-1368725.883544734</v>
      </c>
      <c r="Z218" s="3">
        <f t="shared" ref="Z218" si="103">+Y218+X218</f>
        <v>-2737451.767089468</v>
      </c>
      <c r="AB218" s="2">
        <f>+B218</f>
        <v>46239.999988425923</v>
      </c>
      <c r="AC218" s="3">
        <f t="shared" si="95"/>
        <v>-456241.96118157799</v>
      </c>
      <c r="AD218" s="3">
        <f t="shared" si="96"/>
        <v>238639.3038019771</v>
      </c>
      <c r="AE218" s="3">
        <f t="shared" si="98"/>
        <v>-217602.65737960089</v>
      </c>
      <c r="AH218" s="2">
        <f t="shared" si="78"/>
        <v>46239.999988425923</v>
      </c>
      <c r="AI218" s="4" t="e">
        <f>+AI217+AC218</f>
        <v>#DIV/0!</v>
      </c>
      <c r="AJ218" s="4" t="e">
        <f>+AJ217+AD218</f>
        <v>#DIV/0!</v>
      </c>
      <c r="AK218" s="4">
        <f>+AK217+AE218</f>
        <v>-685033.86145120393</v>
      </c>
    </row>
    <row r="219" spans="2:37" x14ac:dyDescent="0.25">
      <c r="B219" s="1"/>
      <c r="AB219" s="2"/>
      <c r="AC219" s="3" t="e">
        <f t="shared" si="95"/>
        <v>#DIV/0!</v>
      </c>
      <c r="AD219" s="3" t="e">
        <f t="shared" si="96"/>
        <v>#DIV/0!</v>
      </c>
      <c r="AE219" s="3"/>
      <c r="AH219" s="2">
        <f t="shared" si="78"/>
        <v>0</v>
      </c>
      <c r="AI219" s="4" t="e">
        <f t="shared" si="79"/>
        <v>#DIV/0!</v>
      </c>
      <c r="AJ219" s="4" t="e">
        <f t="shared" si="80"/>
        <v>#DIV/0!</v>
      </c>
      <c r="AK219" s="4">
        <f t="shared" si="81"/>
        <v>-685033.86145120393</v>
      </c>
    </row>
    <row r="220" spans="2:37" x14ac:dyDescent="0.25">
      <c r="B220" s="1"/>
      <c r="AB220" s="2"/>
      <c r="AC220" s="3" t="e">
        <f t="shared" si="95"/>
        <v>#DIV/0!</v>
      </c>
      <c r="AD220" s="3" t="e">
        <f t="shared" si="96"/>
        <v>#DIV/0!</v>
      </c>
      <c r="AE220" s="3"/>
      <c r="AH220" s="2">
        <f t="shared" si="78"/>
        <v>0</v>
      </c>
      <c r="AI220" s="4" t="e">
        <f t="shared" si="79"/>
        <v>#DIV/0!</v>
      </c>
      <c r="AJ220" s="4" t="e">
        <f t="shared" si="80"/>
        <v>#DIV/0!</v>
      </c>
      <c r="AK220" s="4">
        <f t="shared" si="81"/>
        <v>-685033.86145120393</v>
      </c>
    </row>
    <row r="221" spans="2:37" x14ac:dyDescent="0.25">
      <c r="B221" s="1">
        <v>46242.999988425923</v>
      </c>
      <c r="C221">
        <f>+SUMIFS(das_tank_inventories_daily!$M:$M,das_tank_inventories_daily!$C:$C,calculations!$B221,das_tank_inventories_daily!$H:$H,calculations!C$1)</f>
        <v>-3322.0746275885599</v>
      </c>
      <c r="D221">
        <f>+SUMIFS(das_tank_inventories_daily!$M:$M,das_tank_inventories_daily!$C:$C,calculations!$B221,das_tank_inventories_daily!$H:$H,calculations!D$1)</f>
        <v>525.844982917886</v>
      </c>
      <c r="E221">
        <f>+SUMIFS(das_tank_inventories_daily!$M:$M,das_tank_inventories_daily!$C:$C,calculations!$B221,das_tank_inventories_daily!$H:$H,calculations!E$1)</f>
        <v>-17048.038402592501</v>
      </c>
      <c r="F221">
        <f>+SUMIFS(das_tank_inventories_daily!$M:$M,das_tank_inventories_daily!$C:$C,calculations!$B221,das_tank_inventories_daily!$H:$H,calculations!F$1)</f>
        <v>133.681572900677</v>
      </c>
      <c r="G221">
        <f>+SUMIFS(das_tank_inventories_daily!$M:$M,das_tank_inventories_daily!$C:$C,calculations!$B221,das_tank_inventories_daily!$H:$H,calculations!G$1)</f>
        <v>-13603.0720022487</v>
      </c>
      <c r="H221">
        <f>+SUMIFS(das_tank_inventories_daily!$M:$M,das_tank_inventories_daily!$C:$C,calculations!$B221,das_tank_inventories_daily!$H:$H,calculations!H$1)</f>
        <v>-430689.92957751901</v>
      </c>
      <c r="I221">
        <f>+SUMIFS(das_tank_inventories_daily!$M:$M,das_tank_inventories_daily!$C:$C,calculations!$B221,das_tank_inventories_daily!$H:$H,calculations!I$1)</f>
        <v>12343.238052794901</v>
      </c>
      <c r="J221">
        <f>+SUMIFS(das_tank_inventories_daily!$M:$M,das_tank_inventories_daily!$C:$C,calculations!$B221,das_tank_inventories_daily!$H:$H,calculations!J$1)</f>
        <v>-240116.79536933199</v>
      </c>
      <c r="K221">
        <f>+SUMIFS(das_tank_inventories_daily!$M:$M,das_tank_inventories_daily!$C:$C,calculations!$B221,das_tank_inventories_daily!$H:$H,calculations!K$1)</f>
        <v>-19504.543175728799</v>
      </c>
      <c r="L221">
        <f>+SUMIFS(das_tank_inventories_daily!$M:$M,das_tank_inventories_daily!$C:$C,calculations!$B221,das_tank_inventories_daily!$H:$H,calculations!L$1)</f>
        <v>-53.825063349213401</v>
      </c>
      <c r="M221">
        <f>+SUMIFS(das_tank_inventories_daily!$M:$M,das_tank_inventories_daily!$C:$C,calculations!$B221,das_tank_inventories_daily!$H:$H,calculations!M$1)</f>
        <v>3463.9916389155801</v>
      </c>
      <c r="N221">
        <f>+SUMIFS(das_tank_inventories_daily!$M:$M,das_tank_inventories_daily!$C:$C,calculations!$B221,das_tank_inventories_daily!$H:$H,calculations!N$1)</f>
        <v>-370548.375754938</v>
      </c>
      <c r="O221">
        <f>+SUMIFS(das_tank_inventories_daily!$M:$M,das_tank_inventories_daily!$C:$C,calculations!$B221,das_tank_inventories_daily!$H:$H,calculations!O$1)</f>
        <v>292385.56356856402</v>
      </c>
      <c r="P221">
        <f>+SUMIFS(das_tank_inventories_daily!$M:$M,das_tank_inventories_daily!$C:$C,calculations!$B221,das_tank_inventories_daily!$H:$H,calculations!P$1)</f>
        <v>464747.73310062499</v>
      </c>
      <c r="Q221">
        <f>+SUMIFS(das_tank_inventories_daily!$M:$M,das_tank_inventories_daily!$C:$C,calculations!$B221,das_tank_inventories_daily!$H:$H,calculations!Q$1)</f>
        <v>0</v>
      </c>
      <c r="R221">
        <f>+SUMIFS(das_tank_inventories_daily!$M:$M,das_tank_inventories_daily!$C:$C,calculations!$B221,das_tank_inventories_daily!$H:$H,calculations!R$1)</f>
        <v>-166022.93467585699</v>
      </c>
      <c r="S221">
        <f>+SUMIFS(das_tank_inventories_daily!$M:$M,das_tank_inventories_daily!$C:$C,calculations!$B221,das_tank_inventories_daily!$H:$H,calculations!S$1)</f>
        <v>-49606.717423217902</v>
      </c>
      <c r="T221">
        <f>+SUMIFS(das_tank_inventories_daily!$M:$M,das_tank_inventories_daily!$C:$C,calculations!$B221,das_tank_inventories_daily!$H:$H,calculations!T$1)</f>
        <v>969.92306958383404</v>
      </c>
      <c r="U221">
        <f>+SUMIFS(das_tank_inventories_daily!$M:$M,das_tank_inventories_daily!$C:$C,calculations!$B221,das_tank_inventories_daily!$H:$H,calculations!U$1)</f>
        <v>-390708.75214794901</v>
      </c>
      <c r="W221" s="2">
        <f>+B221</f>
        <v>46242.999988425923</v>
      </c>
      <c r="X221" s="3">
        <f>+SUMIFS(C221:U221,C221:U221,"&lt;0")</f>
        <v>-1701225.0582203206</v>
      </c>
      <c r="Y221" s="3">
        <f>+SUMIFS(C221:U221,C221:U221,"&lt;0")</f>
        <v>-1701225.0582203206</v>
      </c>
      <c r="Z221" s="3">
        <f t="shared" ref="Z221" si="104">+Y221+X221</f>
        <v>-3402450.1164406412</v>
      </c>
      <c r="AB221" s="2">
        <f>+B221</f>
        <v>46242.999988425923</v>
      </c>
      <c r="AC221" s="3">
        <f t="shared" si="95"/>
        <v>-567075.0194067735</v>
      </c>
      <c r="AD221" s="3">
        <f t="shared" si="96"/>
        <v>258189.99199543396</v>
      </c>
      <c r="AE221" s="3">
        <f t="shared" si="98"/>
        <v>-308885.02741133957</v>
      </c>
      <c r="AH221" s="2">
        <f t="shared" si="78"/>
        <v>46242.999988425923</v>
      </c>
      <c r="AI221" s="4" t="e">
        <f>+AI220+AC221</f>
        <v>#DIV/0!</v>
      </c>
      <c r="AJ221" s="4" t="e">
        <f>+AJ220+AD221</f>
        <v>#DIV/0!</v>
      </c>
      <c r="AK221" s="4">
        <f>+AK220+AE221</f>
        <v>-993918.88886254351</v>
      </c>
    </row>
    <row r="222" spans="2:37" x14ac:dyDescent="0.25">
      <c r="B222" s="1"/>
      <c r="AB222" s="2"/>
      <c r="AC222" s="3" t="e">
        <f t="shared" si="95"/>
        <v>#DIV/0!</v>
      </c>
      <c r="AD222" s="3" t="e">
        <f t="shared" si="96"/>
        <v>#DIV/0!</v>
      </c>
      <c r="AE222" s="3"/>
      <c r="AH222" s="2">
        <f t="shared" si="78"/>
        <v>0</v>
      </c>
      <c r="AI222" s="4" t="e">
        <f t="shared" si="79"/>
        <v>#DIV/0!</v>
      </c>
      <c r="AJ222" s="4" t="e">
        <f t="shared" si="80"/>
        <v>#DIV/0!</v>
      </c>
      <c r="AK222" s="4">
        <f t="shared" si="81"/>
        <v>-993918.88886254351</v>
      </c>
    </row>
    <row r="223" spans="2:37" x14ac:dyDescent="0.25">
      <c r="B223" s="1"/>
      <c r="AB223" s="2"/>
      <c r="AC223" s="3" t="e">
        <f t="shared" si="95"/>
        <v>#DIV/0!</v>
      </c>
      <c r="AD223" s="3" t="e">
        <f t="shared" si="96"/>
        <v>#DIV/0!</v>
      </c>
      <c r="AE223" s="3"/>
      <c r="AH223" s="2">
        <f t="shared" si="78"/>
        <v>0</v>
      </c>
      <c r="AI223" s="4" t="e">
        <f t="shared" si="79"/>
        <v>#DIV/0!</v>
      </c>
      <c r="AJ223" s="4" t="e">
        <f t="shared" si="80"/>
        <v>#DIV/0!</v>
      </c>
      <c r="AK223" s="4">
        <f t="shared" si="81"/>
        <v>-993918.88886254351</v>
      </c>
    </row>
    <row r="224" spans="2:37" x14ac:dyDescent="0.25">
      <c r="B224" s="1">
        <v>46245.999988425923</v>
      </c>
      <c r="C224">
        <f>+SUMIFS(das_tank_inventories_daily!$M:$M,das_tank_inventories_daily!$C:$C,calculations!$B224,das_tank_inventories_daily!$H:$H,calculations!C$1)</f>
        <v>2786.7892207782402</v>
      </c>
      <c r="D224">
        <f>+SUMIFS(das_tank_inventories_daily!$M:$M,das_tank_inventories_daily!$C:$C,calculations!$B224,das_tank_inventories_daily!$H:$H,calculations!D$1)</f>
        <v>-278.49588308614301</v>
      </c>
      <c r="E224">
        <f>+SUMIFS(das_tank_inventories_daily!$M:$M,das_tank_inventories_daily!$C:$C,calculations!$B224,das_tank_inventories_daily!$H:$H,calculations!E$1)</f>
        <v>-86229.551795888605</v>
      </c>
      <c r="F224">
        <f>+SUMIFS(das_tank_inventories_daily!$M:$M,das_tank_inventories_daily!$C:$C,calculations!$B224,das_tank_inventories_daily!$H:$H,calculations!F$1)</f>
        <v>-1910.02949870255</v>
      </c>
      <c r="G224">
        <f>+SUMIFS(das_tank_inventories_daily!$M:$M,das_tank_inventories_daily!$C:$C,calculations!$B224,das_tank_inventories_daily!$H:$H,calculations!G$1)</f>
        <v>12581.537452598899</v>
      </c>
      <c r="H224">
        <f>+SUMIFS(das_tank_inventories_daily!$M:$M,das_tank_inventories_daily!$C:$C,calculations!$B224,das_tank_inventories_daily!$H:$H,calculations!H$1)</f>
        <v>16529.704307273299</v>
      </c>
      <c r="I224">
        <f>+SUMIFS(das_tank_inventories_daily!$M:$M,das_tank_inventories_daily!$C:$C,calculations!$B224,das_tank_inventories_daily!$H:$H,calculations!I$1)</f>
        <v>-490644.99210385903</v>
      </c>
      <c r="J224">
        <f>+SUMIFS(das_tank_inventories_daily!$M:$M,das_tank_inventories_daily!$C:$C,calculations!$B224,das_tank_inventories_daily!$H:$H,calculations!J$1)</f>
        <v>0</v>
      </c>
      <c r="K224">
        <f>+SUMIFS(das_tank_inventories_daily!$M:$M,das_tank_inventories_daily!$C:$C,calculations!$B224,das_tank_inventories_daily!$H:$H,calculations!K$1)</f>
        <v>-625459.23637386097</v>
      </c>
      <c r="L224">
        <f>+SUMIFS(das_tank_inventories_daily!$M:$M,das_tank_inventories_daily!$C:$C,calculations!$B224,das_tank_inventories_daily!$H:$H,calculations!L$1)</f>
        <v>0</v>
      </c>
      <c r="M224">
        <f>+SUMIFS(das_tank_inventories_daily!$M:$M,das_tank_inventories_daily!$C:$C,calculations!$B224,das_tank_inventories_daily!$H:$H,calculations!M$1)</f>
        <v>-18755.759785124701</v>
      </c>
      <c r="N224">
        <f>+SUMIFS(das_tank_inventories_daily!$M:$M,das_tank_inventories_daily!$C:$C,calculations!$B224,das_tank_inventories_daily!$H:$H,calculations!N$1)</f>
        <v>374645.53758356202</v>
      </c>
      <c r="O224">
        <f>+SUMIFS(das_tank_inventories_daily!$M:$M,das_tank_inventories_daily!$C:$C,calculations!$B224,das_tank_inventories_daily!$H:$H,calculations!O$1)</f>
        <v>-292385.56356856402</v>
      </c>
      <c r="P224">
        <f>+SUMIFS(das_tank_inventories_daily!$M:$M,das_tank_inventories_daily!$C:$C,calculations!$B224,das_tank_inventories_daily!$H:$H,calculations!P$1)</f>
        <v>-464747.73310062499</v>
      </c>
      <c r="Q224">
        <f>+SUMIFS(das_tank_inventories_daily!$M:$M,das_tank_inventories_daily!$C:$C,calculations!$B224,das_tank_inventories_daily!$H:$H,calculations!Q$1)</f>
        <v>0</v>
      </c>
      <c r="R224">
        <f>+SUMIFS(das_tank_inventories_daily!$M:$M,das_tank_inventories_daily!$C:$C,calculations!$B224,das_tank_inventories_daily!$H:$H,calculations!R$1)</f>
        <v>502071.726980053</v>
      </c>
      <c r="S224">
        <f>+SUMIFS(das_tank_inventories_daily!$M:$M,das_tank_inventories_daily!$C:$C,calculations!$B224,das_tank_inventories_daily!$H:$H,calculations!S$1)</f>
        <v>-119947.87769127999</v>
      </c>
      <c r="T224">
        <f>+SUMIFS(das_tank_inventories_daily!$M:$M,das_tank_inventories_daily!$C:$C,calculations!$B224,das_tank_inventories_daily!$H:$H,calculations!T$1)</f>
        <v>-2742.8951227368002</v>
      </c>
      <c r="U224">
        <f>+SUMIFS(das_tank_inventories_daily!$M:$M,das_tank_inventories_daily!$C:$C,calculations!$B224,das_tank_inventories_daily!$H:$H,calculations!U$1)</f>
        <v>379990.13443574699</v>
      </c>
      <c r="W224" s="2">
        <f>+B224</f>
        <v>46245.999988425923</v>
      </c>
      <c r="X224" s="3">
        <f>+SUMIFS(C224:U224,C224:U224,"&lt;0")</f>
        <v>-2103102.1349237277</v>
      </c>
      <c r="Y224" s="3">
        <f>+SUMIFS(C224:U224,C224:U224,"&lt;0")</f>
        <v>-2103102.1349237277</v>
      </c>
      <c r="Z224" s="3">
        <f t="shared" ref="Z224" si="105">+Y224+X224</f>
        <v>-4206204.2698474554</v>
      </c>
      <c r="AB224" s="2">
        <f>+B224</f>
        <v>46245.999988425923</v>
      </c>
      <c r="AC224" s="3">
        <f t="shared" si="95"/>
        <v>-701034.04497457587</v>
      </c>
      <c r="AD224" s="3">
        <f t="shared" si="96"/>
        <v>429535.14332667086</v>
      </c>
      <c r="AE224" s="3">
        <f t="shared" si="98"/>
        <v>-271498.901647905</v>
      </c>
      <c r="AH224" s="2">
        <f t="shared" ref="AH224:AH225" si="106">+AB224</f>
        <v>46245.999988425923</v>
      </c>
      <c r="AI224" s="4" t="e">
        <f>+AI223+AC224</f>
        <v>#DIV/0!</v>
      </c>
      <c r="AJ224" s="4" t="e">
        <f>+AJ223+AD224</f>
        <v>#DIV/0!</v>
      </c>
      <c r="AK224" s="4">
        <f>+AK223+AE224</f>
        <v>-1265417.7905104486</v>
      </c>
    </row>
    <row r="225" spans="2:37" x14ac:dyDescent="0.25">
      <c r="B225" s="1"/>
      <c r="AB225" s="2"/>
      <c r="AC225" s="3"/>
      <c r="AD225" s="3"/>
      <c r="AE225" s="3"/>
      <c r="AH225" s="2">
        <f t="shared" si="106"/>
        <v>0</v>
      </c>
      <c r="AI225" s="4" t="e">
        <f t="shared" ref="AI225" si="107">+AI224+AC225</f>
        <v>#DIV/0!</v>
      </c>
      <c r="AJ225" s="4" t="e">
        <f t="shared" ref="AJ225" si="108">+AJ224+AD225</f>
        <v>#DIV/0!</v>
      </c>
      <c r="AK225" s="4">
        <f t="shared" ref="AK225" si="109">+AK224+AE225</f>
        <v>-1265417.7905104486</v>
      </c>
    </row>
  </sheetData>
  <autoFilter ref="B1:U225" xr:uid="{4E6DB5EC-507C-4B80-B3A0-F882AA58E8D7}">
    <sortState xmlns:xlrd2="http://schemas.microsoft.com/office/spreadsheetml/2017/richdata2" ref="B2:U4257">
      <sortCondition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0E74-33EB-4E13-9E0C-82E20ABA6815}">
  <dimension ref="C1:G78"/>
  <sheetViews>
    <sheetView tabSelected="1" topLeftCell="A40" workbookViewId="0">
      <selection activeCell="G67" sqref="G67"/>
    </sheetView>
  </sheetViews>
  <sheetFormatPr defaultRowHeight="15" x14ac:dyDescent="0.25"/>
  <cols>
    <col min="3" max="3" width="12" bestFit="1" customWidth="1"/>
    <col min="5" max="5" width="9.140625" style="5"/>
  </cols>
  <sheetData>
    <row r="1" spans="3:6" x14ac:dyDescent="0.25">
      <c r="C1" t="s">
        <v>39</v>
      </c>
      <c r="D1" t="s">
        <v>36</v>
      </c>
      <c r="E1" s="5" t="s">
        <v>40</v>
      </c>
      <c r="F1" t="s">
        <v>41</v>
      </c>
    </row>
    <row r="2" spans="3:6" x14ac:dyDescent="0.25">
      <c r="C2" s="2">
        <v>46025.999988425923</v>
      </c>
      <c r="D2">
        <v>-1209323.7211438168</v>
      </c>
      <c r="E2" s="5">
        <f>D2/1000</f>
        <v>-1209.3237211438168</v>
      </c>
    </row>
    <row r="3" spans="3:6" x14ac:dyDescent="0.25">
      <c r="C3" s="2">
        <v>46028.999988425923</v>
      </c>
      <c r="D3">
        <v>-2238216.7880719481</v>
      </c>
      <c r="E3" s="5">
        <f t="shared" ref="E3:E66" si="0">D3/1000</f>
        <v>-2238.216788071948</v>
      </c>
    </row>
    <row r="4" spans="3:6" x14ac:dyDescent="0.25">
      <c r="C4" s="2">
        <v>46031.999988425923</v>
      </c>
      <c r="D4">
        <v>-630031.27155166632</v>
      </c>
      <c r="E4" s="5">
        <f t="shared" si="0"/>
        <v>-630.03127155166635</v>
      </c>
    </row>
    <row r="5" spans="3:6" x14ac:dyDescent="0.25">
      <c r="C5" s="2">
        <v>46034.999988425923</v>
      </c>
      <c r="D5">
        <v>-1523795.2686680097</v>
      </c>
      <c r="E5" s="5">
        <f t="shared" si="0"/>
        <v>-1523.7952686680096</v>
      </c>
    </row>
    <row r="6" spans="3:6" x14ac:dyDescent="0.25">
      <c r="C6" s="2">
        <v>46037.999988425923</v>
      </c>
      <c r="D6">
        <v>-740497.71313650429</v>
      </c>
      <c r="E6" s="5">
        <f t="shared" si="0"/>
        <v>-740.49771313650433</v>
      </c>
    </row>
    <row r="7" spans="3:6" x14ac:dyDescent="0.25">
      <c r="C7" s="2">
        <v>46040.999988425923</v>
      </c>
      <c r="D7">
        <v>-2288252.2989801141</v>
      </c>
      <c r="E7" s="5">
        <f t="shared" si="0"/>
        <v>-2288.2522989801141</v>
      </c>
    </row>
    <row r="8" spans="3:6" x14ac:dyDescent="0.25">
      <c r="C8" s="2">
        <v>46046.999988425923</v>
      </c>
      <c r="D8">
        <v>-925355.22016673256</v>
      </c>
      <c r="E8" s="5">
        <f t="shared" si="0"/>
        <v>-925.35522016673258</v>
      </c>
    </row>
    <row r="9" spans="3:6" x14ac:dyDescent="0.25">
      <c r="C9" s="2">
        <v>46049.999988425923</v>
      </c>
      <c r="D9">
        <v>-950796.53031986265</v>
      </c>
      <c r="E9" s="5">
        <f t="shared" si="0"/>
        <v>-950.79653031986265</v>
      </c>
    </row>
    <row r="10" spans="3:6" x14ac:dyDescent="0.25">
      <c r="C10" s="2">
        <v>46052.999988425923</v>
      </c>
      <c r="D10">
        <v>-1925909.8610906901</v>
      </c>
      <c r="E10" s="5">
        <f t="shared" si="0"/>
        <v>-1925.9098610906901</v>
      </c>
    </row>
    <row r="11" spans="3:6" x14ac:dyDescent="0.25">
      <c r="C11" s="2">
        <v>46055.999988425923</v>
      </c>
      <c r="D11">
        <v>-1563606.5693169432</v>
      </c>
      <c r="E11" s="5">
        <f t="shared" si="0"/>
        <v>-1563.6065693169433</v>
      </c>
    </row>
    <row r="12" spans="3:6" x14ac:dyDescent="0.25">
      <c r="C12" s="2">
        <v>46058.999988425923</v>
      </c>
      <c r="D12">
        <v>-1915287.8159642362</v>
      </c>
      <c r="E12" s="5">
        <f t="shared" si="0"/>
        <v>-1915.2878159642362</v>
      </c>
    </row>
    <row r="13" spans="3:6" x14ac:dyDescent="0.25">
      <c r="C13" s="2">
        <v>46061.999988425923</v>
      </c>
      <c r="D13">
        <v>-1527739.8495086874</v>
      </c>
      <c r="E13" s="5">
        <f t="shared" si="0"/>
        <v>-1527.7398495086875</v>
      </c>
    </row>
    <row r="14" spans="3:6" x14ac:dyDescent="0.25">
      <c r="C14" s="2">
        <v>46064.999988425923</v>
      </c>
      <c r="D14">
        <v>-1529327.3375658148</v>
      </c>
      <c r="E14" s="5">
        <f t="shared" si="0"/>
        <v>-1529.3273375658148</v>
      </c>
    </row>
    <row r="15" spans="3:6" x14ac:dyDescent="0.25">
      <c r="C15" s="2">
        <v>46067.999988425923</v>
      </c>
      <c r="D15">
        <v>-1736408.8854064033</v>
      </c>
      <c r="E15" s="5">
        <f t="shared" si="0"/>
        <v>-1736.4088854064034</v>
      </c>
    </row>
    <row r="16" spans="3:6" x14ac:dyDescent="0.25">
      <c r="C16" s="2">
        <v>46070.999988425923</v>
      </c>
      <c r="D16">
        <v>-1772296.8684937395</v>
      </c>
      <c r="E16" s="5">
        <f t="shared" si="0"/>
        <v>-1772.2968684937396</v>
      </c>
    </row>
    <row r="17" spans="3:5" x14ac:dyDescent="0.25">
      <c r="C17" s="2">
        <v>46073.999988425923</v>
      </c>
      <c r="D17">
        <v>-1307205.6947739155</v>
      </c>
      <c r="E17" s="5">
        <f t="shared" si="0"/>
        <v>-1307.2056947739154</v>
      </c>
    </row>
    <row r="18" spans="3:5" x14ac:dyDescent="0.25">
      <c r="C18" s="2">
        <v>46076.999988425923</v>
      </c>
      <c r="D18">
        <v>-2171127.4778016759</v>
      </c>
      <c r="E18" s="5">
        <f t="shared" si="0"/>
        <v>-2171.1274778016759</v>
      </c>
    </row>
    <row r="19" spans="3:5" x14ac:dyDescent="0.25">
      <c r="C19" s="2">
        <v>46079.999988425923</v>
      </c>
      <c r="D19">
        <v>-879146.06010391063</v>
      </c>
      <c r="E19" s="5">
        <f t="shared" si="0"/>
        <v>-879.1460601039106</v>
      </c>
    </row>
    <row r="20" spans="3:5" x14ac:dyDescent="0.25">
      <c r="C20" s="2">
        <v>46082.999988425923</v>
      </c>
      <c r="D20">
        <v>-1684625.2332244767</v>
      </c>
      <c r="E20" s="5">
        <f t="shared" si="0"/>
        <v>-1684.6252332244767</v>
      </c>
    </row>
    <row r="21" spans="3:5" x14ac:dyDescent="0.25">
      <c r="C21" s="2">
        <v>46085.999988425923</v>
      </c>
      <c r="D21">
        <v>-1293958.5185581397</v>
      </c>
      <c r="E21" s="5">
        <f t="shared" si="0"/>
        <v>-1293.9585185581398</v>
      </c>
    </row>
    <row r="22" spans="3:5" x14ac:dyDescent="0.25">
      <c r="C22" s="2">
        <v>46088.999988425923</v>
      </c>
      <c r="D22">
        <v>-1037593.5498760835</v>
      </c>
      <c r="E22" s="5">
        <f t="shared" si="0"/>
        <v>-1037.5935498760834</v>
      </c>
    </row>
    <row r="23" spans="3:5" x14ac:dyDescent="0.25">
      <c r="C23" s="2">
        <v>46091.999988425923</v>
      </c>
      <c r="D23">
        <v>-411364.21257896908</v>
      </c>
      <c r="E23" s="5">
        <f t="shared" si="0"/>
        <v>-411.3642125789691</v>
      </c>
    </row>
    <row r="24" spans="3:5" x14ac:dyDescent="0.25">
      <c r="C24" s="2">
        <v>46094.999988425923</v>
      </c>
      <c r="D24">
        <v>-523580.00290799403</v>
      </c>
      <c r="E24" s="5">
        <f t="shared" si="0"/>
        <v>-523.58000290799407</v>
      </c>
    </row>
    <row r="25" spans="3:5" x14ac:dyDescent="0.25">
      <c r="C25" s="2">
        <v>46097.999988425923</v>
      </c>
      <c r="D25">
        <v>-210114.08926571015</v>
      </c>
      <c r="E25" s="5">
        <f t="shared" si="0"/>
        <v>-210.11408926571016</v>
      </c>
    </row>
    <row r="26" spans="3:5" x14ac:dyDescent="0.25">
      <c r="C26" s="2">
        <v>46100.999988425923</v>
      </c>
      <c r="D26">
        <v>-623334.20818547416</v>
      </c>
      <c r="E26" s="5">
        <f t="shared" si="0"/>
        <v>-623.33420818547415</v>
      </c>
    </row>
    <row r="27" spans="3:5" x14ac:dyDescent="0.25">
      <c r="C27" s="2">
        <v>46103.999988425923</v>
      </c>
      <c r="D27">
        <v>-826200.0592050869</v>
      </c>
      <c r="E27" s="5">
        <f t="shared" si="0"/>
        <v>-826.20005920508686</v>
      </c>
    </row>
    <row r="28" spans="3:5" x14ac:dyDescent="0.25">
      <c r="C28" s="2">
        <v>46106.999988425923</v>
      </c>
      <c r="D28">
        <v>-588729.93150423537</v>
      </c>
      <c r="E28" s="5">
        <f t="shared" si="0"/>
        <v>-588.72993150423542</v>
      </c>
    </row>
    <row r="29" spans="3:5" x14ac:dyDescent="0.25">
      <c r="C29" s="2">
        <v>46109.999988425923</v>
      </c>
      <c r="D29">
        <v>-504074.39294135239</v>
      </c>
      <c r="E29" s="5">
        <f t="shared" si="0"/>
        <v>-504.07439294135241</v>
      </c>
    </row>
    <row r="30" spans="3:5" x14ac:dyDescent="0.25">
      <c r="C30" s="2">
        <v>46112.999988425923</v>
      </c>
      <c r="D30">
        <v>-994209.45925145724</v>
      </c>
      <c r="E30" s="5">
        <f t="shared" si="0"/>
        <v>-994.20945925145725</v>
      </c>
    </row>
    <row r="31" spans="3:5" x14ac:dyDescent="0.25">
      <c r="C31" s="2">
        <v>46115.999988425923</v>
      </c>
      <c r="D31">
        <v>-134809.94612133096</v>
      </c>
      <c r="E31" s="5">
        <f t="shared" si="0"/>
        <v>-134.80994612133097</v>
      </c>
    </row>
    <row r="32" spans="3:5" x14ac:dyDescent="0.25">
      <c r="C32" s="2">
        <v>46118.999988425923</v>
      </c>
      <c r="D32">
        <v>-729228.40509327105</v>
      </c>
      <c r="E32" s="5">
        <f t="shared" si="0"/>
        <v>-729.22840509327102</v>
      </c>
    </row>
    <row r="33" spans="3:5" x14ac:dyDescent="0.25">
      <c r="C33" s="2">
        <v>46121.999988425923</v>
      </c>
      <c r="D33">
        <v>-500119.56853682944</v>
      </c>
      <c r="E33" s="5">
        <f t="shared" si="0"/>
        <v>-500.11956853682943</v>
      </c>
    </row>
    <row r="34" spans="3:5" x14ac:dyDescent="0.25">
      <c r="C34" s="2">
        <v>46124.999988425923</v>
      </c>
      <c r="D34">
        <v>-961894.13363873493</v>
      </c>
      <c r="E34" s="5">
        <f t="shared" si="0"/>
        <v>-961.89413363873496</v>
      </c>
    </row>
    <row r="35" spans="3:5" x14ac:dyDescent="0.25">
      <c r="C35" s="2">
        <v>46127.999988425923</v>
      </c>
      <c r="D35">
        <v>-528008.62140388635</v>
      </c>
      <c r="E35" s="5">
        <f t="shared" si="0"/>
        <v>-528.00862140388631</v>
      </c>
    </row>
    <row r="36" spans="3:5" x14ac:dyDescent="0.25">
      <c r="C36" s="2">
        <v>46130.999988425923</v>
      </c>
      <c r="D36">
        <v>-582694.13454161829</v>
      </c>
      <c r="E36" s="5">
        <f t="shared" si="0"/>
        <v>-582.69413454161827</v>
      </c>
    </row>
    <row r="37" spans="3:5" x14ac:dyDescent="0.25">
      <c r="C37" s="2">
        <v>46133.999988425923</v>
      </c>
      <c r="D37">
        <v>-1149245.7997616346</v>
      </c>
      <c r="E37" s="5">
        <f t="shared" si="0"/>
        <v>-1149.2457997616345</v>
      </c>
    </row>
    <row r="38" spans="3:5" x14ac:dyDescent="0.25">
      <c r="C38" s="2">
        <v>46136.999988425923</v>
      </c>
      <c r="D38">
        <v>-1295132.1209539538</v>
      </c>
      <c r="E38" s="5">
        <f t="shared" si="0"/>
        <v>-1295.1321209539537</v>
      </c>
    </row>
    <row r="39" spans="3:5" x14ac:dyDescent="0.25">
      <c r="C39" s="2">
        <v>46139.999988425923</v>
      </c>
      <c r="D39">
        <v>-1554020.8300683082</v>
      </c>
      <c r="E39" s="5">
        <f t="shared" si="0"/>
        <v>-1554.0208300683082</v>
      </c>
    </row>
    <row r="40" spans="3:5" x14ac:dyDescent="0.25">
      <c r="C40" s="2">
        <v>46142.999988425923</v>
      </c>
      <c r="D40">
        <v>-1043567.4396187419</v>
      </c>
      <c r="E40" s="5">
        <f t="shared" si="0"/>
        <v>-1043.5674396187419</v>
      </c>
    </row>
    <row r="41" spans="3:5" x14ac:dyDescent="0.25">
      <c r="C41" s="2">
        <v>46145.999988425923</v>
      </c>
      <c r="D41">
        <v>-1351626.5337377337</v>
      </c>
      <c r="E41" s="5">
        <f t="shared" si="0"/>
        <v>-1351.6265337377338</v>
      </c>
    </row>
    <row r="42" spans="3:5" x14ac:dyDescent="0.25">
      <c r="C42" s="2">
        <v>46148.999988425923</v>
      </c>
      <c r="D42">
        <v>-1276458.2765754876</v>
      </c>
      <c r="E42" s="5">
        <f t="shared" si="0"/>
        <v>-1276.4582765754876</v>
      </c>
    </row>
    <row r="43" spans="3:5" x14ac:dyDescent="0.25">
      <c r="C43" s="2">
        <v>46149.999988425923</v>
      </c>
      <c r="D43">
        <v>-231029.8011077937</v>
      </c>
      <c r="E43" s="5">
        <f t="shared" si="0"/>
        <v>-231.0298011077937</v>
      </c>
    </row>
    <row r="44" spans="3:5" x14ac:dyDescent="0.25">
      <c r="C44" s="2">
        <v>46152.999988425923</v>
      </c>
      <c r="D44">
        <v>-577188.58168491686</v>
      </c>
      <c r="E44" s="5">
        <f t="shared" si="0"/>
        <v>-577.18858168491681</v>
      </c>
    </row>
    <row r="45" spans="3:5" x14ac:dyDescent="0.25">
      <c r="C45" s="2">
        <v>46154.999988425923</v>
      </c>
      <c r="D45">
        <v>-853378.34583787946</v>
      </c>
      <c r="E45" s="5">
        <f t="shared" si="0"/>
        <v>-853.37834583787946</v>
      </c>
    </row>
    <row r="46" spans="3:5" x14ac:dyDescent="0.25">
      <c r="C46" s="2">
        <v>46157.999988425923</v>
      </c>
      <c r="D46">
        <v>-707251.69498441753</v>
      </c>
      <c r="E46" s="5">
        <f t="shared" si="0"/>
        <v>-707.25169498441755</v>
      </c>
    </row>
    <row r="47" spans="3:5" x14ac:dyDescent="0.25">
      <c r="C47" s="2">
        <v>46160.999988425923</v>
      </c>
      <c r="D47">
        <v>-2420258.6327111102</v>
      </c>
      <c r="E47" s="5">
        <f t="shared" si="0"/>
        <v>-2420.2586327111103</v>
      </c>
    </row>
    <row r="48" spans="3:5" x14ac:dyDescent="0.25">
      <c r="C48" s="2">
        <v>46161.999988425923</v>
      </c>
      <c r="D48">
        <v>-864459.7947325171</v>
      </c>
      <c r="E48" s="5">
        <f t="shared" si="0"/>
        <v>-864.45979473251714</v>
      </c>
    </row>
    <row r="49" spans="3:5" x14ac:dyDescent="0.25">
      <c r="C49" s="2">
        <v>46163.999988425923</v>
      </c>
      <c r="D49">
        <v>-1285003.3646031586</v>
      </c>
      <c r="E49" s="5">
        <f t="shared" si="0"/>
        <v>-1285.0033646031586</v>
      </c>
    </row>
    <row r="50" spans="3:5" x14ac:dyDescent="0.25">
      <c r="C50" s="2">
        <v>46164.999988425923</v>
      </c>
      <c r="D50">
        <v>-447523.13030763675</v>
      </c>
      <c r="E50" s="5">
        <f t="shared" si="0"/>
        <v>-447.52313030763673</v>
      </c>
    </row>
    <row r="51" spans="3:5" x14ac:dyDescent="0.25">
      <c r="C51" s="2">
        <v>46166.999988425923</v>
      </c>
      <c r="D51">
        <v>-1310008.899765101</v>
      </c>
      <c r="E51" s="5">
        <f t="shared" si="0"/>
        <v>-1310.008899765101</v>
      </c>
    </row>
    <row r="52" spans="3:5" x14ac:dyDescent="0.25">
      <c r="C52" s="2">
        <v>46169.999988425923</v>
      </c>
      <c r="D52">
        <v>-958157.89237679041</v>
      </c>
      <c r="E52" s="5">
        <f t="shared" si="0"/>
        <v>-958.15789237679041</v>
      </c>
    </row>
    <row r="53" spans="3:5" x14ac:dyDescent="0.25">
      <c r="C53" s="2">
        <v>46172.999988425923</v>
      </c>
      <c r="D53">
        <v>-2122861.93669606</v>
      </c>
      <c r="E53" s="5">
        <f t="shared" si="0"/>
        <v>-2122.8619366960602</v>
      </c>
    </row>
    <row r="54" spans="3:5" x14ac:dyDescent="0.25">
      <c r="C54" s="2">
        <v>46175.999988425923</v>
      </c>
      <c r="D54">
        <v>-1180106.000597846</v>
      </c>
      <c r="E54" s="5">
        <f t="shared" si="0"/>
        <v>-1180.1060005978461</v>
      </c>
    </row>
    <row r="55" spans="3:5" x14ac:dyDescent="0.25">
      <c r="C55" s="2">
        <v>46176.999988425923</v>
      </c>
      <c r="D55">
        <v>-525366.45348317153</v>
      </c>
      <c r="E55" s="5">
        <f t="shared" si="0"/>
        <v>-525.36645348317154</v>
      </c>
    </row>
    <row r="56" spans="3:5" x14ac:dyDescent="0.25">
      <c r="C56" s="2">
        <v>46178.999988425923</v>
      </c>
      <c r="D56">
        <v>-1923398.8671491323</v>
      </c>
      <c r="E56" s="5">
        <f t="shared" si="0"/>
        <v>-1923.3988671491322</v>
      </c>
    </row>
    <row r="57" spans="3:5" x14ac:dyDescent="0.25">
      <c r="C57" s="2">
        <v>46181.999988425923</v>
      </c>
      <c r="D57">
        <v>-763782.29922555736</v>
      </c>
      <c r="E57" s="5">
        <f t="shared" si="0"/>
        <v>-763.78229922555738</v>
      </c>
    </row>
    <row r="58" spans="3:5" x14ac:dyDescent="0.25">
      <c r="C58" s="2">
        <v>46185.999988425923</v>
      </c>
      <c r="D58">
        <v>-1001286.9652405679</v>
      </c>
      <c r="E58" s="5">
        <f t="shared" si="0"/>
        <v>-1001.286965240568</v>
      </c>
    </row>
    <row r="59" spans="3:5" x14ac:dyDescent="0.25">
      <c r="C59" s="2">
        <v>46188.999988425923</v>
      </c>
      <c r="D59">
        <v>-1536407.4007804596</v>
      </c>
      <c r="E59" s="5">
        <f t="shared" si="0"/>
        <v>-1536.4074007804597</v>
      </c>
    </row>
    <row r="60" spans="3:5" x14ac:dyDescent="0.25">
      <c r="C60" s="2">
        <v>46190.999988425923</v>
      </c>
      <c r="D60">
        <v>-1005306.2617386773</v>
      </c>
      <c r="E60" s="5">
        <f t="shared" si="0"/>
        <v>-1005.3062617386772</v>
      </c>
    </row>
    <row r="61" spans="3:5" x14ac:dyDescent="0.25">
      <c r="C61" s="2">
        <v>46193.999988425923</v>
      </c>
      <c r="D61">
        <v>-78174.94202603164</v>
      </c>
      <c r="E61" s="5">
        <f t="shared" si="0"/>
        <v>-78.174942026031644</v>
      </c>
    </row>
    <row r="62" spans="3:5" x14ac:dyDescent="0.25">
      <c r="C62" s="2">
        <v>46197.999988425923</v>
      </c>
      <c r="D62">
        <v>-537552.62739521451</v>
      </c>
      <c r="E62" s="5">
        <f t="shared" si="0"/>
        <v>-537.55262739521447</v>
      </c>
    </row>
    <row r="63" spans="3:5" x14ac:dyDescent="0.25">
      <c r="C63" s="2">
        <v>46200.999988425923</v>
      </c>
      <c r="D63">
        <v>-1766099.3340383139</v>
      </c>
      <c r="E63" s="5">
        <f t="shared" si="0"/>
        <v>-1766.0993340383141</v>
      </c>
    </row>
    <row r="64" spans="3:5" x14ac:dyDescent="0.25">
      <c r="C64" s="2">
        <v>46203.999988425923</v>
      </c>
      <c r="D64">
        <v>-157980.85139814587</v>
      </c>
      <c r="E64" s="5">
        <f t="shared" si="0"/>
        <v>-157.98085139814586</v>
      </c>
    </row>
    <row r="65" spans="3:7" x14ac:dyDescent="0.25">
      <c r="C65" s="2">
        <v>46206.999988425923</v>
      </c>
      <c r="D65">
        <v>-821526.27668144426</v>
      </c>
      <c r="E65" s="5">
        <f t="shared" si="0"/>
        <v>-821.5262766814443</v>
      </c>
    </row>
    <row r="66" spans="3:7" x14ac:dyDescent="0.25">
      <c r="C66" s="2">
        <v>46209.999988425923</v>
      </c>
      <c r="D66">
        <v>-1176976.2331052148</v>
      </c>
      <c r="E66" s="5">
        <f t="shared" si="0"/>
        <v>-1176.9762331052148</v>
      </c>
    </row>
    <row r="67" spans="3:7" x14ac:dyDescent="0.25">
      <c r="C67" s="2">
        <v>46212.999988425923</v>
      </c>
      <c r="D67">
        <v>-2031116.4706217628</v>
      </c>
      <c r="E67" s="5">
        <f t="shared" ref="E67:E78" si="1">D67/1000</f>
        <v>-2031.1164706217628</v>
      </c>
    </row>
    <row r="68" spans="3:7" x14ac:dyDescent="0.25">
      <c r="C68" s="2">
        <v>46215.999988425923</v>
      </c>
      <c r="D68">
        <v>-912822.93116493174</v>
      </c>
      <c r="E68" s="5">
        <f t="shared" si="1"/>
        <v>-912.82293116493179</v>
      </c>
    </row>
    <row r="69" spans="3:7" x14ac:dyDescent="0.25">
      <c r="C69" s="2">
        <v>46218.999988425923</v>
      </c>
      <c r="D69">
        <v>-1985404.2909330637</v>
      </c>
      <c r="E69" s="5">
        <f t="shared" si="1"/>
        <v>-1985.4042909330637</v>
      </c>
    </row>
    <row r="70" spans="3:7" x14ac:dyDescent="0.25">
      <c r="C70" s="2">
        <v>46221.999988425923</v>
      </c>
      <c r="D70">
        <v>-1437076.759974807</v>
      </c>
      <c r="E70" s="5">
        <f t="shared" si="1"/>
        <v>-1437.0767599748071</v>
      </c>
    </row>
    <row r="71" spans="3:7" x14ac:dyDescent="0.25">
      <c r="C71" s="2">
        <v>46224.999988425923</v>
      </c>
      <c r="D71">
        <v>-971435.30014743377</v>
      </c>
      <c r="E71" s="5">
        <f t="shared" si="1"/>
        <v>-971.43530014743374</v>
      </c>
    </row>
    <row r="72" spans="3:7" x14ac:dyDescent="0.25">
      <c r="C72" s="2">
        <v>46227.999988425923</v>
      </c>
      <c r="D72">
        <v>-1047554.6878024059</v>
      </c>
      <c r="E72" s="5">
        <f t="shared" si="1"/>
        <v>-1047.5546878024059</v>
      </c>
      <c r="G72">
        <v>-750</v>
      </c>
    </row>
    <row r="73" spans="3:7" x14ac:dyDescent="0.25">
      <c r="C73" s="2">
        <v>46230.999988425923</v>
      </c>
      <c r="D73">
        <v>-1298326.0946142385</v>
      </c>
      <c r="E73" s="5">
        <f t="shared" si="1"/>
        <v>-1298.3260946142384</v>
      </c>
      <c r="G73">
        <v>0</v>
      </c>
    </row>
    <row r="74" spans="3:7" x14ac:dyDescent="0.25">
      <c r="C74" s="2">
        <v>46233.999988425923</v>
      </c>
      <c r="D74">
        <v>-212015.5213083424</v>
      </c>
      <c r="E74" s="5">
        <f t="shared" si="1"/>
        <v>-212.01552130834241</v>
      </c>
      <c r="G74">
        <v>-2000</v>
      </c>
    </row>
    <row r="75" spans="3:7" x14ac:dyDescent="0.25">
      <c r="C75" s="2">
        <v>46236.999988425923</v>
      </c>
      <c r="D75">
        <v>-806644.23234392563</v>
      </c>
      <c r="E75" s="5">
        <f t="shared" si="1"/>
        <v>-806.64423234392564</v>
      </c>
      <c r="G75">
        <v>-4000</v>
      </c>
    </row>
    <row r="76" spans="3:7" x14ac:dyDescent="0.25">
      <c r="C76" s="2">
        <v>46239.999988425923</v>
      </c>
      <c r="D76">
        <v>-1368725.883544734</v>
      </c>
      <c r="E76" s="5">
        <f t="shared" si="1"/>
        <v>-1368.725883544734</v>
      </c>
      <c r="G76">
        <v>-2000</v>
      </c>
    </row>
    <row r="77" spans="3:7" x14ac:dyDescent="0.25">
      <c r="C77" s="2">
        <v>46242.999988425923</v>
      </c>
      <c r="D77">
        <v>-1701225.0582203206</v>
      </c>
      <c r="E77" s="5">
        <f t="shared" si="1"/>
        <v>-1701.2250582203205</v>
      </c>
      <c r="G77">
        <v>0</v>
      </c>
    </row>
    <row r="78" spans="3:7" x14ac:dyDescent="0.25">
      <c r="C78" s="2">
        <v>46245.999988425923</v>
      </c>
      <c r="D78">
        <v>-2103102.1349237277</v>
      </c>
      <c r="E78" s="5">
        <f t="shared" si="1"/>
        <v>-2103.1021349237276</v>
      </c>
      <c r="G78">
        <v>-2000</v>
      </c>
    </row>
  </sheetData>
  <autoFilter ref="C1:F1" xr:uid="{D4C50E74-33EB-4E13-9E0C-82E20ABA68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das_tank_inventories_daily</vt:lpstr>
      <vt:lpstr>calculations</vt:lpstr>
      <vt:lpstr>table_compare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Carlos Gaitan</cp:lastModifiedBy>
  <dcterms:created xsi:type="dcterms:W3CDTF">2026-08-13T17:04:50Z</dcterms:created>
  <dcterms:modified xsi:type="dcterms:W3CDTF">2026-08-14T10:14:09Z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2026-08-13T17:06:30Z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89b45226-b2a8-406c-9bfd-cc31cebe3421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