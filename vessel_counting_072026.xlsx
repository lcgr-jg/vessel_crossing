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inglobalcom-my.sharepoint.com/personal/luiscarlos_gaitan_jainglobal_com/Documents/Coding/vessel_crossing/"/>
    </mc:Choice>
  </mc:AlternateContent>
  <xr:revisionPtr revIDLastSave="3470" documentId="8_{ACBAE674-F7E3-4718-8201-9F85458D862D}" xr6:coauthVersionLast="47" xr6:coauthVersionMax="47" xr10:uidLastSave="{2B34249E-7F03-43A0-983D-C6F4A05B248D}"/>
  <bookViews>
    <workbookView minimized="1" xWindow="19890" yWindow="4455" windowWidth="23100" windowHeight="17145" xr2:uid="{AD02B413-0D1C-4968-9BB9-B945211DCBC0}"/>
  </bookViews>
  <sheets>
    <sheet name="SoH" sheetId="1" r:id="rId1"/>
    <sheet name="bab" sheetId="4" r:id="rId2"/>
    <sheet name="Sheet2" sheetId="2" r:id="rId3"/>
    <sheet name="Sheet1" sheetId="3" r:id="rId4"/>
    <sheet name="Sheet3" sheetId="5" r:id="rId5"/>
    <sheet name="entries" sheetId="6" r:id="rId6"/>
    <sheet name="mapping" sheetId="7" r:id="rId7"/>
  </sheets>
  <definedNames>
    <definedName name="_xlnm._FilterDatabase" localSheetId="5" hidden="1">entries!$B$1:$AD$36</definedName>
    <definedName name="_xlnm._FilterDatabase" localSheetId="0" hidden="1">SoH!$B$2:$M$109</definedName>
    <definedName name="afra_scale">Table1[#All]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33" i="1" l="1"/>
  <c r="AH31" i="1"/>
  <c r="AJ9" i="1"/>
  <c r="AI9" i="1"/>
  <c r="AG2" i="6"/>
  <c r="W181" i="1"/>
  <c r="W178" i="1"/>
  <c r="W172" i="1"/>
  <c r="AG36" i="6"/>
  <c r="AG35" i="6"/>
  <c r="AG34" i="6"/>
  <c r="W185" i="1" s="1"/>
  <c r="AG33" i="6"/>
  <c r="AG32" i="6"/>
  <c r="AG31" i="6"/>
  <c r="AG30" i="6"/>
  <c r="AG29" i="6"/>
  <c r="AG28" i="6"/>
  <c r="W183" i="1" s="1"/>
  <c r="AG27" i="6"/>
  <c r="W182" i="1" s="1"/>
  <c r="AG26" i="6"/>
  <c r="AG25" i="6"/>
  <c r="W180" i="1" s="1"/>
  <c r="AG24" i="6"/>
  <c r="W179" i="1" s="1"/>
  <c r="AG23" i="6"/>
  <c r="AG22" i="6"/>
  <c r="AG21" i="6"/>
  <c r="AG20" i="6"/>
  <c r="AG19" i="6"/>
  <c r="AG18" i="6"/>
  <c r="AG17" i="6"/>
  <c r="AG16" i="6"/>
  <c r="W176" i="1" s="1"/>
  <c r="AG15" i="6"/>
  <c r="W175" i="1" s="1"/>
  <c r="AG14" i="6"/>
  <c r="W174" i="1" s="1"/>
  <c r="AG13" i="6"/>
  <c r="AG12" i="6"/>
  <c r="W173" i="1" s="1"/>
  <c r="AG11" i="6"/>
  <c r="AG10" i="6"/>
  <c r="W171" i="1" s="1"/>
  <c r="X170" i="1" s="1"/>
  <c r="AG9" i="6"/>
  <c r="AG8" i="6"/>
  <c r="W170" i="1" s="1"/>
  <c r="AG7" i="6"/>
  <c r="AG6" i="6"/>
  <c r="W169" i="1" s="1"/>
  <c r="AG5" i="6"/>
  <c r="AG4" i="6"/>
  <c r="AG3" i="6"/>
  <c r="S127" i="1"/>
  <c r="S168" i="1"/>
  <c r="S167" i="1" s="1"/>
  <c r="W167" i="1" s="1"/>
  <c r="T169" i="1"/>
  <c r="U169" i="1"/>
  <c r="V169" i="1"/>
  <c r="T170" i="1"/>
  <c r="U170" i="1"/>
  <c r="V170" i="1"/>
  <c r="T171" i="1"/>
  <c r="U171" i="1"/>
  <c r="V171" i="1"/>
  <c r="T172" i="1"/>
  <c r="U172" i="1"/>
  <c r="V172" i="1"/>
  <c r="T173" i="1"/>
  <c r="U173" i="1"/>
  <c r="V173" i="1"/>
  <c r="T174" i="1"/>
  <c r="U174" i="1"/>
  <c r="V174" i="1"/>
  <c r="T175" i="1"/>
  <c r="U175" i="1"/>
  <c r="V175" i="1"/>
  <c r="T176" i="1"/>
  <c r="U176" i="1"/>
  <c r="V176" i="1"/>
  <c r="T177" i="1"/>
  <c r="U177" i="1"/>
  <c r="V177" i="1"/>
  <c r="T178" i="1"/>
  <c r="U178" i="1"/>
  <c r="V178" i="1"/>
  <c r="T179" i="1"/>
  <c r="U179" i="1"/>
  <c r="V179" i="1"/>
  <c r="T180" i="1"/>
  <c r="U180" i="1"/>
  <c r="V180" i="1"/>
  <c r="T181" i="1"/>
  <c r="U181" i="1"/>
  <c r="V181" i="1"/>
  <c r="T182" i="1"/>
  <c r="U182" i="1"/>
  <c r="V182" i="1"/>
  <c r="T183" i="1"/>
  <c r="U183" i="1"/>
  <c r="V183" i="1"/>
  <c r="T184" i="1"/>
  <c r="U184" i="1"/>
  <c r="V184" i="1"/>
  <c r="T185" i="1"/>
  <c r="U185" i="1"/>
  <c r="V185" i="1"/>
  <c r="X168" i="1" l="1"/>
  <c r="X169" i="1"/>
  <c r="X177" i="1"/>
  <c r="Y171" i="1"/>
  <c r="Y170" i="1"/>
  <c r="Y169" i="1"/>
  <c r="Y178" i="1"/>
  <c r="W184" i="1"/>
  <c r="Y180" i="1" s="1"/>
  <c r="W168" i="1"/>
  <c r="W177" i="1"/>
  <c r="X173" i="1" s="1"/>
  <c r="S166" i="1"/>
  <c r="W166" i="1" s="1"/>
  <c r="X165" i="1" s="1"/>
  <c r="T167" i="1"/>
  <c r="U167" i="1"/>
  <c r="V167" i="1"/>
  <c r="V168" i="1"/>
  <c r="U168" i="1"/>
  <c r="T168" i="1"/>
  <c r="X171" i="1" l="1"/>
  <c r="Y168" i="1"/>
  <c r="X167" i="1"/>
  <c r="X179" i="1"/>
  <c r="X166" i="1"/>
  <c r="Y177" i="1"/>
  <c r="X175" i="1"/>
  <c r="X174" i="1"/>
  <c r="X176" i="1"/>
  <c r="X178" i="1"/>
  <c r="X172" i="1"/>
  <c r="Y166" i="1"/>
  <c r="Y174" i="1"/>
  <c r="Y167" i="1"/>
  <c r="Y176" i="1"/>
  <c r="Y173" i="1"/>
  <c r="Y172" i="1"/>
  <c r="Y179" i="1"/>
  <c r="Y175" i="1"/>
  <c r="U166" i="1"/>
  <c r="T166" i="1"/>
  <c r="V166" i="1"/>
  <c r="S165" i="1"/>
  <c r="U165" i="1" s="1"/>
  <c r="V165" i="1"/>
  <c r="T165" i="1" l="1"/>
  <c r="W165" i="1"/>
  <c r="X164" i="1" s="1"/>
  <c r="S164" i="1"/>
  <c r="T127" i="1"/>
  <c r="R37" i="4"/>
  <c r="R38" i="4"/>
  <c r="Y121" i="1"/>
  <c r="Y118" i="1"/>
  <c r="Y117" i="1"/>
  <c r="Y116" i="1"/>
  <c r="Y115" i="1"/>
  <c r="Y82" i="1"/>
  <c r="Y79" i="1"/>
  <c r="Y81" i="1"/>
  <c r="X114" i="1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H21" i="2"/>
  <c r="H20" i="2"/>
  <c r="H17" i="2"/>
  <c r="H15" i="2"/>
  <c r="H14" i="2"/>
  <c r="H12" i="2"/>
  <c r="V164" i="1" l="1"/>
  <c r="U164" i="1"/>
  <c r="T164" i="1"/>
  <c r="Y165" i="1"/>
  <c r="Y164" i="1"/>
  <c r="S128" i="1"/>
  <c r="R39" i="4"/>
  <c r="T187" i="1" l="1"/>
  <c r="T128" i="1"/>
  <c r="S129" i="1"/>
  <c r="S130" i="1" l="1"/>
  <c r="T129" i="1"/>
  <c r="S131" i="1" l="1"/>
  <c r="T130" i="1"/>
  <c r="S132" i="1" l="1"/>
  <c r="T131" i="1"/>
  <c r="S133" i="1" l="1"/>
  <c r="T132" i="1"/>
  <c r="S134" i="1" l="1"/>
  <c r="T133" i="1"/>
  <c r="S135" i="1" l="1"/>
  <c r="T134" i="1"/>
  <c r="S136" i="1" l="1"/>
  <c r="T135" i="1"/>
  <c r="S137" i="1" l="1"/>
  <c r="T136" i="1"/>
  <c r="S138" i="1" l="1"/>
  <c r="T137" i="1"/>
  <c r="S139" i="1" l="1"/>
  <c r="T138" i="1"/>
  <c r="S140" i="1" l="1"/>
  <c r="T139" i="1"/>
  <c r="S141" i="1" l="1"/>
  <c r="T140" i="1"/>
  <c r="S142" i="1" l="1"/>
  <c r="T141" i="1"/>
  <c r="S143" i="1" l="1"/>
  <c r="T142" i="1"/>
  <c r="S144" i="1" l="1"/>
  <c r="T143" i="1"/>
  <c r="S145" i="1" l="1"/>
  <c r="T144" i="1"/>
  <c r="S146" i="1" l="1"/>
  <c r="T145" i="1"/>
  <c r="S147" i="1" l="1"/>
  <c r="T146" i="1"/>
  <c r="S148" i="1" l="1"/>
  <c r="T147" i="1"/>
  <c r="S149" i="1" l="1"/>
  <c r="T148" i="1"/>
  <c r="S150" i="1" l="1"/>
  <c r="T149" i="1"/>
  <c r="S151" i="1" l="1"/>
  <c r="T150" i="1"/>
  <c r="S152" i="1" l="1"/>
  <c r="T151" i="1"/>
  <c r="S153" i="1" l="1"/>
  <c r="T152" i="1"/>
  <c r="S154" i="1" l="1"/>
  <c r="S155" i="1" s="1"/>
  <c r="T155" i="1" s="1"/>
  <c r="T153" i="1"/>
  <c r="T154" i="1" l="1"/>
  <c r="V156" i="1" s="1"/>
  <c r="V157" i="1"/>
  <c r="W157" i="1" l="1"/>
</calcChain>
</file>

<file path=xl/sharedStrings.xml><?xml version="1.0" encoding="utf-8"?>
<sst xmlns="http://schemas.openxmlformats.org/spreadsheetml/2006/main" count="2230" uniqueCount="517">
  <si>
    <t>vessel_name</t>
  </si>
  <si>
    <t>controller</t>
  </si>
  <si>
    <t>loading_port</t>
  </si>
  <si>
    <t>entered_soh</t>
  </si>
  <si>
    <t>loading_date</t>
  </si>
  <si>
    <t>grade</t>
  </si>
  <si>
    <t>last_seen(days)</t>
  </si>
  <si>
    <t>exited_soh</t>
  </si>
  <si>
    <t>in/out</t>
  </si>
  <si>
    <t>discharged</t>
  </si>
  <si>
    <t>last_loading_state</t>
  </si>
  <si>
    <t>Track</t>
  </si>
  <si>
    <t>KARAN</t>
  </si>
  <si>
    <t>Bahri</t>
  </si>
  <si>
    <t>Ras Tanura</t>
  </si>
  <si>
    <t>Arab Heavy</t>
  </si>
  <si>
    <t>out</t>
  </si>
  <si>
    <t>laden</t>
  </si>
  <si>
    <t>VLCC</t>
  </si>
  <si>
    <t>ZAYNAH</t>
  </si>
  <si>
    <t>Arab</t>
  </si>
  <si>
    <t>NISSOS HERACLEA</t>
  </si>
  <si>
    <t>Kyklades</t>
  </si>
  <si>
    <t>Al Basrah</t>
  </si>
  <si>
    <t>Basrah</t>
  </si>
  <si>
    <t>re-entered for another loading</t>
  </si>
  <si>
    <t>Sohar Light</t>
  </si>
  <si>
    <t>NISSOS KEA</t>
  </si>
  <si>
    <t>Halul Island</t>
  </si>
  <si>
    <t>QASBA</t>
  </si>
  <si>
    <t>AMAD</t>
  </si>
  <si>
    <t>MANIFA</t>
  </si>
  <si>
    <t>BASRAH ENERGY</t>
  </si>
  <si>
    <t>ADNOC</t>
  </si>
  <si>
    <t>in</t>
  </si>
  <si>
    <t>800 kb</t>
  </si>
  <si>
    <t>y</t>
  </si>
  <si>
    <t>Floating, no more info</t>
  </si>
  <si>
    <t>DAS</t>
  </si>
  <si>
    <t>NAVIG8 ASIA PTE LTD</t>
  </si>
  <si>
    <t>Zirku Island</t>
  </si>
  <si>
    <t>Zakum</t>
  </si>
  <si>
    <t>2 mb</t>
  </si>
  <si>
    <t>ANGOLA B</t>
  </si>
  <si>
    <t>Das Island</t>
  </si>
  <si>
    <t>Das</t>
  </si>
  <si>
    <t>AL BAHYAH</t>
  </si>
  <si>
    <t>Fujairah</t>
  </si>
  <si>
    <t>ballast</t>
  </si>
  <si>
    <t>FRANCE C</t>
  </si>
  <si>
    <t>1.5 mb</t>
  </si>
  <si>
    <t>JALADI</t>
  </si>
  <si>
    <t>NISSOS TIGANI</t>
  </si>
  <si>
    <t>ETC</t>
  </si>
  <si>
    <t>Ain Sukhna</t>
  </si>
  <si>
    <t>1 mb</t>
  </si>
  <si>
    <t>GRAND LADY</t>
  </si>
  <si>
    <t>Eastmed</t>
  </si>
  <si>
    <t>?</t>
  </si>
  <si>
    <t>HAFEET</t>
  </si>
  <si>
    <t>Umm Lulu</t>
  </si>
  <si>
    <t>Khor</t>
  </si>
  <si>
    <t>MOMBASA B</t>
  </si>
  <si>
    <t>DAR SALWA</t>
  </si>
  <si>
    <t>KPC</t>
  </si>
  <si>
    <t>Mina Al-Ahmadi</t>
  </si>
  <si>
    <t>Kuwait</t>
  </si>
  <si>
    <t>NISALAH</t>
  </si>
  <si>
    <t>Okinawa</t>
  </si>
  <si>
    <t>UQAB</t>
  </si>
  <si>
    <t>Sinopec</t>
  </si>
  <si>
    <t>Juaymah</t>
  </si>
  <si>
    <t>BAHRAIN PROSPERITY</t>
  </si>
  <si>
    <t>AL JABRIYAH II</t>
  </si>
  <si>
    <t>SINGAPORE LOYALTY</t>
  </si>
  <si>
    <t>ZhenHua Oil</t>
  </si>
  <si>
    <t>Yantai</t>
  </si>
  <si>
    <t>ARGENTINA B</t>
  </si>
  <si>
    <t>FUJAIRAH ENERGY</t>
  </si>
  <si>
    <t>CAMEROON PROSPERITY</t>
  </si>
  <si>
    <t>PTT</t>
  </si>
  <si>
    <t>Zirku island</t>
  </si>
  <si>
    <t xml:space="preserve">Prevously loaded and transfer at </t>
  </si>
  <si>
    <t>AL FUNTAS</t>
  </si>
  <si>
    <t>Kuwait Energy</t>
  </si>
  <si>
    <t>CYPRUS PROSPERITY</t>
  </si>
  <si>
    <t>TOGO PROSPERITY</t>
  </si>
  <si>
    <t>Dubai Light</t>
  </si>
  <si>
    <t>Murban</t>
  </si>
  <si>
    <t>KUWAIT PROSPERITY</t>
  </si>
  <si>
    <t>Sinokor</t>
  </si>
  <si>
    <t>LILA VADINAR</t>
  </si>
  <si>
    <t>IOC</t>
  </si>
  <si>
    <t>FSO Qatar Petroleum Al Shaheen</t>
  </si>
  <si>
    <t>Shaheen</t>
  </si>
  <si>
    <t>ECUADOR PROSPERITY</t>
  </si>
  <si>
    <t>Basrah Heavy</t>
  </si>
  <si>
    <t>BELGIUM B</t>
  </si>
  <si>
    <t>CONGO PROSPERITY</t>
  </si>
  <si>
    <t>Basrah Med</t>
  </si>
  <si>
    <t>ROTTERDAM ENERGY</t>
  </si>
  <si>
    <t>COSTA RICA PROSPERITY</t>
  </si>
  <si>
    <t>Trafigura</t>
  </si>
  <si>
    <t>BARBADOS PROSPERITY</t>
  </si>
  <si>
    <t>Mercuria</t>
  </si>
  <si>
    <t>localtion shows</t>
  </si>
  <si>
    <t>SANAM</t>
  </si>
  <si>
    <t>SERIFOS</t>
  </si>
  <si>
    <t>AEOLOS MANAGEMENT SA</t>
  </si>
  <si>
    <t>Zhanjiang</t>
  </si>
  <si>
    <t>Qatar Mar</t>
  </si>
  <si>
    <t>KIARA M</t>
  </si>
  <si>
    <t>Arctic Voyager Incorporated</t>
  </si>
  <si>
    <t>ATARAKTOS</t>
  </si>
  <si>
    <t>Aramco</t>
  </si>
  <si>
    <t>COLOMBIA PROSPERITY</t>
  </si>
  <si>
    <t>EGYPT PROSPERITY</t>
  </si>
  <si>
    <t>DELOS</t>
  </si>
  <si>
    <t>SPAIN B</t>
  </si>
  <si>
    <t>timestamp</t>
  </si>
  <si>
    <t>FINLAND PROSPERITY</t>
  </si>
  <si>
    <t>PERU PROSPERITY</t>
  </si>
  <si>
    <t>Easter Asia</t>
  </si>
  <si>
    <t>SEEB</t>
  </si>
  <si>
    <t>SURINAME PROSPERITY</t>
  </si>
  <si>
    <t>HELGA</t>
  </si>
  <si>
    <t>COSCO</t>
  </si>
  <si>
    <t>Maran Tankers Management</t>
  </si>
  <si>
    <t>Ocean Trinity</t>
  </si>
  <si>
    <t>??</t>
  </si>
  <si>
    <t>VLCC was bought by undisclosed investors on march 2026</t>
  </si>
  <si>
    <t>struck</t>
  </si>
  <si>
    <t>WEDYAN</t>
  </si>
  <si>
    <t xml:space="preserve">OUTSIDE </t>
  </si>
  <si>
    <t>MANAGE TO EXIT</t>
  </si>
  <si>
    <t>STRUCK</t>
  </si>
  <si>
    <t>HAVEN'T SEEN IN A WHILE</t>
  </si>
  <si>
    <t>Vessel</t>
  </si>
  <si>
    <t>Capacity (bbl)</t>
  </si>
  <si>
    <t>location_approx</t>
  </si>
  <si>
    <t>New Amorgos</t>
  </si>
  <si>
    <t>Off Al-bashra</t>
  </si>
  <si>
    <t>New Andros</t>
  </si>
  <si>
    <t>Off fujairah</t>
  </si>
  <si>
    <t>New Dynasty</t>
  </si>
  <si>
    <t>New Giant</t>
  </si>
  <si>
    <t>Off siri island</t>
  </si>
  <si>
    <t>indicating Al Bashrah</t>
  </si>
  <si>
    <t>inactive</t>
  </si>
  <si>
    <t>New Diamond</t>
  </si>
  <si>
    <t>New Friendship</t>
  </si>
  <si>
    <t>Off Gibraltar</t>
  </si>
  <si>
    <t>Cape Balder</t>
  </si>
  <si>
    <t>New Inspiration</t>
  </si>
  <si>
    <t>New Legend</t>
  </si>
  <si>
    <t>Reaching Suez Canal</t>
  </si>
  <si>
    <t>New Paros</t>
  </si>
  <si>
    <t>New Vision</t>
  </si>
  <si>
    <t>Off the coast of wales</t>
  </si>
  <si>
    <t>Paros</t>
  </si>
  <si>
    <t>Off ust luga</t>
  </si>
  <si>
    <t>Star I</t>
  </si>
  <si>
    <t>Tinagu</t>
  </si>
  <si>
    <t>Trident Hope</t>
  </si>
  <si>
    <t>Off malasya coast</t>
  </si>
  <si>
    <t>Qatar Land</t>
  </si>
  <si>
    <t>Mesaieed</t>
  </si>
  <si>
    <t>NOT LOADED - INSIDE</t>
  </si>
  <si>
    <t>LOADED - INSIDE</t>
  </si>
  <si>
    <t>SCHEDULED TO LOAD - OUTSIDE</t>
  </si>
  <si>
    <t>AL SAMHA</t>
  </si>
  <si>
    <t>Ruwais</t>
  </si>
  <si>
    <t>NEW GIANT</t>
  </si>
  <si>
    <t>New Shipping Ltd</t>
  </si>
  <si>
    <t>Jebel Dhanna</t>
  </si>
  <si>
    <t>IMOLA</t>
  </si>
  <si>
    <t>EVALEND SHIPPING CO SA</t>
  </si>
  <si>
    <t>SOUTH AFRICA PROSPERITY</t>
  </si>
  <si>
    <t>Quantity</t>
  </si>
  <si>
    <t>BRUNEI PROSPERITY</t>
  </si>
  <si>
    <t>GERMANY B</t>
  </si>
  <si>
    <t>x</t>
  </si>
  <si>
    <t>Floating storage</t>
  </si>
  <si>
    <t>ST1</t>
  </si>
  <si>
    <t>SHT2</t>
  </si>
  <si>
    <t>AL RIQQA</t>
  </si>
  <si>
    <t>Ras Laffan</t>
  </si>
  <si>
    <t>KIKU</t>
  </si>
  <si>
    <t>Prima Energy Ltd</t>
  </si>
  <si>
    <t>SG  Holdings Ltd</t>
  </si>
  <si>
    <t>STALLION</t>
  </si>
  <si>
    <t>700 kb</t>
  </si>
  <si>
    <t>GEM NO.2</t>
  </si>
  <si>
    <t>Global Energy Maritime</t>
  </si>
  <si>
    <t>Arab Lt.</t>
  </si>
  <si>
    <t>Italics</t>
  </si>
  <si>
    <t>Turkey</t>
  </si>
  <si>
    <t>DOMINICA PROSPERITY</t>
  </si>
  <si>
    <t>ROMANIA PROSPERITY</t>
  </si>
  <si>
    <t>ARROW G</t>
  </si>
  <si>
    <t xml:space="preserve">Emirates </t>
  </si>
  <si>
    <t>MR</t>
  </si>
  <si>
    <t>Zirku</t>
  </si>
  <si>
    <t>Vessel Name</t>
  </si>
  <si>
    <t>IMO</t>
  </si>
  <si>
    <t>Flag Name</t>
  </si>
  <si>
    <t>Direction</t>
  </si>
  <si>
    <t>Crossing Date</t>
  </si>
  <si>
    <t>Crossing Type</t>
  </si>
  <si>
    <t>Loading State</t>
  </si>
  <si>
    <t>Cargo Type</t>
  </si>
  <si>
    <t>Quantity Unit</t>
  </si>
  <si>
    <t>Last Cargo Zone</t>
  </si>
  <si>
    <t>Last Cargo Country</t>
  </si>
  <si>
    <t>Next Port</t>
  </si>
  <si>
    <t>Next Port Country</t>
  </si>
  <si>
    <t>Deadweight</t>
  </si>
  <si>
    <t>Build Year</t>
  </si>
  <si>
    <t>Build Country</t>
  </si>
  <si>
    <t>dwt_kdwt</t>
  </si>
  <si>
    <t>afra_class</t>
  </si>
  <si>
    <t>cargo_group</t>
  </si>
  <si>
    <t>cargo_source</t>
  </si>
  <si>
    <t>volume_bbl</t>
  </si>
  <si>
    <t>sanctioned_iran</t>
  </si>
  <si>
    <t>sanctioned_sdn</t>
  </si>
  <si>
    <t>sanctioned_any</t>
  </si>
  <si>
    <t>is_dark_route</t>
  </si>
  <si>
    <t>is_dark_fleet</t>
  </si>
  <si>
    <t>fleet</t>
  </si>
  <si>
    <t>ARGO MARIS</t>
  </si>
  <si>
    <t>CURACAO</t>
  </si>
  <si>
    <t>Entered MEG</t>
  </si>
  <si>
    <t>Iranian Route</t>
  </si>
  <si>
    <t>Ballast</t>
  </si>
  <si>
    <t>NaN</t>
  </si>
  <si>
    <t>bbl</t>
  </si>
  <si>
    <t>Fujairah Light.</t>
  </si>
  <si>
    <t>United Arab Emirates</t>
  </si>
  <si>
    <t>JAPAN</t>
  </si>
  <si>
    <t>Below GP</t>
  </si>
  <si>
    <t>loading_state</t>
  </si>
  <si>
    <t>clean fleet</t>
  </si>
  <si>
    <t>KAVOMALEAS</t>
  </si>
  <si>
    <t>MALTA</t>
  </si>
  <si>
    <t>Omani Route</t>
  </si>
  <si>
    <t>Mideast Gulf</t>
  </si>
  <si>
    <t>CHINA</t>
  </si>
  <si>
    <t>LR1</t>
  </si>
  <si>
    <t>MADESTAR</t>
  </si>
  <si>
    <t>PANAMA</t>
  </si>
  <si>
    <t>Exited MEG</t>
  </si>
  <si>
    <t>Dark/Unknown Route</t>
  </si>
  <si>
    <t>Lanqiao</t>
  </si>
  <si>
    <t>China</t>
  </si>
  <si>
    <t>REPUBLIC OF KOREA</t>
  </si>
  <si>
    <t>dark fleet</t>
  </si>
  <si>
    <t>YOKO 1</t>
  </si>
  <si>
    <t>Hamriya</t>
  </si>
  <si>
    <t>Oman</t>
  </si>
  <si>
    <t>CROATIA</t>
  </si>
  <si>
    <t>YONG TAI</t>
  </si>
  <si>
    <t>GAMBIA</t>
  </si>
  <si>
    <t>Zhenhai</t>
  </si>
  <si>
    <t>Jubail Industrial Port</t>
  </si>
  <si>
    <t>Saudi Arabia</t>
  </si>
  <si>
    <t>Fuel oil</t>
  </si>
  <si>
    <t>dark activity</t>
  </si>
  <si>
    <t>KITION M</t>
  </si>
  <si>
    <t>Merak</t>
  </si>
  <si>
    <t>Indonesia</t>
  </si>
  <si>
    <t>Qatar</t>
  </si>
  <si>
    <t>SEAWAY</t>
  </si>
  <si>
    <t>Sohar Light.</t>
  </si>
  <si>
    <t>San Lorenzo</t>
  </si>
  <si>
    <t>Argentina</t>
  </si>
  <si>
    <t>WELL SAIL</t>
  </si>
  <si>
    <t>MARSHALL ISLANDS</t>
  </si>
  <si>
    <t>Laden</t>
  </si>
  <si>
    <t>CPP</t>
  </si>
  <si>
    <t>Iran</t>
  </si>
  <si>
    <t>products</t>
  </si>
  <si>
    <t>tagged</t>
  </si>
  <si>
    <t>ADVANTAGE PARADISE</t>
  </si>
  <si>
    <t>Port Moresby</t>
  </si>
  <si>
    <t>Papua New Guinea</t>
  </si>
  <si>
    <t>AL DERWAZAH</t>
  </si>
  <si>
    <t>KUWAIT</t>
  </si>
  <si>
    <t>Crude/Co</t>
  </si>
  <si>
    <t>crude</t>
  </si>
  <si>
    <t>BLACK MAYA</t>
  </si>
  <si>
    <t>DPP</t>
  </si>
  <si>
    <t>Bandar Abbas</t>
  </si>
  <si>
    <t>Muscat</t>
  </si>
  <si>
    <t>GOODAL</t>
  </si>
  <si>
    <t>BAHAMAS</t>
  </si>
  <si>
    <t>Veg/Bio</t>
  </si>
  <si>
    <t>Pasir Gudang</t>
  </si>
  <si>
    <t>Malaysia</t>
  </si>
  <si>
    <t>GP</t>
  </si>
  <si>
    <t>other</t>
  </si>
  <si>
    <t>LEADER</t>
  </si>
  <si>
    <t>LIBERIA</t>
  </si>
  <si>
    <t>Japan</t>
  </si>
  <si>
    <t>NAVIG8 PERSEVERANCE</t>
  </si>
  <si>
    <t>SINGAPORE</t>
  </si>
  <si>
    <t>AFRA</t>
  </si>
  <si>
    <t>Iraq</t>
  </si>
  <si>
    <t>TIYARA</t>
  </si>
  <si>
    <t>NICARAGUA</t>
  </si>
  <si>
    <t>500 kb</t>
  </si>
  <si>
    <t>Clean prod</t>
  </si>
  <si>
    <t>300 kb</t>
  </si>
  <si>
    <t>350 kb</t>
  </si>
  <si>
    <t>12 kb</t>
  </si>
  <si>
    <t>115 kb</t>
  </si>
  <si>
    <t>Naphtha</t>
  </si>
  <si>
    <t>Crude</t>
  </si>
  <si>
    <t>600 kb</t>
  </si>
  <si>
    <t>Side</t>
  </si>
  <si>
    <t>size</t>
  </si>
  <si>
    <t>N/A</t>
  </si>
  <si>
    <t>Products</t>
  </si>
  <si>
    <t>Kiklades</t>
  </si>
  <si>
    <t>Laden but not seen</t>
  </si>
  <si>
    <t>Total laden</t>
  </si>
  <si>
    <t>Total ballast</t>
  </si>
  <si>
    <t>Ballast but not seen</t>
  </si>
  <si>
    <t>Vessels</t>
  </si>
  <si>
    <t>Tota inside SoH</t>
  </si>
  <si>
    <t>LILA JAMNAGAR</t>
  </si>
  <si>
    <t>Cosco</t>
  </si>
  <si>
    <t>LUCIA A</t>
  </si>
  <si>
    <t>PLATA SINGAPORE</t>
  </si>
  <si>
    <t>Tankers International</t>
  </si>
  <si>
    <t>LILA VLADINAR</t>
  </si>
  <si>
    <t>RAWAQ</t>
  </si>
  <si>
    <t>NOBLE</t>
  </si>
  <si>
    <t>Kunlun Shipping</t>
  </si>
  <si>
    <t>SALAM</t>
  </si>
  <si>
    <t>SAMHA</t>
  </si>
  <si>
    <t>transpond</t>
  </si>
  <si>
    <t>BAHAMAS PROSPERITY</t>
  </si>
  <si>
    <t>laden today (22-jul)</t>
  </si>
  <si>
    <t>Notes</t>
  </si>
  <si>
    <t>SOPHIA</t>
  </si>
  <si>
    <t>Suez</t>
  </si>
  <si>
    <t>Bab</t>
  </si>
  <si>
    <t>direction</t>
  </si>
  <si>
    <t>FRONT GAULA</t>
  </si>
  <si>
    <t>Ain Sokhna</t>
  </si>
  <si>
    <t>Yanbu Crude</t>
  </si>
  <si>
    <t>AMZAN</t>
  </si>
  <si>
    <t>Muajjiz</t>
  </si>
  <si>
    <t>exited</t>
  </si>
  <si>
    <t>FARHAH</t>
  </si>
  <si>
    <t>XIN LONG YANG</t>
  </si>
  <si>
    <t>Qinzhou</t>
  </si>
  <si>
    <t>Quantity (kb)</t>
  </si>
  <si>
    <t>LAHORE</t>
  </si>
  <si>
    <t>Karachi</t>
  </si>
  <si>
    <t>PNSC</t>
  </si>
  <si>
    <t>COSNEW LAKE</t>
  </si>
  <si>
    <t>Huizhou</t>
  </si>
  <si>
    <t>AMAZON</t>
  </si>
  <si>
    <t>Chennai</t>
  </si>
  <si>
    <t>Y</t>
  </si>
  <si>
    <t>RODOS</t>
  </si>
  <si>
    <t>Mangalore Refinery and Petrochemicals Ltd</t>
  </si>
  <si>
    <t>Mangalore</t>
  </si>
  <si>
    <t>did route change?</t>
  </si>
  <si>
    <t>NEW CHAMPION</t>
  </si>
  <si>
    <t>NEW PRIME</t>
  </si>
  <si>
    <t>scehduled outside</t>
  </si>
  <si>
    <t>DHT MUSTANG</t>
  </si>
  <si>
    <t>DHT Norway</t>
  </si>
  <si>
    <t>C INNOVATOR</t>
  </si>
  <si>
    <t>LMCS</t>
  </si>
  <si>
    <t>Sikka</t>
  </si>
  <si>
    <t>DESH VISHAL</t>
  </si>
  <si>
    <t>SCI</t>
  </si>
  <si>
    <t>MINEMIA</t>
  </si>
  <si>
    <t>Marine Trust</t>
  </si>
  <si>
    <t>FPMC C LORD</t>
  </si>
  <si>
    <t>Formosa Plastic Group</t>
  </si>
  <si>
    <t>DHT GAZELLE</t>
  </si>
  <si>
    <t>KHUZAMA</t>
  </si>
  <si>
    <t>KARACHI</t>
  </si>
  <si>
    <t>Pakistan</t>
  </si>
  <si>
    <t>Egypt</t>
  </si>
  <si>
    <t>India</t>
  </si>
  <si>
    <t>VI PIONEER</t>
  </si>
  <si>
    <t>Eastern Asia</t>
  </si>
  <si>
    <t>Exxon</t>
  </si>
  <si>
    <t>XIN WEI YANG</t>
  </si>
  <si>
    <t>OLYMPIC LUCK</t>
  </si>
  <si>
    <t>Olympic Shipping</t>
  </si>
  <si>
    <t>cycle_completed</t>
  </si>
  <si>
    <t>destination_country</t>
  </si>
  <si>
    <t>Total Inside</t>
  </si>
  <si>
    <t>Total outside</t>
  </si>
  <si>
    <t>Total</t>
  </si>
  <si>
    <t>LAYNAH</t>
  </si>
  <si>
    <t>NEW PEARL</t>
  </si>
  <si>
    <t>AMCL</t>
  </si>
  <si>
    <t>KAHLA</t>
  </si>
  <si>
    <t>NEW DISCOVERY</t>
  </si>
  <si>
    <t>SAHBA</t>
  </si>
  <si>
    <t>P ALIKI</t>
  </si>
  <si>
    <t>Maersk</t>
  </si>
  <si>
    <t>ATHENS VOYAGER</t>
  </si>
  <si>
    <t>XIN TONG YANG</t>
  </si>
  <si>
    <t>At berth (22-07-2026)</t>
  </si>
  <si>
    <t>2  mb</t>
  </si>
  <si>
    <t>Kunlum Shipping</t>
  </si>
  <si>
    <t>Agelef</t>
  </si>
  <si>
    <t>NEW EXPLORER</t>
  </si>
  <si>
    <t>Ningbo</t>
  </si>
  <si>
    <t>DAFFODIL</t>
  </si>
  <si>
    <t>Saudi</t>
  </si>
  <si>
    <t>DESH VAIBHAV</t>
  </si>
  <si>
    <t>At berth (24-07-2026)</t>
  </si>
  <si>
    <t>COSLUCKY LAKE</t>
  </si>
  <si>
    <t>DHT PUMA</t>
  </si>
  <si>
    <t>BUKHA</t>
  </si>
  <si>
    <t>NISSOS KYTHOS</t>
  </si>
  <si>
    <t>Al Shaheen</t>
  </si>
  <si>
    <t>laden today (27-jul)</t>
  </si>
  <si>
    <t>Batan</t>
  </si>
  <si>
    <t>Philippines</t>
  </si>
  <si>
    <t>entered with transponder off</t>
  </si>
  <si>
    <t>ST3</t>
  </si>
  <si>
    <t>Rizhao</t>
  </si>
  <si>
    <t>MARAN ANTIOPE</t>
  </si>
  <si>
    <t>Qatar land</t>
  </si>
  <si>
    <t>STS</t>
  </si>
  <si>
    <t>Formosa</t>
  </si>
  <si>
    <t>Taiwan - STS</t>
  </si>
  <si>
    <t>singapore</t>
  </si>
  <si>
    <t>Sri lanka</t>
  </si>
  <si>
    <t>Baltic Loyalty - No destination</t>
  </si>
  <si>
    <t>laden today (28-jul)</t>
  </si>
  <si>
    <t>checked today?</t>
  </si>
  <si>
    <t>OTTOMAN EQUITY</t>
  </si>
  <si>
    <t>Gungen Denizcilik</t>
  </si>
  <si>
    <t>laden today (29-jul)</t>
  </si>
  <si>
    <t>950 kb</t>
  </si>
  <si>
    <t>TANZANIA PROSPERITY</t>
  </si>
  <si>
    <t>Now off bonny (31-Jul)</t>
  </si>
  <si>
    <t>laden today (31-jul)</t>
  </si>
  <si>
    <t>CANGJIE</t>
  </si>
  <si>
    <t>JAMAICA PROSPERITY</t>
  </si>
  <si>
    <t>Khor Al Zubair Port</t>
  </si>
  <si>
    <t>Afra</t>
  </si>
  <si>
    <t>Korea</t>
  </si>
  <si>
    <t>Vessel crossing SoH (Volume)</t>
  </si>
  <si>
    <t>LESVOS</t>
  </si>
  <si>
    <t>Sika</t>
  </si>
  <si>
    <t>Crossed bab but also crossed Suez,now sit in Sidi kerir anchorage</t>
  </si>
  <si>
    <t>was scehduled outside, redirecto to Fuijairah (25-jul)</t>
  </si>
  <si>
    <t>intermediate tanker</t>
  </si>
  <si>
    <t>india</t>
  </si>
  <si>
    <t>events</t>
  </si>
  <si>
    <t>day</t>
  </si>
  <si>
    <t>Vessel Classification</t>
  </si>
  <si>
    <t>SINBAD</t>
  </si>
  <si>
    <t>Aframax/LR2</t>
  </si>
  <si>
    <t>Dongjiakou</t>
  </si>
  <si>
    <t>ON PHOENIX</t>
  </si>
  <si>
    <t>Rayong</t>
  </si>
  <si>
    <t>Thailand</t>
  </si>
  <si>
    <t>TARIF</t>
  </si>
  <si>
    <t>Venice</t>
  </si>
  <si>
    <t>Italy</t>
  </si>
  <si>
    <t>Suezmax/LR3</t>
  </si>
  <si>
    <t>SAN MARINO</t>
  </si>
  <si>
    <t>LR2</t>
  </si>
  <si>
    <t>NISSOS KYTHNOS</t>
  </si>
  <si>
    <t>Kiire</t>
  </si>
  <si>
    <t>HONG KONG</t>
  </si>
  <si>
    <t>Paradip</t>
  </si>
  <si>
    <t>AL KHTAM</t>
  </si>
  <si>
    <t>KOS</t>
  </si>
  <si>
    <t>Singapore</t>
  </si>
  <si>
    <t>Singapore Republic</t>
  </si>
  <si>
    <t>AL YARMOUK</t>
  </si>
  <si>
    <t>Gulf of Oman</t>
  </si>
  <si>
    <t>PHILIPPINES PROSPERITY</t>
  </si>
  <si>
    <t>Kikuma</t>
  </si>
  <si>
    <t>CYPRUS</t>
  </si>
  <si>
    <t>BAHRA</t>
  </si>
  <si>
    <t>Kutch Light.</t>
  </si>
  <si>
    <t>Nipah Light.</t>
  </si>
  <si>
    <t>ACHELOOS</t>
  </si>
  <si>
    <t>Changxing</t>
  </si>
  <si>
    <t>AL SALMI</t>
  </si>
  <si>
    <t>Tanjung Bruas Light.</t>
  </si>
  <si>
    <t>count</t>
  </si>
  <si>
    <t>Vessels entering SoH</t>
  </si>
  <si>
    <t>Manual</t>
  </si>
  <si>
    <t>Kpler</t>
  </si>
  <si>
    <t>kpler</t>
  </si>
  <si>
    <t>manual</t>
  </si>
  <si>
    <t>VADIN</t>
  </si>
  <si>
    <t>Al Rayyan</t>
  </si>
  <si>
    <t>Rayyan</t>
  </si>
  <si>
    <t>PANAMA PROSPERITY</t>
  </si>
  <si>
    <t>Synergy Denmark</t>
  </si>
  <si>
    <t>Jieyang</t>
  </si>
  <si>
    <t>Dubai Area</t>
  </si>
  <si>
    <t>COMOROS</t>
  </si>
  <si>
    <t>ANTIGUA AND BARBUDA</t>
  </si>
  <si>
    <t>Capacity</t>
  </si>
  <si>
    <t>capacity</t>
  </si>
  <si>
    <t>class</t>
  </si>
  <si>
    <t>MAV-7D</t>
  </si>
  <si>
    <t>Capacity/d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</si>
</sst>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rgb="FF030711"/>
      <name val="Arial"/>
      <family val="2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1" fillId="0" borderId="1" xfId="0" applyFont="1" applyBorder="1"/>
    <xf numFmtId="22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0" borderId="2" xfId="0" applyBorder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2" fillId="2" borderId="0" xfId="1" applyFill="1" applyBorder="1" applyAlignment="1">
      <alignment vertical="top" indent="1"/>
    </xf>
    <xf numFmtId="3" fontId="4" fillId="2" borderId="0" xfId="0" applyNumberFormat="1" applyFont="1" applyFill="1" applyAlignment="1">
      <alignment vertical="top" indent="1"/>
    </xf>
    <xf numFmtId="0" fontId="2" fillId="6" borderId="0" xfId="1" applyFill="1" applyBorder="1" applyAlignment="1">
      <alignment vertical="top" indent="1"/>
    </xf>
    <xf numFmtId="3" fontId="4" fillId="7" borderId="0" xfId="0" applyNumberFormat="1" applyFont="1" applyFill="1" applyAlignment="1">
      <alignment vertical="top" indent="1"/>
    </xf>
    <xf numFmtId="3" fontId="4" fillId="6" borderId="0" xfId="0" applyNumberFormat="1" applyFont="1" applyFill="1" applyAlignment="1">
      <alignment vertical="top" indent="1"/>
    </xf>
    <xf numFmtId="0" fontId="0" fillId="8" borderId="0" xfId="0" applyFill="1"/>
    <xf numFmtId="14" fontId="0" fillId="8" borderId="0" xfId="0" applyNumberFormat="1" applyFill="1"/>
    <xf numFmtId="0" fontId="3" fillId="0" borderId="0" xfId="0" applyFont="1"/>
    <xf numFmtId="14" fontId="3" fillId="0" borderId="0" xfId="0" applyNumberFormat="1" applyFont="1"/>
    <xf numFmtId="0" fontId="3" fillId="0" borderId="3" xfId="0" applyFont="1" applyBorder="1"/>
    <xf numFmtId="0" fontId="3" fillId="0" borderId="4" xfId="0" applyFont="1" applyBorder="1"/>
    <xf numFmtId="14" fontId="3" fillId="0" borderId="4" xfId="0" applyNumberFormat="1" applyFont="1" applyBorder="1"/>
    <xf numFmtId="0" fontId="3" fillId="0" borderId="5" xfId="0" applyFont="1" applyBorder="1"/>
    <xf numFmtId="3" fontId="0" fillId="0" borderId="0" xfId="0" applyNumberFormat="1"/>
    <xf numFmtId="0" fontId="0" fillId="9" borderId="0" xfId="0" applyFill="1"/>
    <xf numFmtId="14" fontId="0" fillId="9" borderId="0" xfId="0" applyNumberFormat="1" applyFill="1"/>
    <xf numFmtId="3" fontId="0" fillId="9" borderId="0" xfId="0" applyNumberFormat="1" applyFill="1"/>
    <xf numFmtId="0" fontId="5" fillId="0" borderId="0" xfId="0" applyFont="1" applyAlignment="1">
      <alignment horizontal="left" indent="1"/>
    </xf>
    <xf numFmtId="0" fontId="5" fillId="0" borderId="0" xfId="0" applyFont="1"/>
    <xf numFmtId="0" fontId="3" fillId="0" borderId="0" xfId="0" applyFont="1" applyAlignment="1">
      <alignment horizontal="left" indent="2"/>
    </xf>
    <xf numFmtId="164" fontId="0" fillId="4" borderId="0" xfId="2" applyNumberFormat="1" applyFont="1" applyFill="1"/>
    <xf numFmtId="164" fontId="0" fillId="5" borderId="0" xfId="2" applyNumberFormat="1" applyFont="1" applyFill="1"/>
    <xf numFmtId="164" fontId="0" fillId="0" borderId="0" xfId="2" applyNumberFormat="1" applyFont="1" applyFill="1"/>
    <xf numFmtId="164" fontId="0" fillId="8" borderId="0" xfId="2" applyNumberFormat="1" applyFont="1" applyFill="1"/>
    <xf numFmtId="164" fontId="0" fillId="0" borderId="0" xfId="2" applyNumberFormat="1" applyFont="1"/>
    <xf numFmtId="14" fontId="0" fillId="2" borderId="0" xfId="0" applyNumberFormat="1" applyFill="1"/>
    <xf numFmtId="43" fontId="0" fillId="0" borderId="0" xfId="2" applyFont="1"/>
    <xf numFmtId="164" fontId="0" fillId="0" borderId="0" xfId="0" applyNumberFormat="1"/>
    <xf numFmtId="0" fontId="0" fillId="10" borderId="0" xfId="0" applyFill="1"/>
    <xf numFmtId="14" fontId="0" fillId="10" borderId="0" xfId="0" applyNumberFormat="1" applyFill="1"/>
    <xf numFmtId="3" fontId="0" fillId="10" borderId="0" xfId="0" applyNumberFormat="1" applyFill="1"/>
    <xf numFmtId="3" fontId="0" fillId="3" borderId="0" xfId="0" applyNumberFormat="1" applyFill="1"/>
    <xf numFmtId="0" fontId="0" fillId="11" borderId="0" xfId="0" applyFill="1"/>
    <xf numFmtId="14" fontId="0" fillId="11" borderId="0" xfId="0" applyNumberFormat="1" applyFill="1"/>
    <xf numFmtId="3" fontId="0" fillId="11" borderId="0" xfId="0" applyNumberFormat="1" applyFill="1"/>
    <xf numFmtId="11" fontId="0" fillId="0" borderId="0" xfId="0" applyNumberFormat="1"/>
    <xf numFmtId="0" fontId="7" fillId="0" borderId="0" xfId="0" applyFont="1"/>
    <xf numFmtId="14" fontId="7" fillId="0" borderId="0" xfId="0" applyNumberFormat="1" applyFont="1"/>
    <xf numFmtId="0" fontId="0" fillId="12" borderId="0" xfId="0" applyFill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SoH!$S$123</c:f>
          <c:strCache>
            <c:ptCount val="1"/>
            <c:pt idx="0">
              <c:v>Vessel crossing SoH (Volume)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SoH!$S$132:$S$156</c:f>
              <c:numCache>
                <c:formatCode>m/d/yyyy</c:formatCode>
                <c:ptCount val="25"/>
                <c:pt idx="0">
                  <c:v>46215</c:v>
                </c:pt>
                <c:pt idx="1">
                  <c:v>46216</c:v>
                </c:pt>
                <c:pt idx="2">
                  <c:v>46217</c:v>
                </c:pt>
                <c:pt idx="3">
                  <c:v>46218</c:v>
                </c:pt>
                <c:pt idx="4">
                  <c:v>46219</c:v>
                </c:pt>
                <c:pt idx="5">
                  <c:v>46220</c:v>
                </c:pt>
                <c:pt idx="6">
                  <c:v>46221</c:v>
                </c:pt>
                <c:pt idx="7">
                  <c:v>46222</c:v>
                </c:pt>
                <c:pt idx="8">
                  <c:v>46223</c:v>
                </c:pt>
                <c:pt idx="9">
                  <c:v>46224</c:v>
                </c:pt>
                <c:pt idx="10">
                  <c:v>46225</c:v>
                </c:pt>
                <c:pt idx="11">
                  <c:v>46226</c:v>
                </c:pt>
                <c:pt idx="12">
                  <c:v>46227</c:v>
                </c:pt>
                <c:pt idx="13">
                  <c:v>46228</c:v>
                </c:pt>
                <c:pt idx="14">
                  <c:v>46229</c:v>
                </c:pt>
                <c:pt idx="15">
                  <c:v>46230</c:v>
                </c:pt>
                <c:pt idx="16">
                  <c:v>46231</c:v>
                </c:pt>
                <c:pt idx="17">
                  <c:v>46232</c:v>
                </c:pt>
                <c:pt idx="18">
                  <c:v>46233</c:v>
                </c:pt>
                <c:pt idx="19">
                  <c:v>46234</c:v>
                </c:pt>
                <c:pt idx="20">
                  <c:v>46235</c:v>
                </c:pt>
                <c:pt idx="21">
                  <c:v>46236</c:v>
                </c:pt>
                <c:pt idx="22">
                  <c:v>46237</c:v>
                </c:pt>
                <c:pt idx="23">
                  <c:v>46238</c:v>
                </c:pt>
              </c:numCache>
            </c:numRef>
          </c:cat>
          <c:val>
            <c:numRef>
              <c:f>SoH!$T$132:$T$156</c:f>
              <c:numCache>
                <c:formatCode>_-* #,##0_-;\-* #,##0_-;_-* "-"??_-;_-@_-</c:formatCode>
                <c:ptCount val="25"/>
                <c:pt idx="0">
                  <c:v>3500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4000</c:v>
                </c:pt>
                <c:pt idx="5">
                  <c:v>0</c:v>
                </c:pt>
                <c:pt idx="6">
                  <c:v>2000</c:v>
                </c:pt>
                <c:pt idx="7">
                  <c:v>0</c:v>
                </c:pt>
                <c:pt idx="8">
                  <c:v>6000</c:v>
                </c:pt>
                <c:pt idx="9">
                  <c:v>2000</c:v>
                </c:pt>
                <c:pt idx="10">
                  <c:v>4000</c:v>
                </c:pt>
                <c:pt idx="11">
                  <c:v>0</c:v>
                </c:pt>
                <c:pt idx="12">
                  <c:v>4000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2000</c:v>
                </c:pt>
                <c:pt idx="18">
                  <c:v>0</c:v>
                </c:pt>
                <c:pt idx="19">
                  <c:v>6000</c:v>
                </c:pt>
                <c:pt idx="20">
                  <c:v>3000</c:v>
                </c:pt>
                <c:pt idx="21">
                  <c:v>0</c:v>
                </c:pt>
                <c:pt idx="22">
                  <c:v>3000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E-455B-91CC-3F244AE11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172112"/>
        <c:axId val="349170192"/>
      </c:barChart>
      <c:dateAx>
        <c:axId val="349172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70192"/>
        <c:crosses val="autoZero"/>
        <c:auto val="1"/>
        <c:lblOffset val="100"/>
        <c:baseTimeUnit val="days"/>
      </c:dateAx>
      <c:valAx>
        <c:axId val="3491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7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SoH!$S$161</c:f>
          <c:strCache>
            <c:ptCount val="1"/>
            <c:pt idx="0">
              <c:v>Vessels entering SoH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SoH!$U$163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SoH!$S$164:$S$187</c:f>
              <c:numCache>
                <c:formatCode>m/d/yyyy</c:formatCode>
                <c:ptCount val="24"/>
                <c:pt idx="0">
                  <c:v>46239</c:v>
                </c:pt>
                <c:pt idx="1">
                  <c:v>46238</c:v>
                </c:pt>
                <c:pt idx="2">
                  <c:v>46237</c:v>
                </c:pt>
                <c:pt idx="3">
                  <c:v>46236</c:v>
                </c:pt>
                <c:pt idx="4">
                  <c:v>46235</c:v>
                </c:pt>
                <c:pt idx="5">
                  <c:v>46234</c:v>
                </c:pt>
                <c:pt idx="6">
                  <c:v>46232</c:v>
                </c:pt>
                <c:pt idx="7">
                  <c:v>46231</c:v>
                </c:pt>
                <c:pt idx="8">
                  <c:v>46230</c:v>
                </c:pt>
                <c:pt idx="9">
                  <c:v>46229</c:v>
                </c:pt>
                <c:pt idx="10">
                  <c:v>46228</c:v>
                </c:pt>
                <c:pt idx="11">
                  <c:v>46226</c:v>
                </c:pt>
                <c:pt idx="12">
                  <c:v>46224</c:v>
                </c:pt>
                <c:pt idx="13">
                  <c:v>46223</c:v>
                </c:pt>
                <c:pt idx="14">
                  <c:v>46222</c:v>
                </c:pt>
                <c:pt idx="15">
                  <c:v>46221</c:v>
                </c:pt>
                <c:pt idx="16">
                  <c:v>46220</c:v>
                </c:pt>
                <c:pt idx="17">
                  <c:v>46219</c:v>
                </c:pt>
                <c:pt idx="18">
                  <c:v>46218</c:v>
                </c:pt>
                <c:pt idx="19">
                  <c:v>46217</c:v>
                </c:pt>
                <c:pt idx="20">
                  <c:v>46216</c:v>
                </c:pt>
                <c:pt idx="21">
                  <c:v>46215</c:v>
                </c:pt>
              </c:numCache>
            </c:numRef>
          </c:cat>
          <c:val>
            <c:numRef>
              <c:f>SoH!$U$164:$U$187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C-4867-82FF-7D1798D781BF}"/>
            </c:ext>
          </c:extLst>
        </c:ser>
        <c:ser>
          <c:idx val="1"/>
          <c:order val="1"/>
          <c:tx>
            <c:strRef>
              <c:f>SoH!$V$163</c:f>
              <c:strCache>
                <c:ptCount val="1"/>
                <c:pt idx="0">
                  <c:v>kpler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SoH!$S$164:$S$187</c:f>
              <c:numCache>
                <c:formatCode>m/d/yyyy</c:formatCode>
                <c:ptCount val="24"/>
                <c:pt idx="0">
                  <c:v>46239</c:v>
                </c:pt>
                <c:pt idx="1">
                  <c:v>46238</c:v>
                </c:pt>
                <c:pt idx="2">
                  <c:v>46237</c:v>
                </c:pt>
                <c:pt idx="3">
                  <c:v>46236</c:v>
                </c:pt>
                <c:pt idx="4">
                  <c:v>46235</c:v>
                </c:pt>
                <c:pt idx="5">
                  <c:v>46234</c:v>
                </c:pt>
                <c:pt idx="6">
                  <c:v>46232</c:v>
                </c:pt>
                <c:pt idx="7">
                  <c:v>46231</c:v>
                </c:pt>
                <c:pt idx="8">
                  <c:v>46230</c:v>
                </c:pt>
                <c:pt idx="9">
                  <c:v>46229</c:v>
                </c:pt>
                <c:pt idx="10">
                  <c:v>46228</c:v>
                </c:pt>
                <c:pt idx="11">
                  <c:v>46226</c:v>
                </c:pt>
                <c:pt idx="12">
                  <c:v>46224</c:v>
                </c:pt>
                <c:pt idx="13">
                  <c:v>46223</c:v>
                </c:pt>
                <c:pt idx="14">
                  <c:v>46222</c:v>
                </c:pt>
                <c:pt idx="15">
                  <c:v>46221</c:v>
                </c:pt>
                <c:pt idx="16">
                  <c:v>46220</c:v>
                </c:pt>
                <c:pt idx="17">
                  <c:v>46219</c:v>
                </c:pt>
                <c:pt idx="18">
                  <c:v>46218</c:v>
                </c:pt>
                <c:pt idx="19">
                  <c:v>46217</c:v>
                </c:pt>
                <c:pt idx="20">
                  <c:v>46216</c:v>
                </c:pt>
                <c:pt idx="21">
                  <c:v>46215</c:v>
                </c:pt>
              </c:numCache>
            </c:numRef>
          </c:cat>
          <c:val>
            <c:numRef>
              <c:f>SoH!$V$164:$V$187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6C-4867-82FF-7D1798D78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49172112"/>
        <c:axId val="349170192"/>
      </c:barChart>
      <c:dateAx>
        <c:axId val="349172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70192"/>
        <c:crosses val="autoZero"/>
        <c:auto val="1"/>
        <c:lblOffset val="100"/>
        <c:baseTimeUnit val="days"/>
      </c:dateAx>
      <c:valAx>
        <c:axId val="3491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7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SoH!$S$161</c:f>
          <c:strCache>
            <c:ptCount val="1"/>
            <c:pt idx="0">
              <c:v>Vessels entering SoH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SoH!$W$163</c:f>
              <c:strCache>
                <c:ptCount val="1"/>
                <c:pt idx="0">
                  <c:v>Capacity/d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SoH!$S$164:$S$185</c:f>
              <c:numCache>
                <c:formatCode>m/d/yyyy</c:formatCode>
                <c:ptCount val="22"/>
                <c:pt idx="0">
                  <c:v>46239</c:v>
                </c:pt>
                <c:pt idx="1">
                  <c:v>46238</c:v>
                </c:pt>
                <c:pt idx="2">
                  <c:v>46237</c:v>
                </c:pt>
                <c:pt idx="3">
                  <c:v>46236</c:v>
                </c:pt>
                <c:pt idx="4">
                  <c:v>46235</c:v>
                </c:pt>
                <c:pt idx="5">
                  <c:v>46234</c:v>
                </c:pt>
                <c:pt idx="6">
                  <c:v>46232</c:v>
                </c:pt>
                <c:pt idx="7">
                  <c:v>46231</c:v>
                </c:pt>
                <c:pt idx="8">
                  <c:v>46230</c:v>
                </c:pt>
                <c:pt idx="9">
                  <c:v>46229</c:v>
                </c:pt>
                <c:pt idx="10">
                  <c:v>46228</c:v>
                </c:pt>
                <c:pt idx="11">
                  <c:v>46226</c:v>
                </c:pt>
                <c:pt idx="12">
                  <c:v>46224</c:v>
                </c:pt>
                <c:pt idx="13">
                  <c:v>46223</c:v>
                </c:pt>
                <c:pt idx="14">
                  <c:v>46222</c:v>
                </c:pt>
                <c:pt idx="15">
                  <c:v>46221</c:v>
                </c:pt>
                <c:pt idx="16">
                  <c:v>46220</c:v>
                </c:pt>
                <c:pt idx="17">
                  <c:v>46219</c:v>
                </c:pt>
                <c:pt idx="18">
                  <c:v>46218</c:v>
                </c:pt>
                <c:pt idx="19">
                  <c:v>46217</c:v>
                </c:pt>
                <c:pt idx="20">
                  <c:v>46216</c:v>
                </c:pt>
                <c:pt idx="21">
                  <c:v>46215</c:v>
                </c:pt>
              </c:numCache>
            </c:numRef>
          </c:cat>
          <c:val>
            <c:numRef>
              <c:f>SoH!$W$164:$W$187</c:f>
              <c:numCache>
                <c:formatCode>_-* #,##0_-;\-* #,##0_-;_-* "-"??_-;_-@_-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0</c:v>
                </c:pt>
                <c:pt idx="3">
                  <c:v>2000</c:v>
                </c:pt>
                <c:pt idx="4">
                  <c:v>2000</c:v>
                </c:pt>
                <c:pt idx="5">
                  <c:v>2800</c:v>
                </c:pt>
                <c:pt idx="6">
                  <c:v>1600</c:v>
                </c:pt>
                <c:pt idx="7">
                  <c:v>2000</c:v>
                </c:pt>
                <c:pt idx="8">
                  <c:v>2000</c:v>
                </c:pt>
                <c:pt idx="9">
                  <c:v>1000</c:v>
                </c:pt>
                <c:pt idx="10">
                  <c:v>2000</c:v>
                </c:pt>
                <c:pt idx="11">
                  <c:v>2000</c:v>
                </c:pt>
                <c:pt idx="12">
                  <c:v>800</c:v>
                </c:pt>
                <c:pt idx="13">
                  <c:v>10800</c:v>
                </c:pt>
                <c:pt idx="14">
                  <c:v>800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1600</c:v>
                </c:pt>
                <c:pt idx="20">
                  <c:v>8000</c:v>
                </c:pt>
                <c:pt idx="21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2-40CB-AA12-D1B73018F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9172112"/>
        <c:axId val="349170192"/>
      </c:barChart>
      <c:lineChart>
        <c:grouping val="standard"/>
        <c:varyColors val="0"/>
        <c:ser>
          <c:idx val="1"/>
          <c:order val="1"/>
          <c:tx>
            <c:strRef>
              <c:f>SoH!$X$163</c:f>
              <c:strCache>
                <c:ptCount val="1"/>
                <c:pt idx="0">
                  <c:v>MAV-7D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SoH!$S$164:$S$185</c:f>
              <c:numCache>
                <c:formatCode>m/d/yyyy</c:formatCode>
                <c:ptCount val="22"/>
                <c:pt idx="0">
                  <c:v>46239</c:v>
                </c:pt>
                <c:pt idx="1">
                  <c:v>46238</c:v>
                </c:pt>
                <c:pt idx="2">
                  <c:v>46237</c:v>
                </c:pt>
                <c:pt idx="3">
                  <c:v>46236</c:v>
                </c:pt>
                <c:pt idx="4">
                  <c:v>46235</c:v>
                </c:pt>
                <c:pt idx="5">
                  <c:v>46234</c:v>
                </c:pt>
                <c:pt idx="6">
                  <c:v>46232</c:v>
                </c:pt>
                <c:pt idx="7">
                  <c:v>46231</c:v>
                </c:pt>
                <c:pt idx="8">
                  <c:v>46230</c:v>
                </c:pt>
                <c:pt idx="9">
                  <c:v>46229</c:v>
                </c:pt>
                <c:pt idx="10">
                  <c:v>46228</c:v>
                </c:pt>
                <c:pt idx="11">
                  <c:v>46226</c:v>
                </c:pt>
                <c:pt idx="12">
                  <c:v>46224</c:v>
                </c:pt>
                <c:pt idx="13">
                  <c:v>46223</c:v>
                </c:pt>
                <c:pt idx="14">
                  <c:v>46222</c:v>
                </c:pt>
                <c:pt idx="15">
                  <c:v>46221</c:v>
                </c:pt>
                <c:pt idx="16">
                  <c:v>46220</c:v>
                </c:pt>
                <c:pt idx="17">
                  <c:v>46219</c:v>
                </c:pt>
                <c:pt idx="18">
                  <c:v>46218</c:v>
                </c:pt>
                <c:pt idx="19">
                  <c:v>46217</c:v>
                </c:pt>
                <c:pt idx="20">
                  <c:v>46216</c:v>
                </c:pt>
                <c:pt idx="21">
                  <c:v>46215</c:v>
                </c:pt>
              </c:numCache>
            </c:numRef>
          </c:cat>
          <c:val>
            <c:numRef>
              <c:f>SoH!$Y$164:$Y$185</c:f>
              <c:numCache>
                <c:formatCode>_-* #,##0_-;\-* #,##0_-;_-* "-"??_-;_-@_-</c:formatCode>
                <c:ptCount val="22"/>
                <c:pt idx="0">
                  <c:v>1800</c:v>
                </c:pt>
                <c:pt idx="1">
                  <c:v>1733.3333333333333</c:v>
                </c:pt>
                <c:pt idx="2">
                  <c:v>1733.3333333333333</c:v>
                </c:pt>
                <c:pt idx="3">
                  <c:v>2066.6666666666665</c:v>
                </c:pt>
                <c:pt idx="4">
                  <c:v>1900</c:v>
                </c:pt>
                <c:pt idx="5">
                  <c:v>1900</c:v>
                </c:pt>
                <c:pt idx="6">
                  <c:v>1766.6666666666667</c:v>
                </c:pt>
                <c:pt idx="7">
                  <c:v>1633.3333333333333</c:v>
                </c:pt>
                <c:pt idx="8">
                  <c:v>3100</c:v>
                </c:pt>
                <c:pt idx="9">
                  <c:v>2900</c:v>
                </c:pt>
                <c:pt idx="10">
                  <c:v>3066.6666666666665</c:v>
                </c:pt>
                <c:pt idx="11">
                  <c:v>3066.6666666666665</c:v>
                </c:pt>
                <c:pt idx="12">
                  <c:v>3066.6666666666665</c:v>
                </c:pt>
                <c:pt idx="13">
                  <c:v>3266.6666666666665</c:v>
                </c:pt>
                <c:pt idx="14">
                  <c:v>1733.3333333333333</c:v>
                </c:pt>
                <c:pt idx="15">
                  <c:v>2933.3333333333335</c:v>
                </c:pt>
                <c:pt idx="16">
                  <c:v>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92-40CB-AA12-D1B73018F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172112"/>
        <c:axId val="349170192"/>
      </c:lineChart>
      <c:dateAx>
        <c:axId val="349172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70192"/>
        <c:crosses val="autoZero"/>
        <c:auto val="1"/>
        <c:lblOffset val="100"/>
        <c:baseTimeUnit val="days"/>
      </c:dateAx>
      <c:valAx>
        <c:axId val="3491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(kb)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7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Sheet3!$C$10:$C$56</c:f>
              <c:numCache>
                <c:formatCode>m/d/yyyy</c:formatCode>
                <c:ptCount val="47"/>
                <c:pt idx="0">
                  <c:v>46190</c:v>
                </c:pt>
                <c:pt idx="1">
                  <c:v>46191</c:v>
                </c:pt>
                <c:pt idx="2">
                  <c:v>46192</c:v>
                </c:pt>
                <c:pt idx="3">
                  <c:v>46193</c:v>
                </c:pt>
                <c:pt idx="4">
                  <c:v>46194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46200</c:v>
                </c:pt>
                <c:pt idx="11">
                  <c:v>46201</c:v>
                </c:pt>
                <c:pt idx="12">
                  <c:v>46202</c:v>
                </c:pt>
                <c:pt idx="13">
                  <c:v>46203</c:v>
                </c:pt>
                <c:pt idx="14">
                  <c:v>46204</c:v>
                </c:pt>
                <c:pt idx="15">
                  <c:v>46205</c:v>
                </c:pt>
                <c:pt idx="16">
                  <c:v>46206</c:v>
                </c:pt>
                <c:pt idx="17">
                  <c:v>46207</c:v>
                </c:pt>
                <c:pt idx="18">
                  <c:v>46208</c:v>
                </c:pt>
                <c:pt idx="19">
                  <c:v>46209</c:v>
                </c:pt>
                <c:pt idx="20">
                  <c:v>46210</c:v>
                </c:pt>
                <c:pt idx="21">
                  <c:v>46211</c:v>
                </c:pt>
                <c:pt idx="22">
                  <c:v>46212</c:v>
                </c:pt>
                <c:pt idx="23">
                  <c:v>46213</c:v>
                </c:pt>
                <c:pt idx="24">
                  <c:v>46214</c:v>
                </c:pt>
                <c:pt idx="25">
                  <c:v>46215</c:v>
                </c:pt>
                <c:pt idx="26">
                  <c:v>46216</c:v>
                </c:pt>
                <c:pt idx="27">
                  <c:v>46217</c:v>
                </c:pt>
                <c:pt idx="28">
                  <c:v>46218</c:v>
                </c:pt>
                <c:pt idx="29">
                  <c:v>46219</c:v>
                </c:pt>
                <c:pt idx="30">
                  <c:v>46220</c:v>
                </c:pt>
                <c:pt idx="31">
                  <c:v>46221</c:v>
                </c:pt>
                <c:pt idx="32">
                  <c:v>46222</c:v>
                </c:pt>
                <c:pt idx="33">
                  <c:v>46223</c:v>
                </c:pt>
                <c:pt idx="34">
                  <c:v>46224</c:v>
                </c:pt>
                <c:pt idx="35">
                  <c:v>46225</c:v>
                </c:pt>
                <c:pt idx="36">
                  <c:v>46226</c:v>
                </c:pt>
                <c:pt idx="37">
                  <c:v>46227</c:v>
                </c:pt>
                <c:pt idx="38">
                  <c:v>46228</c:v>
                </c:pt>
                <c:pt idx="39">
                  <c:v>46229</c:v>
                </c:pt>
                <c:pt idx="40">
                  <c:v>46230</c:v>
                </c:pt>
                <c:pt idx="41">
                  <c:v>46231</c:v>
                </c:pt>
                <c:pt idx="42">
                  <c:v>46232</c:v>
                </c:pt>
                <c:pt idx="43">
                  <c:v>46233</c:v>
                </c:pt>
                <c:pt idx="44">
                  <c:v>46234</c:v>
                </c:pt>
                <c:pt idx="45">
                  <c:v>46235</c:v>
                </c:pt>
                <c:pt idx="46">
                  <c:v>46236</c:v>
                </c:pt>
              </c:numCache>
            </c:numRef>
          </c:cat>
          <c:val>
            <c:numRef>
              <c:f>Sheet3!$D$10:$D$56</c:f>
              <c:numCache>
                <c:formatCode>General</c:formatCode>
                <c:ptCount val="47"/>
                <c:pt idx="0">
                  <c:v>3</c:v>
                </c:pt>
                <c:pt idx="1">
                  <c:v>11</c:v>
                </c:pt>
                <c:pt idx="2">
                  <c:v>4</c:v>
                </c:pt>
                <c:pt idx="3">
                  <c:v>10</c:v>
                </c:pt>
                <c:pt idx="4">
                  <c:v>2</c:v>
                </c:pt>
                <c:pt idx="5">
                  <c:v>11</c:v>
                </c:pt>
                <c:pt idx="6">
                  <c:v>9</c:v>
                </c:pt>
                <c:pt idx="7">
                  <c:v>13</c:v>
                </c:pt>
                <c:pt idx="8">
                  <c:v>4</c:v>
                </c:pt>
                <c:pt idx="9">
                  <c:v>15</c:v>
                </c:pt>
                <c:pt idx="10">
                  <c:v>13</c:v>
                </c:pt>
                <c:pt idx="11">
                  <c:v>6</c:v>
                </c:pt>
                <c:pt idx="12">
                  <c:v>13</c:v>
                </c:pt>
                <c:pt idx="13">
                  <c:v>6</c:v>
                </c:pt>
                <c:pt idx="14">
                  <c:v>12</c:v>
                </c:pt>
                <c:pt idx="15">
                  <c:v>13</c:v>
                </c:pt>
                <c:pt idx="16">
                  <c:v>11</c:v>
                </c:pt>
                <c:pt idx="17">
                  <c:v>8</c:v>
                </c:pt>
                <c:pt idx="18">
                  <c:v>9</c:v>
                </c:pt>
                <c:pt idx="19">
                  <c:v>7</c:v>
                </c:pt>
                <c:pt idx="20">
                  <c:v>8</c:v>
                </c:pt>
                <c:pt idx="21">
                  <c:v>10</c:v>
                </c:pt>
                <c:pt idx="22">
                  <c:v>10</c:v>
                </c:pt>
                <c:pt idx="23">
                  <c:v>6</c:v>
                </c:pt>
                <c:pt idx="24">
                  <c:v>6</c:v>
                </c:pt>
                <c:pt idx="25">
                  <c:v>5</c:v>
                </c:pt>
                <c:pt idx="26">
                  <c:v>6</c:v>
                </c:pt>
                <c:pt idx="27">
                  <c:v>8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8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0</c:v>
                </c:pt>
                <c:pt idx="38">
                  <c:v>1</c:v>
                </c:pt>
                <c:pt idx="39">
                  <c:v>5</c:v>
                </c:pt>
                <c:pt idx="40">
                  <c:v>2</c:v>
                </c:pt>
                <c:pt idx="41">
                  <c:v>2</c:v>
                </c:pt>
                <c:pt idx="42">
                  <c:v>4</c:v>
                </c:pt>
                <c:pt idx="43">
                  <c:v>1</c:v>
                </c:pt>
                <c:pt idx="44">
                  <c:v>4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B-4A77-B7FC-3E067D07F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312527"/>
        <c:axId val="1704313007"/>
      </c:barChart>
      <c:dateAx>
        <c:axId val="170431252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313007"/>
        <c:crosses val="autoZero"/>
        <c:auto val="1"/>
        <c:lblOffset val="100"/>
        <c:baseTimeUnit val="days"/>
      </c:dateAx>
      <c:valAx>
        <c:axId val="170431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31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180975</xdr:colOff>
      <xdr:row>1</xdr:row>
      <xdr:rowOff>85725</xdr:rowOff>
    </xdr:from>
    <xdr:to>
      <xdr:col>28</xdr:col>
      <xdr:colOff>542925</xdr:colOff>
      <xdr:row>7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5D3ABB-55B6-4F81-871F-CC4F7DB66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6325" y="276225"/>
          <a:ext cx="219075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514349</xdr:colOff>
      <xdr:row>130</xdr:row>
      <xdr:rowOff>61912</xdr:rowOff>
    </xdr:from>
    <xdr:to>
      <xdr:col>15</xdr:col>
      <xdr:colOff>657224</xdr:colOff>
      <xdr:row>156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D12ED5-2FD6-6577-AC53-7ED92B0E8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476250</xdr:colOff>
      <xdr:row>159</xdr:row>
      <xdr:rowOff>57150</xdr:rowOff>
    </xdr:from>
    <xdr:to>
      <xdr:col>15</xdr:col>
      <xdr:colOff>619125</xdr:colOff>
      <xdr:row>185</xdr:row>
      <xdr:rowOff>14288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8324EC-E545-4ACB-BE14-FCAA9FBBD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189</xdr:row>
      <xdr:rowOff>0</xdr:rowOff>
    </xdr:from>
    <xdr:to>
      <xdr:col>16</xdr:col>
      <xdr:colOff>28575</xdr:colOff>
      <xdr:row>214</xdr:row>
      <xdr:rowOff>147638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C0C93A-74BA-4C6A-8EBB-EBA917951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438149</xdr:colOff>
      <xdr:row>23</xdr:row>
      <xdr:rowOff>42861</xdr:rowOff>
    </xdr:from>
    <xdr:to>
      <xdr:col>27</xdr:col>
      <xdr:colOff>142875</xdr:colOff>
      <xdr:row>54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5399D-E4F1-34B1-752D-5A2901DB0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295D6-0BE4-4F6E-B9B0-97DFDB04C7F0}" name="Table1" displayName="Table1" ref="C2:D5" totalsRowShown="0">
  <autoFilter ref="C2:D5" xr:uid="{BF2295D6-0BE4-4F6E-B9B0-97DFDB04C7F0}"/>
  <tableColumns count="2">
    <tableColumn id="1" xr3:uid="{B1FC6C89-ADFC-45E2-8778-B63B937C49BB}" name="class"/>
    <tableColumn id="2" xr3:uid="{45A1BB5F-FA87-4DBE-93C8-7E776C7E79B6}" name="capa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erminal.kpler.com/map/vessel/70731?fields=vessel,product&amp;products=1368&amp;vessels=86586" TargetMode="External"/><Relationship Id="rId13" Type="http://schemas.openxmlformats.org/officeDocument/2006/relationships/hyperlink" Target="https://terminal.kpler.com/map/vessel/69818?fields=vessel,product&amp;products=1368&amp;vessels=86586" TargetMode="External"/><Relationship Id="rId3" Type="http://schemas.openxmlformats.org/officeDocument/2006/relationships/hyperlink" Target="https://terminal.kpler.com/map/vessel/73886?fields=vessel,product&amp;products=1368&amp;vessels=86586" TargetMode="External"/><Relationship Id="rId7" Type="http://schemas.openxmlformats.org/officeDocument/2006/relationships/hyperlink" Target="https://terminal.kpler.com/map/vessel/86586?fields=vessel,product&amp;products=1368&amp;vessels=86586" TargetMode="External"/><Relationship Id="rId12" Type="http://schemas.openxmlformats.org/officeDocument/2006/relationships/hyperlink" Target="https://terminal.kpler.com/map/vessel/73984?fields=vessel,product&amp;products=1368&amp;vessels=86586" TargetMode="External"/><Relationship Id="rId2" Type="http://schemas.openxmlformats.org/officeDocument/2006/relationships/hyperlink" Target="https://terminal.kpler.com/map/vessel/78282?fields=vessel,product&amp;products=1368&amp;vessels=86586" TargetMode="External"/><Relationship Id="rId1" Type="http://schemas.openxmlformats.org/officeDocument/2006/relationships/hyperlink" Target="https://terminal.kpler.com/map/vessel/68579?fields=vessel,product&amp;products=1368&amp;vessels=86586" TargetMode="External"/><Relationship Id="rId6" Type="http://schemas.openxmlformats.org/officeDocument/2006/relationships/hyperlink" Target="https://terminal.kpler.com/map/vessel/71252?fields=vessel,product&amp;products=1368&amp;vessels=86586" TargetMode="External"/><Relationship Id="rId11" Type="http://schemas.openxmlformats.org/officeDocument/2006/relationships/hyperlink" Target="https://terminal.kpler.com/map/vessel/101948?fields=vessel,product&amp;products=1368&amp;vessels=86586" TargetMode="External"/><Relationship Id="rId5" Type="http://schemas.openxmlformats.org/officeDocument/2006/relationships/hyperlink" Target="https://terminal.kpler.com/map/vessel/71392?fields=vessel,product&amp;products=1368&amp;vessels=86586" TargetMode="External"/><Relationship Id="rId15" Type="http://schemas.openxmlformats.org/officeDocument/2006/relationships/hyperlink" Target="https://terminal.kpler.com/map/vessel/72446?fields=vessel,product&amp;products=1368&amp;vessels=86586" TargetMode="External"/><Relationship Id="rId10" Type="http://schemas.openxmlformats.org/officeDocument/2006/relationships/hyperlink" Target="https://terminal.kpler.com/map/vessel/68633?fields=vessel,product&amp;products=1368&amp;vessels=86586" TargetMode="External"/><Relationship Id="rId4" Type="http://schemas.openxmlformats.org/officeDocument/2006/relationships/hyperlink" Target="https://terminal.kpler.com/map/vessel/68734?fields=vessel,product&amp;products=1368&amp;vessels=86586" TargetMode="External"/><Relationship Id="rId9" Type="http://schemas.openxmlformats.org/officeDocument/2006/relationships/hyperlink" Target="https://terminal.kpler.com/map/vessel/70290?fields=vessel,product&amp;products=1368&amp;vessels=86586" TargetMode="External"/><Relationship Id="rId14" Type="http://schemas.openxmlformats.org/officeDocument/2006/relationships/hyperlink" Target="https://terminal.kpler.com/map/vessel/71394?fields=vessel,product&amp;products=1368&amp;vessels=8658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8AF1-A5E7-4779-9634-4965A885E745}">
  <dimension ref="A1:AJ187"/>
  <sheetViews>
    <sheetView tabSelected="1" topLeftCell="M1" workbookViewId="0">
      <selection activeCell="AH31" sqref="AH31"/>
    </sheetView>
  </sheetViews>
  <sheetFormatPr defaultRowHeight="15" x14ac:dyDescent="0.25"/>
  <cols>
    <col min="2" max="2" width="22.7109375" bestFit="1" customWidth="1"/>
    <col min="3" max="3" width="10.7109375" customWidth="1"/>
    <col min="4" max="4" width="12.140625" bestFit="1" customWidth="1"/>
    <col min="5" max="5" width="14.5703125" bestFit="1" customWidth="1"/>
    <col min="6" max="6" width="14.7109375" bestFit="1" customWidth="1"/>
    <col min="8" max="8" width="15.28515625" bestFit="1" customWidth="1"/>
    <col min="9" max="9" width="15.28515625" customWidth="1"/>
    <col min="12" max="12" width="17.42578125" bestFit="1" customWidth="1"/>
    <col min="16" max="16" width="10.85546875" customWidth="1"/>
    <col min="19" max="19" width="10.42578125" bestFit="1" customWidth="1"/>
    <col min="20" max="20" width="9.5703125" bestFit="1" customWidth="1"/>
    <col min="21" max="21" width="15.5703125" bestFit="1" customWidth="1"/>
    <col min="23" max="23" width="10.5703125" bestFit="1" customWidth="1"/>
    <col min="24" max="24" width="23.7109375" bestFit="1" customWidth="1"/>
    <col min="32" max="32" width="10.5703125" bestFit="1" customWidth="1"/>
  </cols>
  <sheetData>
    <row r="1" spans="1:36" x14ac:dyDescent="0.25">
      <c r="H1" s="2"/>
    </row>
    <row r="2" spans="1:36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178</v>
      </c>
      <c r="N2" s="1" t="s">
        <v>344</v>
      </c>
      <c r="O2" s="1"/>
      <c r="P2" s="1" t="s">
        <v>442</v>
      </c>
      <c r="U2" s="1" t="s">
        <v>119</v>
      </c>
    </row>
    <row r="3" spans="1:36" x14ac:dyDescent="0.25">
      <c r="B3" t="s">
        <v>12</v>
      </c>
      <c r="C3" t="s">
        <v>13</v>
      </c>
      <c r="D3" t="s">
        <v>14</v>
      </c>
      <c r="E3" s="2">
        <v>46196</v>
      </c>
      <c r="F3" s="2">
        <v>46199</v>
      </c>
      <c r="G3" t="s">
        <v>15</v>
      </c>
      <c r="I3" s="2">
        <v>46205</v>
      </c>
      <c r="J3" t="s">
        <v>16</v>
      </c>
      <c r="L3" t="s">
        <v>17</v>
      </c>
      <c r="M3" t="s">
        <v>18</v>
      </c>
      <c r="U3" s="5"/>
      <c r="X3" t="s">
        <v>167</v>
      </c>
      <c r="Y3" s="6"/>
    </row>
    <row r="4" spans="1:36" x14ac:dyDescent="0.25">
      <c r="B4" t="s">
        <v>19</v>
      </c>
      <c r="C4" t="s">
        <v>13</v>
      </c>
      <c r="D4" t="s">
        <v>14</v>
      </c>
      <c r="E4" s="2">
        <v>46196</v>
      </c>
      <c r="F4" s="2">
        <v>46198</v>
      </c>
      <c r="G4" t="s">
        <v>20</v>
      </c>
      <c r="I4" s="2">
        <v>46202</v>
      </c>
      <c r="J4" t="s">
        <v>16</v>
      </c>
      <c r="L4" t="s">
        <v>17</v>
      </c>
      <c r="M4" t="s">
        <v>18</v>
      </c>
      <c r="U4" s="5"/>
      <c r="X4" t="s">
        <v>169</v>
      </c>
      <c r="Y4" s="18"/>
    </row>
    <row r="5" spans="1:36" x14ac:dyDescent="0.25">
      <c r="B5" t="s">
        <v>21</v>
      </c>
      <c r="C5" t="s">
        <v>22</v>
      </c>
      <c r="D5" t="s">
        <v>23</v>
      </c>
      <c r="E5" s="2">
        <v>46196</v>
      </c>
      <c r="F5" s="2">
        <v>46197</v>
      </c>
      <c r="G5" t="s">
        <v>24</v>
      </c>
      <c r="I5" s="2">
        <v>46202</v>
      </c>
      <c r="J5" t="s">
        <v>25</v>
      </c>
      <c r="K5" t="s">
        <v>26</v>
      </c>
      <c r="M5" t="s">
        <v>18</v>
      </c>
      <c r="U5" s="5"/>
      <c r="X5" t="s">
        <v>168</v>
      </c>
      <c r="Y5" s="11"/>
      <c r="AI5">
        <v>42</v>
      </c>
      <c r="AJ5">
        <v>31</v>
      </c>
    </row>
    <row r="6" spans="1:36" x14ac:dyDescent="0.25">
      <c r="B6" t="s">
        <v>27</v>
      </c>
      <c r="C6" t="s">
        <v>22</v>
      </c>
      <c r="D6" t="s">
        <v>28</v>
      </c>
      <c r="E6" s="2"/>
      <c r="F6" s="2"/>
      <c r="I6" s="2">
        <v>46202</v>
      </c>
      <c r="J6" t="s">
        <v>25</v>
      </c>
      <c r="M6" t="s">
        <v>18</v>
      </c>
      <c r="U6" s="5"/>
      <c r="X6" t="s">
        <v>134</v>
      </c>
      <c r="Y6" s="9"/>
      <c r="AI6">
        <v>45</v>
      </c>
      <c r="AJ6">
        <v>32</v>
      </c>
    </row>
    <row r="7" spans="1:36" x14ac:dyDescent="0.25">
      <c r="B7" t="s">
        <v>29</v>
      </c>
      <c r="C7" t="s">
        <v>13</v>
      </c>
      <c r="D7" t="s">
        <v>14</v>
      </c>
      <c r="E7" s="2">
        <v>46196</v>
      </c>
      <c r="F7" s="2">
        <v>46200</v>
      </c>
      <c r="G7" t="s">
        <v>20</v>
      </c>
      <c r="I7" s="2">
        <v>46205</v>
      </c>
      <c r="J7" t="s">
        <v>16</v>
      </c>
      <c r="L7" t="s">
        <v>17</v>
      </c>
      <c r="M7" t="s">
        <v>18</v>
      </c>
      <c r="U7" s="5"/>
      <c r="X7" t="s">
        <v>135</v>
      </c>
      <c r="Y7" s="8"/>
      <c r="AI7">
        <v>11</v>
      </c>
      <c r="AJ7">
        <v>8</v>
      </c>
    </row>
    <row r="8" spans="1:36" x14ac:dyDescent="0.25">
      <c r="B8" t="s">
        <v>30</v>
      </c>
      <c r="C8" t="s">
        <v>13</v>
      </c>
      <c r="D8" t="s">
        <v>14</v>
      </c>
      <c r="E8" s="2">
        <v>46196</v>
      </c>
      <c r="F8" s="2">
        <v>46198</v>
      </c>
      <c r="G8" t="s">
        <v>20</v>
      </c>
      <c r="I8" s="2">
        <v>46205</v>
      </c>
      <c r="J8" t="s">
        <v>16</v>
      </c>
      <c r="L8" t="s">
        <v>17</v>
      </c>
      <c r="M8" t="s">
        <v>18</v>
      </c>
      <c r="U8" s="5"/>
      <c r="X8" t="s">
        <v>136</v>
      </c>
      <c r="Y8" s="20" t="s">
        <v>195</v>
      </c>
      <c r="AI8">
        <v>18</v>
      </c>
      <c r="AJ8">
        <v>9</v>
      </c>
    </row>
    <row r="9" spans="1:36" x14ac:dyDescent="0.25">
      <c r="B9" t="s">
        <v>31</v>
      </c>
      <c r="C9" t="s">
        <v>13</v>
      </c>
      <c r="D9" t="s">
        <v>14</v>
      </c>
      <c r="E9" s="2"/>
      <c r="F9" s="2">
        <v>46200</v>
      </c>
      <c r="G9" t="s">
        <v>20</v>
      </c>
      <c r="I9" s="2">
        <v>46205</v>
      </c>
      <c r="J9" t="s">
        <v>16</v>
      </c>
      <c r="L9" t="s">
        <v>17</v>
      </c>
      <c r="M9" t="s">
        <v>18</v>
      </c>
      <c r="U9" s="5"/>
      <c r="AI9">
        <f>SUM(AI5:AI8)</f>
        <v>116</v>
      </c>
      <c r="AJ9">
        <f>SUM(AJ5:AJ8)</f>
        <v>80</v>
      </c>
    </row>
    <row r="10" spans="1:36" x14ac:dyDescent="0.25">
      <c r="B10" s="20" t="s">
        <v>32</v>
      </c>
      <c r="C10" s="20" t="s">
        <v>33</v>
      </c>
      <c r="D10" s="20"/>
      <c r="E10" s="21"/>
      <c r="F10" s="21"/>
      <c r="G10" s="20"/>
      <c r="H10" s="20">
        <v>30</v>
      </c>
      <c r="I10" s="21"/>
      <c r="J10" s="20" t="s">
        <v>34</v>
      </c>
      <c r="K10" s="20"/>
      <c r="L10" s="20" t="s">
        <v>17</v>
      </c>
      <c r="M10" s="20" t="s">
        <v>35</v>
      </c>
      <c r="O10" s="20"/>
      <c r="P10" s="20" t="s">
        <v>181</v>
      </c>
      <c r="Q10" t="s">
        <v>37</v>
      </c>
      <c r="U10" s="5"/>
      <c r="X10" t="s">
        <v>133</v>
      </c>
    </row>
    <row r="11" spans="1:36" x14ac:dyDescent="0.25">
      <c r="B11" s="20" t="s">
        <v>38</v>
      </c>
      <c r="C11" s="20" t="s">
        <v>39</v>
      </c>
      <c r="D11" s="20" t="s">
        <v>40</v>
      </c>
      <c r="E11" s="21">
        <v>46199</v>
      </c>
      <c r="F11" s="21">
        <v>46200</v>
      </c>
      <c r="G11" s="20" t="s">
        <v>41</v>
      </c>
      <c r="H11" s="20">
        <v>6</v>
      </c>
      <c r="I11" s="21">
        <v>46202</v>
      </c>
      <c r="J11" s="20" t="s">
        <v>25</v>
      </c>
      <c r="K11" s="20"/>
      <c r="L11" s="20" t="s">
        <v>17</v>
      </c>
      <c r="M11" s="20" t="s">
        <v>42</v>
      </c>
      <c r="U11" s="5"/>
    </row>
    <row r="12" spans="1:36" x14ac:dyDescent="0.25">
      <c r="B12" s="20" t="s">
        <v>43</v>
      </c>
      <c r="C12" s="20" t="s">
        <v>33</v>
      </c>
      <c r="D12" s="20" t="s">
        <v>44</v>
      </c>
      <c r="E12" s="21">
        <v>46199</v>
      </c>
      <c r="F12" s="21">
        <v>46200</v>
      </c>
      <c r="G12" s="20" t="s">
        <v>45</v>
      </c>
      <c r="H12" s="20">
        <v>12</v>
      </c>
      <c r="I12" s="21">
        <v>46204</v>
      </c>
      <c r="J12" s="20" t="s">
        <v>25</v>
      </c>
      <c r="K12" s="20"/>
      <c r="L12" s="20" t="s">
        <v>17</v>
      </c>
      <c r="M12" s="20" t="s">
        <v>42</v>
      </c>
      <c r="U12" s="5"/>
    </row>
    <row r="13" spans="1:36" x14ac:dyDescent="0.25">
      <c r="A13" t="s">
        <v>131</v>
      </c>
      <c r="B13" s="22" t="s">
        <v>46</v>
      </c>
      <c r="C13" s="23" t="s">
        <v>39</v>
      </c>
      <c r="D13" s="23" t="s">
        <v>40</v>
      </c>
      <c r="E13" s="24">
        <v>46201</v>
      </c>
      <c r="F13" s="24">
        <v>46202</v>
      </c>
      <c r="G13" s="23" t="s">
        <v>41</v>
      </c>
      <c r="H13" s="23">
        <v>6</v>
      </c>
      <c r="I13" s="24">
        <v>46204</v>
      </c>
      <c r="J13" s="23" t="s">
        <v>16</v>
      </c>
      <c r="K13" s="23" t="s">
        <v>47</v>
      </c>
      <c r="L13" s="23" t="s">
        <v>48</v>
      </c>
      <c r="M13" s="25" t="s">
        <v>18</v>
      </c>
      <c r="U13" s="5"/>
    </row>
    <row r="14" spans="1:36" x14ac:dyDescent="0.25">
      <c r="B14" s="20" t="s">
        <v>49</v>
      </c>
      <c r="C14" s="20" t="s">
        <v>33</v>
      </c>
      <c r="D14" s="20" t="s">
        <v>44</v>
      </c>
      <c r="E14" s="21">
        <v>46200</v>
      </c>
      <c r="F14" s="21">
        <v>46201</v>
      </c>
      <c r="G14" s="20" t="s">
        <v>45</v>
      </c>
      <c r="H14" s="20">
        <v>12</v>
      </c>
      <c r="I14" s="21">
        <v>46204</v>
      </c>
      <c r="J14" s="20" t="s">
        <v>16</v>
      </c>
      <c r="K14" s="20"/>
      <c r="L14" s="20" t="s">
        <v>17</v>
      </c>
      <c r="M14" s="20" t="s">
        <v>50</v>
      </c>
      <c r="U14" s="5"/>
    </row>
    <row r="15" spans="1:36" x14ac:dyDescent="0.25">
      <c r="B15" t="s">
        <v>51</v>
      </c>
      <c r="C15" t="s">
        <v>13</v>
      </c>
      <c r="D15" t="s">
        <v>14</v>
      </c>
      <c r="E15" s="2">
        <v>46201</v>
      </c>
      <c r="F15" s="2">
        <v>46203</v>
      </c>
      <c r="G15" t="s">
        <v>20</v>
      </c>
      <c r="I15" s="2">
        <v>46206</v>
      </c>
      <c r="J15" t="s">
        <v>16</v>
      </c>
      <c r="L15" t="s">
        <v>17</v>
      </c>
      <c r="M15" t="s">
        <v>42</v>
      </c>
      <c r="U15" s="5"/>
    </row>
    <row r="16" spans="1:36" x14ac:dyDescent="0.25">
      <c r="B16" t="s">
        <v>52</v>
      </c>
      <c r="C16" t="s">
        <v>53</v>
      </c>
      <c r="D16" t="s">
        <v>23</v>
      </c>
      <c r="E16" s="2">
        <v>46198</v>
      </c>
      <c r="F16" s="2">
        <v>46202</v>
      </c>
      <c r="G16" t="s">
        <v>24</v>
      </c>
      <c r="I16" s="2">
        <v>46207</v>
      </c>
      <c r="J16" t="s">
        <v>16</v>
      </c>
      <c r="K16" t="s">
        <v>54</v>
      </c>
      <c r="L16" t="s">
        <v>17</v>
      </c>
      <c r="M16" t="s">
        <v>55</v>
      </c>
      <c r="U16" s="5"/>
    </row>
    <row r="17" spans="1:34" x14ac:dyDescent="0.25">
      <c r="B17" s="20" t="s">
        <v>185</v>
      </c>
      <c r="C17" s="20" t="s">
        <v>64</v>
      </c>
      <c r="D17" s="20" t="s">
        <v>65</v>
      </c>
      <c r="E17" s="20"/>
      <c r="F17" s="21">
        <v>46188</v>
      </c>
      <c r="G17" s="20" t="s">
        <v>66</v>
      </c>
      <c r="H17" s="20">
        <v>60</v>
      </c>
      <c r="I17" s="20"/>
      <c r="J17" s="20" t="s">
        <v>34</v>
      </c>
      <c r="K17" s="20"/>
      <c r="L17" s="20" t="s">
        <v>17</v>
      </c>
      <c r="M17" s="20" t="s">
        <v>42</v>
      </c>
      <c r="P17" t="s">
        <v>181</v>
      </c>
    </row>
    <row r="18" spans="1:34" x14ac:dyDescent="0.25">
      <c r="B18" s="20" t="s">
        <v>63</v>
      </c>
      <c r="C18" s="20" t="s">
        <v>64</v>
      </c>
      <c r="D18" s="20" t="s">
        <v>65</v>
      </c>
      <c r="E18" s="20"/>
      <c r="F18" s="21">
        <v>46203</v>
      </c>
      <c r="G18" s="20" t="s">
        <v>66</v>
      </c>
      <c r="H18" s="20">
        <v>60</v>
      </c>
      <c r="I18" s="20"/>
      <c r="J18" s="20" t="s">
        <v>34</v>
      </c>
      <c r="K18" s="20"/>
      <c r="L18" s="20" t="s">
        <v>17</v>
      </c>
      <c r="M18" s="20" t="s">
        <v>42</v>
      </c>
      <c r="P18" t="s">
        <v>181</v>
      </c>
    </row>
    <row r="19" spans="1:34" x14ac:dyDescent="0.25">
      <c r="B19" s="20" t="s">
        <v>56</v>
      </c>
      <c r="C19" s="20" t="s">
        <v>57</v>
      </c>
      <c r="D19" s="20" t="s">
        <v>23</v>
      </c>
      <c r="E19" s="21"/>
      <c r="F19" s="21">
        <v>46203</v>
      </c>
      <c r="G19" s="20" t="s">
        <v>24</v>
      </c>
      <c r="H19" s="20">
        <v>60</v>
      </c>
      <c r="I19" s="21"/>
      <c r="J19" s="20" t="s">
        <v>34</v>
      </c>
      <c r="K19" s="20"/>
      <c r="L19" s="20" t="s">
        <v>48</v>
      </c>
      <c r="M19" s="20" t="s">
        <v>18</v>
      </c>
      <c r="P19" t="s">
        <v>181</v>
      </c>
      <c r="U19" s="5"/>
    </row>
    <row r="20" spans="1:34" x14ac:dyDescent="0.25">
      <c r="B20" s="20" t="s">
        <v>59</v>
      </c>
      <c r="C20" s="20" t="s">
        <v>39</v>
      </c>
      <c r="D20" s="20" t="s">
        <v>60</v>
      </c>
      <c r="E20" s="21"/>
      <c r="F20" s="21">
        <v>46204</v>
      </c>
      <c r="G20" s="20" t="s">
        <v>60</v>
      </c>
      <c r="H20" s="20">
        <v>8</v>
      </c>
      <c r="I20" s="21">
        <v>46208</v>
      </c>
      <c r="J20" s="20" t="s">
        <v>16</v>
      </c>
      <c r="K20" s="20" t="s">
        <v>61</v>
      </c>
      <c r="L20" s="20" t="s">
        <v>17</v>
      </c>
      <c r="M20" s="20" t="s">
        <v>42</v>
      </c>
      <c r="U20" s="5"/>
    </row>
    <row r="21" spans="1:34" x14ac:dyDescent="0.25">
      <c r="A21" t="s">
        <v>131</v>
      </c>
      <c r="B21" s="22" t="s">
        <v>62</v>
      </c>
      <c r="C21" s="23" t="s">
        <v>90</v>
      </c>
      <c r="D21" s="23" t="s">
        <v>40</v>
      </c>
      <c r="E21" s="24"/>
      <c r="F21" s="24">
        <v>46203</v>
      </c>
      <c r="G21" s="23" t="s">
        <v>41</v>
      </c>
      <c r="H21" s="23">
        <v>10</v>
      </c>
      <c r="I21" s="24">
        <v>46206</v>
      </c>
      <c r="J21" s="23" t="s">
        <v>16</v>
      </c>
      <c r="K21" s="23" t="s">
        <v>47</v>
      </c>
      <c r="L21" s="23" t="s">
        <v>17</v>
      </c>
      <c r="M21" s="25" t="s">
        <v>42</v>
      </c>
      <c r="R21" t="s">
        <v>33</v>
      </c>
      <c r="U21" s="5"/>
    </row>
    <row r="22" spans="1:34" x14ac:dyDescent="0.25">
      <c r="B22" s="20" t="s">
        <v>63</v>
      </c>
      <c r="C22" s="20" t="s">
        <v>64</v>
      </c>
      <c r="D22" s="20" t="s">
        <v>65</v>
      </c>
      <c r="E22" s="21"/>
      <c r="F22" s="21">
        <v>46203</v>
      </c>
      <c r="G22" s="20" t="s">
        <v>66</v>
      </c>
      <c r="H22" s="20">
        <v>30</v>
      </c>
      <c r="I22" s="21"/>
      <c r="J22" s="20" t="s">
        <v>58</v>
      </c>
      <c r="K22" s="20" t="s">
        <v>26</v>
      </c>
      <c r="L22" s="20" t="s">
        <v>17</v>
      </c>
      <c r="M22" s="20" t="s">
        <v>42</v>
      </c>
      <c r="U22" s="5"/>
    </row>
    <row r="23" spans="1:34" x14ac:dyDescent="0.25">
      <c r="B23" s="9" t="s">
        <v>67</v>
      </c>
      <c r="C23" s="9" t="s">
        <v>13</v>
      </c>
      <c r="D23" s="9" t="s">
        <v>14</v>
      </c>
      <c r="E23" s="10"/>
      <c r="F23" s="10">
        <v>46203</v>
      </c>
      <c r="G23" s="9" t="s">
        <v>20</v>
      </c>
      <c r="H23" s="9"/>
      <c r="I23" s="10">
        <v>46206</v>
      </c>
      <c r="J23" s="9" t="s">
        <v>16</v>
      </c>
      <c r="K23" s="9" t="s">
        <v>68</v>
      </c>
      <c r="L23" s="9" t="s">
        <v>17</v>
      </c>
      <c r="M23" s="9" t="s">
        <v>42</v>
      </c>
      <c r="U23" s="5"/>
    </row>
    <row r="24" spans="1:34" x14ac:dyDescent="0.25">
      <c r="B24" s="9" t="s">
        <v>69</v>
      </c>
      <c r="C24" s="9" t="s">
        <v>70</v>
      </c>
      <c r="D24" s="9" t="s">
        <v>71</v>
      </c>
      <c r="E24" s="10">
        <v>46200</v>
      </c>
      <c r="F24" s="10">
        <v>46203</v>
      </c>
      <c r="G24" s="9" t="s">
        <v>20</v>
      </c>
      <c r="H24" s="9"/>
      <c r="I24" s="10">
        <v>46207</v>
      </c>
      <c r="J24" s="9" t="s">
        <v>16</v>
      </c>
      <c r="K24" s="9" t="s">
        <v>68</v>
      </c>
      <c r="L24" s="9" t="s">
        <v>17</v>
      </c>
      <c r="M24" s="9" t="s">
        <v>42</v>
      </c>
      <c r="U24" s="5"/>
    </row>
    <row r="25" spans="1:34" x14ac:dyDescent="0.25">
      <c r="B25" s="9" t="s">
        <v>72</v>
      </c>
      <c r="C25" s="9" t="s">
        <v>33</v>
      </c>
      <c r="D25" s="9" t="s">
        <v>40</v>
      </c>
      <c r="E25" s="10"/>
      <c r="F25" s="10">
        <v>46209</v>
      </c>
      <c r="G25" s="9" t="s">
        <v>41</v>
      </c>
      <c r="H25" s="9">
        <v>3</v>
      </c>
      <c r="I25" s="10">
        <v>46213</v>
      </c>
      <c r="J25" s="9" t="s">
        <v>16</v>
      </c>
      <c r="K25" s="9" t="s">
        <v>47</v>
      </c>
      <c r="L25" s="9" t="s">
        <v>17</v>
      </c>
      <c r="M25" s="9" t="s">
        <v>42</v>
      </c>
      <c r="U25" s="5"/>
    </row>
    <row r="26" spans="1:34" x14ac:dyDescent="0.25">
      <c r="B26" s="20" t="s">
        <v>73</v>
      </c>
      <c r="C26" s="20" t="s">
        <v>64</v>
      </c>
      <c r="D26" s="20" t="s">
        <v>65</v>
      </c>
      <c r="E26" s="21"/>
      <c r="F26" s="21">
        <v>46204</v>
      </c>
      <c r="G26" s="20" t="s">
        <v>66</v>
      </c>
      <c r="H26" s="20">
        <v>60</v>
      </c>
      <c r="I26" s="21"/>
      <c r="J26" s="20" t="s">
        <v>58</v>
      </c>
      <c r="K26" s="20" t="s">
        <v>26</v>
      </c>
      <c r="L26" s="20" t="s">
        <v>48</v>
      </c>
      <c r="M26" s="20" t="s">
        <v>18</v>
      </c>
      <c r="U26" s="5"/>
    </row>
    <row r="27" spans="1:34" x14ac:dyDescent="0.25">
      <c r="B27" s="11" t="s">
        <v>74</v>
      </c>
      <c r="C27" s="11" t="s">
        <v>75</v>
      </c>
      <c r="D27" s="11" t="s">
        <v>23</v>
      </c>
      <c r="E27" s="12"/>
      <c r="F27" s="12">
        <v>46201</v>
      </c>
      <c r="G27" s="11" t="s">
        <v>24</v>
      </c>
      <c r="H27" s="11">
        <v>21</v>
      </c>
      <c r="I27" s="11"/>
      <c r="J27" s="11" t="s">
        <v>34</v>
      </c>
      <c r="K27" s="11" t="s">
        <v>76</v>
      </c>
      <c r="L27" s="11" t="s">
        <v>17</v>
      </c>
      <c r="M27" s="11" t="s">
        <v>42</v>
      </c>
      <c r="P27" s="11" t="s">
        <v>181</v>
      </c>
      <c r="U27" s="5"/>
    </row>
    <row r="28" spans="1:34" x14ac:dyDescent="0.25">
      <c r="B28" t="s">
        <v>77</v>
      </c>
      <c r="C28" t="s">
        <v>90</v>
      </c>
      <c r="D28" t="s">
        <v>44</v>
      </c>
      <c r="E28" s="2">
        <v>46202</v>
      </c>
      <c r="F28" s="2">
        <v>46204</v>
      </c>
      <c r="G28" t="s">
        <v>45</v>
      </c>
      <c r="I28" s="2">
        <v>46208</v>
      </c>
      <c r="J28" t="s">
        <v>25</v>
      </c>
      <c r="K28" t="s">
        <v>61</v>
      </c>
      <c r="L28" t="s">
        <v>48</v>
      </c>
      <c r="M28" t="s">
        <v>18</v>
      </c>
      <c r="R28" t="s">
        <v>33</v>
      </c>
      <c r="U28" s="5"/>
    </row>
    <row r="29" spans="1:34" x14ac:dyDescent="0.25">
      <c r="B29" s="11" t="s">
        <v>79</v>
      </c>
      <c r="C29" s="11" t="s">
        <v>80</v>
      </c>
      <c r="D29" s="11" t="s">
        <v>81</v>
      </c>
      <c r="E29" s="12">
        <v>46206</v>
      </c>
      <c r="F29" s="12">
        <v>46207</v>
      </c>
      <c r="G29" s="11" t="s">
        <v>41</v>
      </c>
      <c r="H29" s="11">
        <v>1</v>
      </c>
      <c r="I29" s="11"/>
      <c r="J29" s="11" t="s">
        <v>34</v>
      </c>
      <c r="K29" s="11"/>
      <c r="L29" s="11" t="s">
        <v>17</v>
      </c>
      <c r="M29" s="11" t="s">
        <v>42</v>
      </c>
      <c r="P29" s="11" t="s">
        <v>181</v>
      </c>
      <c r="R29" t="s">
        <v>82</v>
      </c>
      <c r="U29" s="5"/>
    </row>
    <row r="30" spans="1:34" x14ac:dyDescent="0.25">
      <c r="B30" s="20" t="s">
        <v>83</v>
      </c>
      <c r="C30" s="20" t="s">
        <v>84</v>
      </c>
      <c r="D30" s="20" t="s">
        <v>65</v>
      </c>
      <c r="E30" s="21"/>
      <c r="F30" s="21"/>
      <c r="G30" s="20" t="s">
        <v>66</v>
      </c>
      <c r="H30" s="20">
        <v>60</v>
      </c>
      <c r="I30" s="21">
        <v>46210</v>
      </c>
      <c r="J30" s="20" t="s">
        <v>58</v>
      </c>
      <c r="K30" s="20" t="s">
        <v>26</v>
      </c>
      <c r="L30" s="20" t="s">
        <v>48</v>
      </c>
      <c r="M30" s="20" t="s">
        <v>18</v>
      </c>
      <c r="U30" s="5"/>
    </row>
    <row r="31" spans="1:34" x14ac:dyDescent="0.25">
      <c r="B31" s="9" t="s">
        <v>85</v>
      </c>
      <c r="C31" s="9" t="s">
        <v>33</v>
      </c>
      <c r="D31" s="9" t="s">
        <v>44</v>
      </c>
      <c r="E31" s="10"/>
      <c r="F31" s="10">
        <v>46207</v>
      </c>
      <c r="G31" s="9" t="s">
        <v>45</v>
      </c>
      <c r="H31" s="9"/>
      <c r="I31" s="10">
        <v>46210</v>
      </c>
      <c r="J31" s="9" t="s">
        <v>16</v>
      </c>
      <c r="K31" s="9" t="s">
        <v>47</v>
      </c>
      <c r="L31" s="9" t="s">
        <v>48</v>
      </c>
      <c r="M31" s="9" t="s">
        <v>18</v>
      </c>
      <c r="U31" s="5"/>
      <c r="AH31">
        <f>12.5*4</f>
        <v>50</v>
      </c>
    </row>
    <row r="32" spans="1:34" x14ac:dyDescent="0.25">
      <c r="B32" s="9" t="s">
        <v>38</v>
      </c>
      <c r="C32" s="9" t="s">
        <v>39</v>
      </c>
      <c r="D32" s="9" t="s">
        <v>40</v>
      </c>
      <c r="E32" s="10"/>
      <c r="F32" s="10">
        <v>46207</v>
      </c>
      <c r="G32" s="9" t="s">
        <v>41</v>
      </c>
      <c r="H32" s="9">
        <v>6</v>
      </c>
      <c r="I32" s="10">
        <v>46202</v>
      </c>
      <c r="J32" s="9" t="s">
        <v>16</v>
      </c>
      <c r="K32" s="9" t="s">
        <v>47</v>
      </c>
      <c r="L32" s="9" t="s">
        <v>17</v>
      </c>
      <c r="M32" s="9" t="s">
        <v>42</v>
      </c>
      <c r="U32" s="5"/>
      <c r="AH32">
        <v>45.39</v>
      </c>
    </row>
    <row r="33" spans="2:34" x14ac:dyDescent="0.25">
      <c r="B33" s="9" t="s">
        <v>91</v>
      </c>
      <c r="C33" s="9" t="s">
        <v>92</v>
      </c>
      <c r="D33" s="9" t="s">
        <v>65</v>
      </c>
      <c r="E33" s="10"/>
      <c r="F33" s="10">
        <v>46207</v>
      </c>
      <c r="G33" s="9" t="s">
        <v>66</v>
      </c>
      <c r="H33" s="9"/>
      <c r="I33" s="10">
        <v>46212</v>
      </c>
      <c r="J33" s="9" t="s">
        <v>16</v>
      </c>
      <c r="K33" s="9" t="s">
        <v>26</v>
      </c>
      <c r="L33" s="9" t="s">
        <v>48</v>
      </c>
      <c r="M33" s="9" t="s">
        <v>18</v>
      </c>
      <c r="U33" s="5"/>
      <c r="AH33">
        <f>+AH31-AH32</f>
        <v>4.6099999999999994</v>
      </c>
    </row>
    <row r="34" spans="2:34" x14ac:dyDescent="0.25">
      <c r="B34" s="9" t="s">
        <v>21</v>
      </c>
      <c r="C34" s="9" t="s">
        <v>22</v>
      </c>
      <c r="D34" s="9" t="s">
        <v>93</v>
      </c>
      <c r="E34" s="10">
        <v>46207</v>
      </c>
      <c r="F34" s="10">
        <v>46208</v>
      </c>
      <c r="G34" s="9" t="s">
        <v>94</v>
      </c>
      <c r="H34" s="9"/>
      <c r="I34" s="10">
        <v>46213</v>
      </c>
      <c r="J34" s="9" t="s">
        <v>16</v>
      </c>
      <c r="K34" s="9" t="s">
        <v>26</v>
      </c>
      <c r="L34" s="9" t="s">
        <v>48</v>
      </c>
      <c r="M34" s="9" t="s">
        <v>18</v>
      </c>
      <c r="U34" s="5"/>
    </row>
    <row r="35" spans="2:34" x14ac:dyDescent="0.25">
      <c r="B35" s="9" t="s">
        <v>97</v>
      </c>
      <c r="C35" s="9" t="s">
        <v>90</v>
      </c>
      <c r="D35" s="9" t="s">
        <v>71</v>
      </c>
      <c r="E35" s="10">
        <v>46195</v>
      </c>
      <c r="F35" s="10">
        <v>46209</v>
      </c>
      <c r="G35" s="9" t="s">
        <v>20</v>
      </c>
      <c r="H35" s="9">
        <v>5</v>
      </c>
      <c r="I35" s="10">
        <v>46214</v>
      </c>
      <c r="J35" s="9" t="s">
        <v>16</v>
      </c>
      <c r="K35" s="9"/>
      <c r="L35" s="9" t="s">
        <v>17</v>
      </c>
      <c r="M35" s="9" t="s">
        <v>42</v>
      </c>
      <c r="U35" s="5"/>
    </row>
    <row r="36" spans="2:34" x14ac:dyDescent="0.25">
      <c r="B36" s="9" t="s">
        <v>72</v>
      </c>
      <c r="C36" s="9" t="s">
        <v>90</v>
      </c>
      <c r="D36" s="9" t="s">
        <v>40</v>
      </c>
      <c r="E36" s="10"/>
      <c r="F36" s="10">
        <v>46209</v>
      </c>
      <c r="G36" s="9" t="s">
        <v>41</v>
      </c>
      <c r="H36" s="9">
        <v>3</v>
      </c>
      <c r="I36" s="10">
        <v>46214</v>
      </c>
      <c r="J36" s="9" t="s">
        <v>16</v>
      </c>
      <c r="K36" s="9" t="s">
        <v>47</v>
      </c>
      <c r="L36" s="9" t="s">
        <v>17</v>
      </c>
      <c r="M36" s="9" t="s">
        <v>42</v>
      </c>
      <c r="U36" s="5"/>
    </row>
    <row r="37" spans="2:34" x14ac:dyDescent="0.25">
      <c r="B37" s="11" t="s">
        <v>197</v>
      </c>
      <c r="C37" s="11" t="s">
        <v>90</v>
      </c>
      <c r="D37" s="11" t="s">
        <v>14</v>
      </c>
      <c r="E37" s="12"/>
      <c r="F37" s="12">
        <v>46211</v>
      </c>
      <c r="G37" s="11" t="s">
        <v>20</v>
      </c>
      <c r="H37" s="11">
        <v>24</v>
      </c>
      <c r="I37" s="12"/>
      <c r="J37" s="11" t="s">
        <v>34</v>
      </c>
      <c r="K37" s="11"/>
      <c r="L37" s="11" t="s">
        <v>17</v>
      </c>
      <c r="M37" s="11" t="s">
        <v>42</v>
      </c>
      <c r="P37" t="s">
        <v>181</v>
      </c>
      <c r="R37" t="s">
        <v>33</v>
      </c>
      <c r="U37" s="5"/>
    </row>
    <row r="38" spans="2:34" x14ac:dyDescent="0.25">
      <c r="B38" s="11" t="s">
        <v>103</v>
      </c>
      <c r="C38" s="11" t="s">
        <v>90</v>
      </c>
      <c r="D38" s="11" t="s">
        <v>23</v>
      </c>
      <c r="E38" s="12"/>
      <c r="F38" s="12">
        <v>46207</v>
      </c>
      <c r="G38" s="11" t="s">
        <v>24</v>
      </c>
      <c r="H38" s="11">
        <v>1</v>
      </c>
      <c r="I38" s="11"/>
      <c r="J38" s="11" t="s">
        <v>34</v>
      </c>
      <c r="K38" s="11"/>
      <c r="L38" s="11" t="s">
        <v>17</v>
      </c>
      <c r="M38" s="11" t="s">
        <v>42</v>
      </c>
      <c r="P38" t="s">
        <v>181</v>
      </c>
      <c r="U38" s="5"/>
    </row>
    <row r="39" spans="2:34" x14ac:dyDescent="0.25">
      <c r="B39" s="11" t="s">
        <v>106</v>
      </c>
      <c r="C39" s="11" t="s">
        <v>13</v>
      </c>
      <c r="D39" s="11" t="s">
        <v>71</v>
      </c>
      <c r="E39" s="12">
        <v>46210</v>
      </c>
      <c r="F39" s="12">
        <v>46211</v>
      </c>
      <c r="G39" s="11" t="s">
        <v>20</v>
      </c>
      <c r="H39" s="11">
        <v>30</v>
      </c>
      <c r="I39" s="11"/>
      <c r="J39" s="11" t="s">
        <v>34</v>
      </c>
      <c r="K39" s="11"/>
      <c r="L39" s="11" t="s">
        <v>17</v>
      </c>
      <c r="M39" s="11" t="s">
        <v>42</v>
      </c>
      <c r="P39" t="s">
        <v>181</v>
      </c>
      <c r="R39" t="s">
        <v>102</v>
      </c>
      <c r="U39" s="5"/>
    </row>
    <row r="40" spans="2:34" x14ac:dyDescent="0.25">
      <c r="R40" t="s">
        <v>104</v>
      </c>
      <c r="T40" t="s">
        <v>105</v>
      </c>
      <c r="U40" s="5"/>
    </row>
    <row r="41" spans="2:34" x14ac:dyDescent="0.25">
      <c r="B41" s="11" t="s">
        <v>116</v>
      </c>
      <c r="C41" s="11" t="s">
        <v>90</v>
      </c>
      <c r="D41" s="11" t="s">
        <v>23</v>
      </c>
      <c r="E41" s="11"/>
      <c r="F41" s="12">
        <v>46211</v>
      </c>
      <c r="G41" s="11" t="s">
        <v>24</v>
      </c>
      <c r="H41" s="11">
        <v>24</v>
      </c>
      <c r="I41" s="11"/>
      <c r="J41" s="11" t="s">
        <v>34</v>
      </c>
      <c r="K41" s="11"/>
      <c r="L41" s="11" t="s">
        <v>17</v>
      </c>
      <c r="M41" s="11" t="s">
        <v>42</v>
      </c>
      <c r="P41" t="s">
        <v>181</v>
      </c>
      <c r="U41" s="5"/>
    </row>
    <row r="42" spans="2:34" x14ac:dyDescent="0.25">
      <c r="B42" t="s">
        <v>100</v>
      </c>
      <c r="C42" t="s">
        <v>33</v>
      </c>
      <c r="E42" s="2">
        <v>46231</v>
      </c>
      <c r="F42" s="2">
        <v>46216</v>
      </c>
      <c r="H42">
        <v>2</v>
      </c>
      <c r="J42" t="s">
        <v>16</v>
      </c>
      <c r="L42" t="s">
        <v>17</v>
      </c>
      <c r="M42" t="s">
        <v>42</v>
      </c>
      <c r="U42" s="5"/>
    </row>
    <row r="43" spans="2:34" x14ac:dyDescent="0.25">
      <c r="U43" s="5"/>
    </row>
    <row r="44" spans="2:34" x14ac:dyDescent="0.25">
      <c r="B44" s="18" t="s">
        <v>123</v>
      </c>
      <c r="C44" s="18" t="s">
        <v>126</v>
      </c>
      <c r="D44" s="18" t="s">
        <v>14</v>
      </c>
      <c r="E44" s="19"/>
      <c r="F44" s="19">
        <v>46225</v>
      </c>
      <c r="G44" s="18" t="s">
        <v>20</v>
      </c>
      <c r="H44" s="18"/>
      <c r="I44" s="18"/>
      <c r="J44" s="18" t="s">
        <v>16</v>
      </c>
      <c r="K44" s="18" t="s">
        <v>122</v>
      </c>
      <c r="L44" s="18" t="s">
        <v>48</v>
      </c>
      <c r="M44" s="18" t="s">
        <v>18</v>
      </c>
      <c r="U44" s="5"/>
    </row>
    <row r="45" spans="2:34" x14ac:dyDescent="0.25">
      <c r="R45" t="s">
        <v>33</v>
      </c>
      <c r="U45" s="5"/>
    </row>
    <row r="46" spans="2:34" x14ac:dyDescent="0.25">
      <c r="B46" s="6" t="s">
        <v>177</v>
      </c>
      <c r="C46" s="6" t="s">
        <v>90</v>
      </c>
      <c r="D46" s="6" t="s">
        <v>23</v>
      </c>
      <c r="E46" s="7">
        <v>46195</v>
      </c>
      <c r="F46" s="7">
        <v>46225</v>
      </c>
      <c r="G46" s="6" t="s">
        <v>24</v>
      </c>
      <c r="H46" s="6"/>
      <c r="I46" s="6"/>
      <c r="J46" s="6" t="s">
        <v>34</v>
      </c>
      <c r="K46" s="6"/>
      <c r="L46" s="6" t="s">
        <v>48</v>
      </c>
      <c r="M46" s="6" t="s">
        <v>18</v>
      </c>
      <c r="P46" t="s">
        <v>181</v>
      </c>
    </row>
    <row r="47" spans="2:34" x14ac:dyDescent="0.25">
      <c r="B47" s="11" t="s">
        <v>179</v>
      </c>
      <c r="C47" s="11" t="s">
        <v>90</v>
      </c>
      <c r="D47" s="11" t="s">
        <v>23</v>
      </c>
      <c r="E47" s="12">
        <v>46208</v>
      </c>
      <c r="F47" s="12">
        <v>46225</v>
      </c>
      <c r="G47" s="11" t="s">
        <v>24</v>
      </c>
      <c r="H47" s="11"/>
      <c r="I47" s="11"/>
      <c r="J47" s="11" t="s">
        <v>34</v>
      </c>
      <c r="K47" s="11"/>
      <c r="L47" s="11" t="s">
        <v>17</v>
      </c>
      <c r="M47" s="11" t="s">
        <v>42</v>
      </c>
      <c r="N47" t="s">
        <v>343</v>
      </c>
      <c r="P47" s="11" t="s">
        <v>181</v>
      </c>
    </row>
    <row r="48" spans="2:34" x14ac:dyDescent="0.25">
      <c r="B48" s="11" t="s">
        <v>180</v>
      </c>
      <c r="C48" s="11" t="s">
        <v>90</v>
      </c>
      <c r="D48" s="11" t="s">
        <v>426</v>
      </c>
      <c r="E48" s="12">
        <v>46205</v>
      </c>
      <c r="F48" s="12">
        <v>46230</v>
      </c>
      <c r="G48" s="11" t="s">
        <v>94</v>
      </c>
      <c r="H48" s="11"/>
      <c r="I48" s="11"/>
      <c r="J48" s="11" t="s">
        <v>34</v>
      </c>
      <c r="K48" s="11"/>
      <c r="L48" s="11" t="s">
        <v>17</v>
      </c>
      <c r="M48" s="11" t="s">
        <v>42</v>
      </c>
      <c r="N48" t="s">
        <v>427</v>
      </c>
      <c r="P48" s="11" t="s">
        <v>181</v>
      </c>
      <c r="R48" t="s">
        <v>102</v>
      </c>
      <c r="U48" s="5"/>
    </row>
    <row r="49" spans="2:21" x14ac:dyDescent="0.25">
      <c r="B49" s="11" t="s">
        <v>120</v>
      </c>
      <c r="C49" s="11" t="s">
        <v>90</v>
      </c>
      <c r="D49" s="11" t="s">
        <v>23</v>
      </c>
      <c r="E49" s="12">
        <v>46204</v>
      </c>
      <c r="F49" s="12">
        <v>46232</v>
      </c>
      <c r="G49" s="11" t="s">
        <v>24</v>
      </c>
      <c r="H49" s="11"/>
      <c r="I49" s="11"/>
      <c r="J49" s="11" t="s">
        <v>34</v>
      </c>
      <c r="K49" s="11"/>
      <c r="L49" s="11" t="s">
        <v>17</v>
      </c>
      <c r="M49" s="11" t="s">
        <v>50</v>
      </c>
      <c r="N49" t="s">
        <v>445</v>
      </c>
      <c r="P49" s="11" t="s">
        <v>181</v>
      </c>
      <c r="U49" s="5"/>
    </row>
    <row r="50" spans="2:21" x14ac:dyDescent="0.25">
      <c r="B50" s="11" t="s">
        <v>121</v>
      </c>
      <c r="C50" s="11" t="s">
        <v>90</v>
      </c>
      <c r="D50" s="11" t="s">
        <v>14</v>
      </c>
      <c r="E50" s="12">
        <v>46206</v>
      </c>
      <c r="F50" s="12">
        <v>46225</v>
      </c>
      <c r="G50" s="11" t="s">
        <v>20</v>
      </c>
      <c r="H50" s="11"/>
      <c r="I50" s="11"/>
      <c r="J50" s="11" t="s">
        <v>34</v>
      </c>
      <c r="K50" s="11"/>
      <c r="L50" s="11" t="s">
        <v>17</v>
      </c>
      <c r="M50" s="11" t="s">
        <v>446</v>
      </c>
      <c r="N50" t="s">
        <v>441</v>
      </c>
      <c r="P50" s="11" t="s">
        <v>181</v>
      </c>
      <c r="U50" s="5"/>
    </row>
    <row r="51" spans="2:21" x14ac:dyDescent="0.25">
      <c r="B51" s="11" t="s">
        <v>190</v>
      </c>
      <c r="C51" s="11" t="s">
        <v>189</v>
      </c>
      <c r="D51" s="11"/>
      <c r="E51" s="12"/>
      <c r="F51" s="12"/>
      <c r="G51" s="11"/>
      <c r="H51" s="11"/>
      <c r="I51" s="11"/>
      <c r="J51" s="11" t="s">
        <v>34</v>
      </c>
      <c r="K51" s="11"/>
      <c r="L51" s="11" t="s">
        <v>17</v>
      </c>
      <c r="M51" s="11" t="s">
        <v>191</v>
      </c>
      <c r="P51" s="11" t="s">
        <v>181</v>
      </c>
      <c r="U51" s="5"/>
    </row>
    <row r="52" spans="2:21" x14ac:dyDescent="0.25">
      <c r="B52" s="11" t="s">
        <v>192</v>
      </c>
      <c r="C52" s="11" t="s">
        <v>193</v>
      </c>
      <c r="D52" s="11" t="s">
        <v>71</v>
      </c>
      <c r="E52" s="12"/>
      <c r="F52" s="12">
        <v>46088</v>
      </c>
      <c r="G52" s="11" t="s">
        <v>194</v>
      </c>
      <c r="H52" s="11"/>
      <c r="I52" s="11"/>
      <c r="J52" s="11" t="s">
        <v>34</v>
      </c>
      <c r="K52" s="11"/>
      <c r="L52" s="11" t="s">
        <v>17</v>
      </c>
      <c r="M52" s="11" t="s">
        <v>42</v>
      </c>
      <c r="P52" t="s">
        <v>181</v>
      </c>
      <c r="U52" s="5"/>
    </row>
    <row r="53" spans="2:21" x14ac:dyDescent="0.25">
      <c r="B53" s="11" t="s">
        <v>304</v>
      </c>
      <c r="C53" s="11" t="s">
        <v>33</v>
      </c>
      <c r="D53" s="11" t="s">
        <v>202</v>
      </c>
      <c r="E53" s="12">
        <v>46219</v>
      </c>
      <c r="F53" s="12">
        <v>46219</v>
      </c>
      <c r="G53" s="11" t="s">
        <v>41</v>
      </c>
      <c r="H53" s="11">
        <v>18</v>
      </c>
      <c r="I53" s="11"/>
      <c r="J53" s="11" t="s">
        <v>34</v>
      </c>
      <c r="K53" s="11"/>
      <c r="L53" s="11" t="s">
        <v>17</v>
      </c>
      <c r="M53" s="11" t="s">
        <v>318</v>
      </c>
      <c r="P53" t="s">
        <v>181</v>
      </c>
      <c r="U53" s="5"/>
    </row>
    <row r="54" spans="2:21" x14ac:dyDescent="0.25">
      <c r="B54" s="11" t="s">
        <v>342</v>
      </c>
      <c r="C54" s="11" t="s">
        <v>90</v>
      </c>
      <c r="D54" s="11" t="s">
        <v>23</v>
      </c>
      <c r="E54" s="12">
        <v>46206</v>
      </c>
      <c r="F54" s="12">
        <v>46221</v>
      </c>
      <c r="G54" s="11" t="s">
        <v>24</v>
      </c>
      <c r="H54" s="11"/>
      <c r="I54" s="11"/>
      <c r="J54" s="11" t="s">
        <v>34</v>
      </c>
      <c r="K54" s="11"/>
      <c r="L54" s="11" t="s">
        <v>17</v>
      </c>
      <c r="M54" s="11" t="s">
        <v>42</v>
      </c>
      <c r="O54" t="s">
        <v>341</v>
      </c>
      <c r="P54" s="11" t="s">
        <v>181</v>
      </c>
      <c r="U54" s="5"/>
    </row>
    <row r="55" spans="2:21" x14ac:dyDescent="0.25">
      <c r="B55" s="18" t="s">
        <v>330</v>
      </c>
      <c r="C55" s="18" t="s">
        <v>331</v>
      </c>
      <c r="D55" s="18" t="s">
        <v>23</v>
      </c>
      <c r="E55" s="19"/>
      <c r="F55" s="19">
        <v>46220</v>
      </c>
      <c r="G55" s="18" t="s">
        <v>24</v>
      </c>
      <c r="H55" s="18"/>
      <c r="I55" s="18"/>
      <c r="J55" s="18" t="s">
        <v>16</v>
      </c>
      <c r="K55" s="18"/>
      <c r="L55" s="18" t="s">
        <v>48</v>
      </c>
      <c r="M55" s="18" t="s">
        <v>18</v>
      </c>
      <c r="U55" s="5"/>
    </row>
    <row r="56" spans="2:21" x14ac:dyDescent="0.25">
      <c r="B56" s="3" t="s">
        <v>332</v>
      </c>
      <c r="C56" s="3" t="s">
        <v>129</v>
      </c>
      <c r="D56" s="3" t="s">
        <v>23</v>
      </c>
      <c r="E56" s="38"/>
      <c r="F56" s="38">
        <v>46224</v>
      </c>
      <c r="G56" s="3" t="s">
        <v>24</v>
      </c>
      <c r="H56" s="3"/>
      <c r="I56" s="3"/>
      <c r="J56" s="3"/>
      <c r="K56" s="3"/>
      <c r="L56" s="3" t="s">
        <v>48</v>
      </c>
      <c r="M56" s="3" t="s">
        <v>18</v>
      </c>
      <c r="U56" s="5"/>
    </row>
    <row r="57" spans="2:21" x14ac:dyDescent="0.25">
      <c r="B57" s="18" t="s">
        <v>333</v>
      </c>
      <c r="C57" s="18" t="s">
        <v>334</v>
      </c>
      <c r="D57" s="18" t="s">
        <v>14</v>
      </c>
      <c r="E57" s="19"/>
      <c r="F57" s="19">
        <v>46224</v>
      </c>
      <c r="G57" s="18" t="s">
        <v>20</v>
      </c>
      <c r="H57" s="18"/>
      <c r="I57" s="18"/>
      <c r="J57" s="18" t="s">
        <v>16</v>
      </c>
      <c r="K57" s="18"/>
      <c r="L57" s="18" t="s">
        <v>48</v>
      </c>
      <c r="M57" s="18" t="s">
        <v>18</v>
      </c>
      <c r="U57" s="5"/>
    </row>
    <row r="58" spans="2:21" x14ac:dyDescent="0.25">
      <c r="B58" s="18" t="s">
        <v>335</v>
      </c>
      <c r="C58" s="18" t="s">
        <v>92</v>
      </c>
      <c r="D58" s="18" t="s">
        <v>23</v>
      </c>
      <c r="E58" s="19"/>
      <c r="F58" s="19">
        <v>46226</v>
      </c>
      <c r="G58" s="18" t="s">
        <v>24</v>
      </c>
      <c r="H58" s="18"/>
      <c r="I58" s="18"/>
      <c r="J58" s="18" t="s">
        <v>16</v>
      </c>
      <c r="K58" s="18"/>
      <c r="L58" s="18" t="s">
        <v>48</v>
      </c>
      <c r="M58" s="18" t="s">
        <v>18</v>
      </c>
      <c r="U58" s="5"/>
    </row>
    <row r="59" spans="2:21" x14ac:dyDescent="0.25">
      <c r="B59" s="18" t="s">
        <v>336</v>
      </c>
      <c r="C59" s="18" t="s">
        <v>129</v>
      </c>
      <c r="D59" s="18" t="s">
        <v>14</v>
      </c>
      <c r="E59" s="19"/>
      <c r="F59" s="19">
        <v>46226</v>
      </c>
      <c r="G59" s="18" t="s">
        <v>20</v>
      </c>
      <c r="H59" s="18"/>
      <c r="I59" s="18"/>
      <c r="J59" s="18" t="s">
        <v>16</v>
      </c>
      <c r="K59" s="18"/>
      <c r="L59" s="18" t="s">
        <v>48</v>
      </c>
      <c r="M59" s="18" t="s">
        <v>18</v>
      </c>
      <c r="U59" s="5"/>
    </row>
    <row r="60" spans="2:21" x14ac:dyDescent="0.25">
      <c r="B60" s="3" t="s">
        <v>337</v>
      </c>
      <c r="C60" s="3" t="s">
        <v>338</v>
      </c>
      <c r="D60" s="3" t="s">
        <v>23</v>
      </c>
      <c r="E60" s="38"/>
      <c r="F60" s="38">
        <v>46227</v>
      </c>
      <c r="G60" s="3" t="s">
        <v>24</v>
      </c>
      <c r="H60" s="3"/>
      <c r="I60" s="3"/>
      <c r="J60" s="3"/>
      <c r="K60" s="3"/>
      <c r="L60" s="3" t="s">
        <v>48</v>
      </c>
      <c r="M60" s="3" t="s">
        <v>18</v>
      </c>
      <c r="U60" s="5"/>
    </row>
    <row r="61" spans="2:21" x14ac:dyDescent="0.25">
      <c r="B61" s="18" t="s">
        <v>339</v>
      </c>
      <c r="C61" s="18" t="s">
        <v>13</v>
      </c>
      <c r="D61" s="18" t="s">
        <v>14</v>
      </c>
      <c r="E61" s="19"/>
      <c r="F61" s="19">
        <v>46233</v>
      </c>
      <c r="G61" s="18" t="s">
        <v>20</v>
      </c>
      <c r="H61" s="18"/>
      <c r="I61" s="18"/>
      <c r="J61" s="18" t="s">
        <v>16</v>
      </c>
      <c r="K61" s="18"/>
      <c r="L61" s="18" t="s">
        <v>48</v>
      </c>
      <c r="M61" s="18" t="s">
        <v>18</v>
      </c>
      <c r="U61" s="5"/>
    </row>
    <row r="62" spans="2:21" x14ac:dyDescent="0.25">
      <c r="B62" s="18" t="s">
        <v>340</v>
      </c>
      <c r="C62" s="18" t="s">
        <v>13</v>
      </c>
      <c r="D62" s="18" t="s">
        <v>14</v>
      </c>
      <c r="E62" s="19"/>
      <c r="F62" s="19">
        <v>46237</v>
      </c>
      <c r="G62" s="18" t="s">
        <v>20</v>
      </c>
      <c r="H62" s="18"/>
      <c r="I62" s="18"/>
      <c r="J62" s="18" t="s">
        <v>16</v>
      </c>
      <c r="K62" s="18"/>
      <c r="L62" s="18" t="s">
        <v>48</v>
      </c>
      <c r="M62" s="18" t="s">
        <v>18</v>
      </c>
      <c r="U62" s="5"/>
    </row>
    <row r="63" spans="2:21" x14ac:dyDescent="0.25">
      <c r="B63" s="6" t="s">
        <v>431</v>
      </c>
      <c r="C63" s="6" t="s">
        <v>13</v>
      </c>
      <c r="D63" s="6"/>
      <c r="E63" s="7">
        <v>46229</v>
      </c>
      <c r="F63" s="7"/>
      <c r="G63" s="6"/>
      <c r="H63" s="6"/>
      <c r="I63" s="6"/>
      <c r="J63" s="6" t="s">
        <v>34</v>
      </c>
      <c r="K63" s="6"/>
      <c r="L63" s="6" t="s">
        <v>48</v>
      </c>
      <c r="M63" s="6" t="s">
        <v>18</v>
      </c>
      <c r="P63" t="s">
        <v>181</v>
      </c>
    </row>
    <row r="64" spans="2:21" x14ac:dyDescent="0.25">
      <c r="B64" s="11" t="s">
        <v>27</v>
      </c>
      <c r="C64" s="11" t="s">
        <v>22</v>
      </c>
      <c r="D64" s="11" t="s">
        <v>23</v>
      </c>
      <c r="E64" s="12">
        <v>46231</v>
      </c>
      <c r="F64" s="12">
        <v>46236</v>
      </c>
      <c r="G64" s="11" t="s">
        <v>24</v>
      </c>
      <c r="H64" s="11"/>
      <c r="I64" s="11"/>
      <c r="J64" s="11" t="s">
        <v>34</v>
      </c>
      <c r="K64" s="11"/>
      <c r="L64" s="11" t="s">
        <v>17</v>
      </c>
      <c r="M64" s="11" t="s">
        <v>42</v>
      </c>
      <c r="P64" t="s">
        <v>181</v>
      </c>
    </row>
    <row r="65" spans="2:29" x14ac:dyDescent="0.25">
      <c r="B65" s="11" t="s">
        <v>38</v>
      </c>
      <c r="C65" s="11" t="s">
        <v>39</v>
      </c>
      <c r="D65" s="11" t="s">
        <v>60</v>
      </c>
      <c r="E65" s="12"/>
      <c r="F65" s="12">
        <v>46217</v>
      </c>
      <c r="G65" s="11" t="s">
        <v>60</v>
      </c>
      <c r="H65" s="11">
        <v>7</v>
      </c>
      <c r="I65" s="11"/>
      <c r="J65" s="11" t="s">
        <v>34</v>
      </c>
      <c r="K65" s="11"/>
      <c r="L65" s="11" t="s">
        <v>17</v>
      </c>
      <c r="M65" s="11" t="s">
        <v>42</v>
      </c>
      <c r="P65" t="s">
        <v>181</v>
      </c>
    </row>
    <row r="66" spans="2:29" x14ac:dyDescent="0.25">
      <c r="B66" s="11" t="s">
        <v>447</v>
      </c>
      <c r="C66" s="11" t="s">
        <v>90</v>
      </c>
      <c r="D66" s="11" t="s">
        <v>23</v>
      </c>
      <c r="E66" s="12"/>
      <c r="F66" s="12">
        <v>46232</v>
      </c>
      <c r="G66" s="11" t="s">
        <v>24</v>
      </c>
      <c r="H66" s="11"/>
      <c r="I66" s="11"/>
      <c r="J66" s="11" t="s">
        <v>34</v>
      </c>
      <c r="K66" s="11"/>
      <c r="L66" s="11" t="s">
        <v>17</v>
      </c>
      <c r="M66" s="11" t="s">
        <v>50</v>
      </c>
      <c r="N66" t="s">
        <v>445</v>
      </c>
      <c r="P66" s="11" t="s">
        <v>181</v>
      </c>
    </row>
    <row r="67" spans="2:29" x14ac:dyDescent="0.25">
      <c r="B67" s="6" t="s">
        <v>450</v>
      </c>
      <c r="C67" s="6" t="s">
        <v>58</v>
      </c>
      <c r="D67" s="6" t="s">
        <v>452</v>
      </c>
      <c r="E67" s="7"/>
      <c r="F67" s="7">
        <v>46234</v>
      </c>
      <c r="G67" s="6" t="s">
        <v>58</v>
      </c>
      <c r="H67" s="6"/>
      <c r="I67" s="6"/>
      <c r="J67" s="6" t="s">
        <v>34</v>
      </c>
      <c r="K67" s="6"/>
      <c r="L67" s="6" t="s">
        <v>48</v>
      </c>
      <c r="M67" s="6" t="s">
        <v>453</v>
      </c>
      <c r="P67" t="s">
        <v>181</v>
      </c>
    </row>
    <row r="68" spans="2:29" x14ac:dyDescent="0.25">
      <c r="B68" s="11" t="s">
        <v>21</v>
      </c>
      <c r="C68" s="11" t="s">
        <v>323</v>
      </c>
      <c r="D68" s="11" t="s">
        <v>23</v>
      </c>
      <c r="E68" s="12"/>
      <c r="F68" s="12">
        <v>46236</v>
      </c>
      <c r="G68" s="11" t="s">
        <v>24</v>
      </c>
      <c r="H68" s="11"/>
      <c r="I68" s="11"/>
      <c r="J68" s="11" t="s">
        <v>34</v>
      </c>
      <c r="K68" s="11"/>
      <c r="L68" s="11" t="s">
        <v>17</v>
      </c>
      <c r="M68" s="11" t="s">
        <v>42</v>
      </c>
      <c r="P68" t="s">
        <v>181</v>
      </c>
    </row>
    <row r="69" spans="2:29" x14ac:dyDescent="0.25">
      <c r="B69" s="6" t="s">
        <v>465</v>
      </c>
      <c r="C69" s="6"/>
      <c r="D69" s="6"/>
      <c r="E69" s="7">
        <v>46234</v>
      </c>
      <c r="F69" s="7"/>
      <c r="G69" s="6" t="s">
        <v>58</v>
      </c>
      <c r="H69" s="6">
        <v>5</v>
      </c>
      <c r="I69" s="6"/>
      <c r="J69" s="6" t="s">
        <v>34</v>
      </c>
      <c r="K69" s="6"/>
      <c r="L69" s="6" t="s">
        <v>48</v>
      </c>
      <c r="M69" s="6" t="s">
        <v>453</v>
      </c>
      <c r="P69" t="s">
        <v>181</v>
      </c>
    </row>
    <row r="70" spans="2:29" x14ac:dyDescent="0.25">
      <c r="B70" s="6" t="s">
        <v>503</v>
      </c>
      <c r="C70" s="6" t="s">
        <v>92</v>
      </c>
      <c r="D70" s="6" t="s">
        <v>504</v>
      </c>
      <c r="E70" s="7">
        <v>46237</v>
      </c>
      <c r="F70" s="7">
        <v>46238</v>
      </c>
      <c r="G70" s="6" t="s">
        <v>505</v>
      </c>
      <c r="H70" s="6">
        <v>2</v>
      </c>
      <c r="I70" s="6"/>
      <c r="J70" s="6" t="s">
        <v>34</v>
      </c>
      <c r="K70" s="6"/>
      <c r="L70" s="6" t="s">
        <v>48</v>
      </c>
      <c r="M70" s="6" t="s">
        <v>18</v>
      </c>
      <c r="P70" t="s">
        <v>181</v>
      </c>
      <c r="S70" t="s">
        <v>91</v>
      </c>
    </row>
    <row r="71" spans="2:29" x14ac:dyDescent="0.25">
      <c r="B71" s="11" t="s">
        <v>111</v>
      </c>
      <c r="C71" s="11" t="s">
        <v>112</v>
      </c>
      <c r="D71" s="11" t="s">
        <v>23</v>
      </c>
      <c r="E71" s="12">
        <v>46237</v>
      </c>
      <c r="F71" s="12">
        <v>46603</v>
      </c>
      <c r="G71" s="11" t="s">
        <v>24</v>
      </c>
      <c r="H71" s="11">
        <v>3</v>
      </c>
      <c r="I71" s="11"/>
      <c r="J71" s="11" t="s">
        <v>34</v>
      </c>
      <c r="K71" s="11"/>
      <c r="L71" s="11" t="s">
        <v>17</v>
      </c>
      <c r="M71" s="11" t="s">
        <v>42</v>
      </c>
      <c r="P71" t="s">
        <v>181</v>
      </c>
    </row>
    <row r="72" spans="2:29" x14ac:dyDescent="0.25">
      <c r="B72" s="6" t="s">
        <v>506</v>
      </c>
      <c r="C72" s="6" t="s">
        <v>507</v>
      </c>
      <c r="D72" s="6"/>
      <c r="E72" s="7">
        <v>46239</v>
      </c>
      <c r="F72" s="7"/>
      <c r="G72" s="6"/>
      <c r="H72" s="6"/>
      <c r="I72" s="6"/>
      <c r="J72" s="6" t="s">
        <v>34</v>
      </c>
      <c r="K72" s="6"/>
      <c r="L72" s="6" t="s">
        <v>48</v>
      </c>
      <c r="M72" s="6" t="s">
        <v>18</v>
      </c>
      <c r="P72" t="s">
        <v>181</v>
      </c>
    </row>
    <row r="73" spans="2:29" x14ac:dyDescent="0.25">
      <c r="B73" s="11" t="s">
        <v>451</v>
      </c>
      <c r="C73" s="11" t="s">
        <v>90</v>
      </c>
      <c r="D73" s="11" t="s">
        <v>23</v>
      </c>
      <c r="E73" s="12"/>
      <c r="F73" s="12">
        <v>46243</v>
      </c>
      <c r="G73" s="11" t="s">
        <v>24</v>
      </c>
      <c r="H73" s="11"/>
      <c r="I73" s="11"/>
      <c r="J73" s="11" t="s">
        <v>34</v>
      </c>
      <c r="K73" s="11" t="s">
        <v>254</v>
      </c>
      <c r="L73" s="11" t="s">
        <v>17</v>
      </c>
      <c r="M73" s="11" t="s">
        <v>42</v>
      </c>
      <c r="P73" s="11" t="s">
        <v>181</v>
      </c>
    </row>
    <row r="74" spans="2:29" x14ac:dyDescent="0.25">
      <c r="B74" s="6" t="s">
        <v>125</v>
      </c>
      <c r="C74" s="6" t="s">
        <v>129</v>
      </c>
      <c r="D74" s="6" t="s">
        <v>23</v>
      </c>
      <c r="E74" s="7"/>
      <c r="F74" s="7">
        <v>46242</v>
      </c>
      <c r="G74" s="6" t="s">
        <v>24</v>
      </c>
      <c r="H74" s="6"/>
      <c r="I74" s="6"/>
      <c r="J74" s="6" t="s">
        <v>34</v>
      </c>
      <c r="K74" s="6"/>
      <c r="L74" s="6" t="s">
        <v>48</v>
      </c>
      <c r="M74" s="6" t="s">
        <v>18</v>
      </c>
    </row>
    <row r="75" spans="2:29" x14ac:dyDescent="0.25">
      <c r="U75" s="5"/>
    </row>
    <row r="76" spans="2:29" x14ac:dyDescent="0.25">
      <c r="U76" s="5"/>
    </row>
    <row r="77" spans="2:29" x14ac:dyDescent="0.25">
      <c r="U77" s="5"/>
    </row>
    <row r="78" spans="2:29" x14ac:dyDescent="0.25">
      <c r="B78" s="4" t="s">
        <v>0</v>
      </c>
      <c r="C78" s="4" t="s">
        <v>1</v>
      </c>
      <c r="D78" s="4" t="s">
        <v>2</v>
      </c>
      <c r="E78" s="4" t="s">
        <v>3</v>
      </c>
      <c r="F78" s="4" t="s">
        <v>4</v>
      </c>
      <c r="G78" s="4" t="s">
        <v>5</v>
      </c>
      <c r="H78" s="4" t="s">
        <v>6</v>
      </c>
      <c r="I78" s="4" t="s">
        <v>7</v>
      </c>
      <c r="J78" s="4" t="s">
        <v>8</v>
      </c>
      <c r="K78" s="4" t="s">
        <v>9</v>
      </c>
      <c r="L78" s="4" t="s">
        <v>10</v>
      </c>
      <c r="M78" s="4" t="s">
        <v>178</v>
      </c>
      <c r="U78" s="5"/>
    </row>
    <row r="79" spans="2:29" x14ac:dyDescent="0.25">
      <c r="B79" s="9" t="s">
        <v>113</v>
      </c>
      <c r="C79" s="9" t="s">
        <v>114</v>
      </c>
      <c r="D79" s="9" t="s">
        <v>14</v>
      </c>
      <c r="E79" s="10"/>
      <c r="F79" s="10">
        <v>46210</v>
      </c>
      <c r="G79" s="9" t="s">
        <v>20</v>
      </c>
      <c r="H79" s="9"/>
      <c r="I79" s="10">
        <v>46218</v>
      </c>
      <c r="J79" s="9" t="s">
        <v>16</v>
      </c>
      <c r="K79" s="9"/>
      <c r="L79" s="9" t="s">
        <v>17</v>
      </c>
      <c r="M79" s="9" t="s">
        <v>55</v>
      </c>
      <c r="Q79" s="37">
        <v>1000</v>
      </c>
      <c r="U79" s="5"/>
      <c r="Y79">
        <f>COUNTIFS(J:J,"in",L:L,AB79,H:H,"&gt;0")</f>
        <v>12</v>
      </c>
      <c r="AB79" t="s">
        <v>17</v>
      </c>
      <c r="AC79">
        <v>0</v>
      </c>
    </row>
    <row r="80" spans="2:29" x14ac:dyDescent="0.25">
      <c r="B80" s="9" t="s">
        <v>117</v>
      </c>
      <c r="C80" s="9" t="s">
        <v>13</v>
      </c>
      <c r="D80" s="9" t="s">
        <v>71</v>
      </c>
      <c r="E80" s="10">
        <v>46211</v>
      </c>
      <c r="F80" s="10">
        <v>46214</v>
      </c>
      <c r="G80" s="9" t="s">
        <v>20</v>
      </c>
      <c r="H80" s="9"/>
      <c r="I80" s="10">
        <v>46217</v>
      </c>
      <c r="J80" s="9" t="s">
        <v>16</v>
      </c>
      <c r="K80" s="9" t="s">
        <v>432</v>
      </c>
      <c r="L80" s="9" t="s">
        <v>17</v>
      </c>
      <c r="M80" s="9" t="s">
        <v>42</v>
      </c>
      <c r="Q80" s="37">
        <v>2000</v>
      </c>
      <c r="V80" t="s">
        <v>254</v>
      </c>
    </row>
    <row r="81" spans="2:29" x14ac:dyDescent="0.25">
      <c r="B81" s="9" t="s">
        <v>101</v>
      </c>
      <c r="C81" s="9" t="s">
        <v>90</v>
      </c>
      <c r="D81" s="9" t="s">
        <v>23</v>
      </c>
      <c r="E81" s="10"/>
      <c r="F81" s="10">
        <v>46209</v>
      </c>
      <c r="G81" s="9" t="s">
        <v>99</v>
      </c>
      <c r="H81" s="9">
        <v>2</v>
      </c>
      <c r="I81" s="10">
        <v>46216</v>
      </c>
      <c r="J81" s="9" t="s">
        <v>16</v>
      </c>
      <c r="K81" s="9" t="s">
        <v>196</v>
      </c>
      <c r="L81" s="9" t="s">
        <v>17</v>
      </c>
      <c r="M81" s="9" t="s">
        <v>42</v>
      </c>
      <c r="Q81" s="37">
        <v>2000</v>
      </c>
      <c r="V81" t="s">
        <v>196</v>
      </c>
      <c r="Y81">
        <f>COUNTIFS(J:J,"in",L:L,AB81)</f>
        <v>8</v>
      </c>
      <c r="AB81" t="s">
        <v>48</v>
      </c>
    </row>
    <row r="82" spans="2:29" x14ac:dyDescent="0.25">
      <c r="B82" s="9" t="s">
        <v>107</v>
      </c>
      <c r="C82" s="9" t="s">
        <v>108</v>
      </c>
      <c r="D82" s="9" t="s">
        <v>28</v>
      </c>
      <c r="E82" s="10">
        <v>46209</v>
      </c>
      <c r="F82" s="10">
        <v>46210</v>
      </c>
      <c r="G82" s="9" t="s">
        <v>110</v>
      </c>
      <c r="H82" s="9"/>
      <c r="I82" s="10">
        <v>46215</v>
      </c>
      <c r="J82" s="9" t="s">
        <v>16</v>
      </c>
      <c r="K82" s="9" t="s">
        <v>109</v>
      </c>
      <c r="L82" s="9" t="s">
        <v>17</v>
      </c>
      <c r="M82" s="9" t="s">
        <v>50</v>
      </c>
      <c r="Q82" s="37">
        <v>1500</v>
      </c>
      <c r="V82" t="s">
        <v>254</v>
      </c>
      <c r="Y82">
        <f>COUNTIFS(J:J,"in",L:L,AB82,H:H,"&gt;0")</f>
        <v>3</v>
      </c>
      <c r="AB82" t="s">
        <v>48</v>
      </c>
      <c r="AC82">
        <v>0</v>
      </c>
    </row>
    <row r="83" spans="2:29" x14ac:dyDescent="0.25">
      <c r="B83" s="9" t="s">
        <v>115</v>
      </c>
      <c r="C83" s="9" t="s">
        <v>90</v>
      </c>
      <c r="D83" s="9" t="s">
        <v>71</v>
      </c>
      <c r="E83" s="10"/>
      <c r="F83" s="10">
        <v>46211</v>
      </c>
      <c r="G83" s="9" t="s">
        <v>20</v>
      </c>
      <c r="H83" s="9"/>
      <c r="I83" s="10">
        <v>46218</v>
      </c>
      <c r="J83" s="9" t="s">
        <v>16</v>
      </c>
      <c r="K83" s="9" t="s">
        <v>417</v>
      </c>
      <c r="L83" s="9" t="s">
        <v>17</v>
      </c>
      <c r="M83" s="9" t="s">
        <v>42</v>
      </c>
      <c r="Q83" s="37">
        <v>2000</v>
      </c>
      <c r="V83" t="s">
        <v>254</v>
      </c>
    </row>
    <row r="84" spans="2:29" x14ac:dyDescent="0.25">
      <c r="B84" s="9" t="s">
        <v>89</v>
      </c>
      <c r="C84" s="9" t="s">
        <v>90</v>
      </c>
      <c r="D84" s="9" t="s">
        <v>23</v>
      </c>
      <c r="E84" s="10"/>
      <c r="F84" s="10">
        <v>46206</v>
      </c>
      <c r="G84" s="9" t="s">
        <v>24</v>
      </c>
      <c r="H84" s="9"/>
      <c r="I84" s="10">
        <v>46215</v>
      </c>
      <c r="J84" s="9" t="s">
        <v>16</v>
      </c>
      <c r="K84" s="9" t="s">
        <v>437</v>
      </c>
      <c r="L84" s="9" t="s">
        <v>17</v>
      </c>
      <c r="M84" s="9" t="s">
        <v>42</v>
      </c>
      <c r="Q84" s="37">
        <v>2000</v>
      </c>
      <c r="V84" t="s">
        <v>435</v>
      </c>
      <c r="W84" t="s">
        <v>436</v>
      </c>
    </row>
    <row r="85" spans="2:29" x14ac:dyDescent="0.25">
      <c r="B85" s="9" t="s">
        <v>111</v>
      </c>
      <c r="C85" s="9" t="s">
        <v>112</v>
      </c>
      <c r="D85" s="9" t="s">
        <v>23</v>
      </c>
      <c r="E85" s="10"/>
      <c r="F85" s="10">
        <v>46573</v>
      </c>
      <c r="G85" s="9" t="s">
        <v>24</v>
      </c>
      <c r="H85" s="9"/>
      <c r="I85" s="10">
        <v>46221</v>
      </c>
      <c r="J85" s="9" t="s">
        <v>16</v>
      </c>
      <c r="K85" s="9"/>
      <c r="L85" s="9" t="s">
        <v>17</v>
      </c>
      <c r="M85" s="9" t="s">
        <v>42</v>
      </c>
      <c r="Q85" s="37">
        <v>2000</v>
      </c>
      <c r="V85" t="s">
        <v>435</v>
      </c>
      <c r="W85" t="s">
        <v>440</v>
      </c>
      <c r="AB85" t="s">
        <v>17</v>
      </c>
    </row>
    <row r="86" spans="2:29" x14ac:dyDescent="0.25">
      <c r="B86" s="9" t="s">
        <v>433</v>
      </c>
      <c r="C86" s="9" t="s">
        <v>127</v>
      </c>
      <c r="D86" s="9" t="s">
        <v>14</v>
      </c>
      <c r="E86" s="10"/>
      <c r="F86" s="10">
        <v>46217</v>
      </c>
      <c r="G86" s="9" t="s">
        <v>20</v>
      </c>
      <c r="H86" s="9"/>
      <c r="I86" s="10">
        <v>46219</v>
      </c>
      <c r="J86" s="9" t="s">
        <v>16</v>
      </c>
      <c r="K86" s="9" t="s">
        <v>417</v>
      </c>
      <c r="L86" s="9" t="s">
        <v>48</v>
      </c>
      <c r="M86" s="9" t="s">
        <v>42</v>
      </c>
      <c r="Q86" s="37">
        <v>2000</v>
      </c>
      <c r="V86" t="s">
        <v>254</v>
      </c>
    </row>
    <row r="87" spans="2:29" x14ac:dyDescent="0.25">
      <c r="B87" s="9" t="s">
        <v>95</v>
      </c>
      <c r="C87" s="9" t="s">
        <v>90</v>
      </c>
      <c r="D87" s="9" t="s">
        <v>23</v>
      </c>
      <c r="E87" s="10">
        <v>46202</v>
      </c>
      <c r="F87" s="10">
        <v>46206</v>
      </c>
      <c r="G87" s="9" t="s">
        <v>96</v>
      </c>
      <c r="H87" s="9"/>
      <c r="I87" s="10">
        <v>46219</v>
      </c>
      <c r="J87" s="9" t="s">
        <v>16</v>
      </c>
      <c r="K87" s="9"/>
      <c r="L87" s="9" t="s">
        <v>17</v>
      </c>
      <c r="M87" s="9" t="s">
        <v>42</v>
      </c>
      <c r="Q87" s="37">
        <v>2000</v>
      </c>
      <c r="W87" t="s">
        <v>438</v>
      </c>
    </row>
    <row r="88" spans="2:29" x14ac:dyDescent="0.25">
      <c r="B88" s="9" t="s">
        <v>27</v>
      </c>
      <c r="C88" s="9" t="s">
        <v>22</v>
      </c>
      <c r="D88" s="9" t="s">
        <v>166</v>
      </c>
      <c r="E88" s="10">
        <v>46212</v>
      </c>
      <c r="F88" s="10">
        <v>46217</v>
      </c>
      <c r="G88" s="9" t="s">
        <v>165</v>
      </c>
      <c r="H88" s="9">
        <v>4</v>
      </c>
      <c r="I88" s="10">
        <v>46223</v>
      </c>
      <c r="J88" s="9" t="s">
        <v>16</v>
      </c>
      <c r="K88" s="9"/>
      <c r="L88" s="9" t="s">
        <v>17</v>
      </c>
      <c r="M88" s="9" t="s">
        <v>42</v>
      </c>
      <c r="P88" t="s">
        <v>181</v>
      </c>
      <c r="Q88" s="37">
        <v>2000</v>
      </c>
      <c r="V88" t="s">
        <v>435</v>
      </c>
      <c r="W88" t="s">
        <v>47</v>
      </c>
    </row>
    <row r="89" spans="2:29" x14ac:dyDescent="0.25">
      <c r="B89" s="9" t="s">
        <v>172</v>
      </c>
      <c r="C89" s="9" t="s">
        <v>173</v>
      </c>
      <c r="D89" s="9" t="s">
        <v>23</v>
      </c>
      <c r="E89" s="10">
        <v>46216</v>
      </c>
      <c r="F89" s="10">
        <v>46218</v>
      </c>
      <c r="G89" s="9" t="s">
        <v>24</v>
      </c>
      <c r="H89" s="9"/>
      <c r="I89" s="10">
        <v>46225</v>
      </c>
      <c r="J89" s="9" t="s">
        <v>16</v>
      </c>
      <c r="K89" s="9" t="s">
        <v>432</v>
      </c>
      <c r="L89" s="9" t="s">
        <v>17</v>
      </c>
      <c r="M89" s="9" t="s">
        <v>42</v>
      </c>
      <c r="P89" t="s">
        <v>181</v>
      </c>
      <c r="Q89" s="37">
        <v>2000</v>
      </c>
      <c r="V89" t="s">
        <v>254</v>
      </c>
    </row>
    <row r="90" spans="2:29" x14ac:dyDescent="0.25">
      <c r="B90" s="9" t="s">
        <v>100</v>
      </c>
      <c r="C90" s="9" t="s">
        <v>33</v>
      </c>
      <c r="D90" s="9" t="s">
        <v>40</v>
      </c>
      <c r="E90" s="10">
        <v>46215</v>
      </c>
      <c r="F90" s="10">
        <v>46216</v>
      </c>
      <c r="G90" s="9" t="s">
        <v>41</v>
      </c>
      <c r="H90" s="9">
        <v>2</v>
      </c>
      <c r="I90" s="10">
        <v>46225</v>
      </c>
      <c r="J90" s="9" t="s">
        <v>16</v>
      </c>
      <c r="K90" s="9" t="s">
        <v>47</v>
      </c>
      <c r="L90" s="9" t="s">
        <v>17</v>
      </c>
      <c r="M90" s="9" t="s">
        <v>42</v>
      </c>
      <c r="P90" t="s">
        <v>181</v>
      </c>
      <c r="Q90" s="37">
        <v>2000</v>
      </c>
      <c r="V90" t="s">
        <v>435</v>
      </c>
      <c r="W90" t="s">
        <v>47</v>
      </c>
    </row>
    <row r="91" spans="2:29" x14ac:dyDescent="0.25">
      <c r="B91" s="9" t="s">
        <v>198</v>
      </c>
      <c r="C91" s="9" t="s">
        <v>90</v>
      </c>
      <c r="D91" s="9" t="s">
        <v>174</v>
      </c>
      <c r="E91" s="10">
        <v>46162</v>
      </c>
      <c r="F91" s="10">
        <v>46218</v>
      </c>
      <c r="G91" s="9" t="s">
        <v>88</v>
      </c>
      <c r="H91" s="9">
        <v>12</v>
      </c>
      <c r="I91" s="10">
        <v>46227</v>
      </c>
      <c r="J91" s="9" t="s">
        <v>16</v>
      </c>
      <c r="K91" s="9"/>
      <c r="L91" s="9" t="s">
        <v>17</v>
      </c>
      <c r="M91" s="9" t="s">
        <v>413</v>
      </c>
      <c r="P91" t="s">
        <v>181</v>
      </c>
      <c r="Q91" s="37">
        <v>2000</v>
      </c>
      <c r="R91" t="s">
        <v>128</v>
      </c>
      <c r="T91" t="s">
        <v>130</v>
      </c>
      <c r="U91" s="5"/>
      <c r="V91" t="s">
        <v>435</v>
      </c>
      <c r="W91" t="s">
        <v>47</v>
      </c>
    </row>
    <row r="92" spans="2:29" x14ac:dyDescent="0.25">
      <c r="B92" s="9" t="s">
        <v>132</v>
      </c>
      <c r="C92" s="9" t="s">
        <v>13</v>
      </c>
      <c r="D92" s="9" t="s">
        <v>14</v>
      </c>
      <c r="E92" s="10">
        <v>46200</v>
      </c>
      <c r="F92" s="10">
        <v>46204</v>
      </c>
      <c r="G92" s="9" t="s">
        <v>20</v>
      </c>
      <c r="H92" s="9">
        <v>3</v>
      </c>
      <c r="I92" s="10">
        <v>46223</v>
      </c>
      <c r="J92" s="9" t="s">
        <v>16</v>
      </c>
      <c r="K92" s="9"/>
      <c r="L92" s="9" t="s">
        <v>17</v>
      </c>
      <c r="M92" s="9" t="s">
        <v>42</v>
      </c>
      <c r="P92" t="s">
        <v>181</v>
      </c>
      <c r="Q92" s="37">
        <v>2000</v>
      </c>
      <c r="U92" s="5"/>
      <c r="V92" t="s">
        <v>435</v>
      </c>
      <c r="W92" t="s">
        <v>47</v>
      </c>
    </row>
    <row r="93" spans="2:29" x14ac:dyDescent="0.25">
      <c r="B93" s="9" t="s">
        <v>98</v>
      </c>
      <c r="C93" s="9" t="s">
        <v>90</v>
      </c>
      <c r="D93" s="9" t="s">
        <v>23</v>
      </c>
      <c r="E93" s="10"/>
      <c r="F93" s="10">
        <v>46206</v>
      </c>
      <c r="G93" s="9" t="s">
        <v>99</v>
      </c>
      <c r="H93" s="9">
        <v>10</v>
      </c>
      <c r="I93" s="10">
        <v>46218</v>
      </c>
      <c r="J93" s="9" t="s">
        <v>16</v>
      </c>
      <c r="K93" s="9"/>
      <c r="L93" s="9" t="s">
        <v>17</v>
      </c>
      <c r="M93" s="9" t="s">
        <v>42</v>
      </c>
      <c r="P93" t="s">
        <v>181</v>
      </c>
      <c r="Q93" s="37">
        <v>2000</v>
      </c>
      <c r="U93" s="5"/>
      <c r="W93" t="s">
        <v>439</v>
      </c>
    </row>
    <row r="94" spans="2:29" x14ac:dyDescent="0.25">
      <c r="B94" s="9" t="s">
        <v>21</v>
      </c>
      <c r="C94" s="9" t="s">
        <v>323</v>
      </c>
      <c r="D94" s="9" t="s">
        <v>23</v>
      </c>
      <c r="E94" s="10"/>
      <c r="F94" s="10">
        <v>46222</v>
      </c>
      <c r="G94" s="9" t="s">
        <v>24</v>
      </c>
      <c r="H94" s="9"/>
      <c r="I94" s="10">
        <v>46227</v>
      </c>
      <c r="J94" s="9" t="s">
        <v>16</v>
      </c>
      <c r="K94" s="9"/>
      <c r="L94" s="9" t="s">
        <v>48</v>
      </c>
      <c r="M94" s="9" t="s">
        <v>42</v>
      </c>
      <c r="O94" t="s">
        <v>341</v>
      </c>
      <c r="P94" t="s">
        <v>181</v>
      </c>
      <c r="Q94" s="37">
        <v>2000</v>
      </c>
      <c r="U94" s="5"/>
      <c r="V94" t="s">
        <v>435</v>
      </c>
      <c r="W94" t="s">
        <v>47</v>
      </c>
    </row>
    <row r="95" spans="2:29" x14ac:dyDescent="0.25">
      <c r="B95" s="9" t="s">
        <v>86</v>
      </c>
      <c r="C95" s="9" t="s">
        <v>33</v>
      </c>
      <c r="D95" s="9" t="s">
        <v>87</v>
      </c>
      <c r="E95" s="10">
        <v>46204</v>
      </c>
      <c r="F95" s="10">
        <v>46206</v>
      </c>
      <c r="G95" s="9" t="s">
        <v>88</v>
      </c>
      <c r="H95" s="9">
        <v>20</v>
      </c>
      <c r="I95" s="10">
        <v>46223</v>
      </c>
      <c r="J95" s="9" t="s">
        <v>16</v>
      </c>
      <c r="K95" s="9" t="s">
        <v>47</v>
      </c>
      <c r="L95" s="9" t="s">
        <v>17</v>
      </c>
      <c r="M95" s="9" t="s">
        <v>42</v>
      </c>
      <c r="N95" t="s">
        <v>448</v>
      </c>
      <c r="P95" t="s">
        <v>181</v>
      </c>
      <c r="Q95" s="37">
        <v>2000</v>
      </c>
      <c r="U95" s="5"/>
      <c r="W95" t="s">
        <v>58</v>
      </c>
    </row>
    <row r="96" spans="2:29" x14ac:dyDescent="0.25">
      <c r="B96" s="9" t="s">
        <v>118</v>
      </c>
      <c r="C96" s="9" t="s">
        <v>90</v>
      </c>
      <c r="D96" s="9" t="s">
        <v>71</v>
      </c>
      <c r="E96" s="10">
        <v>46204</v>
      </c>
      <c r="F96" s="10">
        <v>46215</v>
      </c>
      <c r="G96" s="9" t="s">
        <v>20</v>
      </c>
      <c r="H96" s="9">
        <v>15</v>
      </c>
      <c r="I96" s="10">
        <v>46232</v>
      </c>
      <c r="J96" s="9" t="s">
        <v>16</v>
      </c>
      <c r="K96" s="9"/>
      <c r="L96" s="9" t="s">
        <v>17</v>
      </c>
      <c r="M96" s="9" t="s">
        <v>42</v>
      </c>
      <c r="P96" t="s">
        <v>181</v>
      </c>
      <c r="Q96" s="37">
        <v>2000</v>
      </c>
      <c r="U96" s="5"/>
    </row>
    <row r="97" spans="1:32" x14ac:dyDescent="0.25">
      <c r="B97" s="9" t="s">
        <v>124</v>
      </c>
      <c r="C97" s="9" t="s">
        <v>90</v>
      </c>
      <c r="D97" s="9" t="s">
        <v>23</v>
      </c>
      <c r="E97" s="10"/>
      <c r="F97" s="10">
        <v>46224</v>
      </c>
      <c r="G97" s="9" t="s">
        <v>24</v>
      </c>
      <c r="H97" s="9">
        <v>15</v>
      </c>
      <c r="I97" s="10">
        <v>46224</v>
      </c>
      <c r="J97" s="9" t="s">
        <v>16</v>
      </c>
      <c r="K97" s="9"/>
      <c r="L97" s="9" t="s">
        <v>17</v>
      </c>
      <c r="M97" s="9" t="s">
        <v>42</v>
      </c>
      <c r="P97" t="s">
        <v>181</v>
      </c>
      <c r="Q97" s="37">
        <v>2000</v>
      </c>
      <c r="U97" s="5"/>
      <c r="W97" t="s">
        <v>454</v>
      </c>
    </row>
    <row r="98" spans="1:32" x14ac:dyDescent="0.25">
      <c r="B98" s="9" t="s">
        <v>86</v>
      </c>
      <c r="C98" s="9" t="s">
        <v>33</v>
      </c>
      <c r="D98" s="9" t="s">
        <v>87</v>
      </c>
      <c r="E98" s="10">
        <v>46204</v>
      </c>
      <c r="F98" s="10">
        <v>46206</v>
      </c>
      <c r="G98" s="9" t="s">
        <v>88</v>
      </c>
      <c r="H98" s="9">
        <v>20</v>
      </c>
      <c r="I98" s="10">
        <v>46210</v>
      </c>
      <c r="J98" s="9" t="s">
        <v>16</v>
      </c>
      <c r="K98" s="9" t="s">
        <v>47</v>
      </c>
      <c r="L98" s="9" t="s">
        <v>17</v>
      </c>
      <c r="M98" s="9" t="s">
        <v>42</v>
      </c>
      <c r="P98" t="s">
        <v>181</v>
      </c>
      <c r="Q98" s="37">
        <v>2000</v>
      </c>
      <c r="U98" s="5"/>
    </row>
    <row r="99" spans="1:32" x14ac:dyDescent="0.25">
      <c r="B99" s="9" t="s">
        <v>175</v>
      </c>
      <c r="C99" s="9" t="s">
        <v>176</v>
      </c>
      <c r="D99" s="9" t="s">
        <v>23</v>
      </c>
      <c r="E99" s="10">
        <v>46153</v>
      </c>
      <c r="F99" s="10">
        <v>46218</v>
      </c>
      <c r="G99" s="9" t="s">
        <v>24</v>
      </c>
      <c r="H99" s="9"/>
      <c r="I99" s="10">
        <v>46234</v>
      </c>
      <c r="J99" s="9" t="s">
        <v>16</v>
      </c>
      <c r="K99" s="9" t="s">
        <v>47</v>
      </c>
      <c r="L99" s="9" t="s">
        <v>17</v>
      </c>
      <c r="M99" s="9" t="s">
        <v>55</v>
      </c>
      <c r="P99" t="s">
        <v>181</v>
      </c>
      <c r="Q99" s="37">
        <v>2000</v>
      </c>
      <c r="U99" s="5"/>
    </row>
    <row r="100" spans="1:32" x14ac:dyDescent="0.25">
      <c r="A100" t="s">
        <v>131</v>
      </c>
      <c r="B100" s="9" t="s">
        <v>187</v>
      </c>
      <c r="C100" s="9" t="s">
        <v>188</v>
      </c>
      <c r="D100" s="9" t="s">
        <v>166</v>
      </c>
      <c r="E100" s="10">
        <v>46214</v>
      </c>
      <c r="F100" s="10">
        <v>46230</v>
      </c>
      <c r="G100" s="9" t="s">
        <v>434</v>
      </c>
      <c r="H100" s="9"/>
      <c r="I100" s="10">
        <v>46235</v>
      </c>
      <c r="J100" s="9" t="s">
        <v>16</v>
      </c>
      <c r="K100" s="9" t="s">
        <v>47</v>
      </c>
      <c r="L100" s="9" t="s">
        <v>17</v>
      </c>
      <c r="M100" s="9" t="s">
        <v>42</v>
      </c>
      <c r="N100" t="s">
        <v>427</v>
      </c>
      <c r="P100" t="s">
        <v>181</v>
      </c>
      <c r="Q100" s="37">
        <v>2000</v>
      </c>
      <c r="U100" s="5"/>
    </row>
    <row r="101" spans="1:32" x14ac:dyDescent="0.25">
      <c r="B101" s="9" t="s">
        <v>332</v>
      </c>
      <c r="C101" s="9" t="s">
        <v>58</v>
      </c>
      <c r="D101" s="9" t="s">
        <v>23</v>
      </c>
      <c r="E101" s="10">
        <v>46229</v>
      </c>
      <c r="F101" s="10">
        <v>46231</v>
      </c>
      <c r="G101" s="9" t="s">
        <v>24</v>
      </c>
      <c r="H101" s="9"/>
      <c r="I101" s="10">
        <v>46235</v>
      </c>
      <c r="J101" s="9" t="s">
        <v>16</v>
      </c>
      <c r="K101" s="9"/>
      <c r="L101" s="9" t="s">
        <v>17</v>
      </c>
      <c r="M101" s="9" t="s">
        <v>55</v>
      </c>
      <c r="N101" t="s">
        <v>441</v>
      </c>
      <c r="P101" t="s">
        <v>181</v>
      </c>
      <c r="Q101" s="37">
        <v>1000</v>
      </c>
      <c r="U101" s="5"/>
    </row>
    <row r="102" spans="1:32" x14ac:dyDescent="0.25">
      <c r="B102" s="9" t="s">
        <v>443</v>
      </c>
      <c r="C102" s="9" t="s">
        <v>444</v>
      </c>
      <c r="D102" s="9" t="s">
        <v>23</v>
      </c>
      <c r="E102" s="10">
        <v>46206</v>
      </c>
      <c r="F102" s="10">
        <v>46232</v>
      </c>
      <c r="G102" s="9" t="s">
        <v>99</v>
      </c>
      <c r="H102" s="9"/>
      <c r="I102" s="10">
        <v>46237</v>
      </c>
      <c r="J102" s="9" t="s">
        <v>16</v>
      </c>
      <c r="K102" s="9" t="s">
        <v>390</v>
      </c>
      <c r="L102" s="9" t="s">
        <v>17</v>
      </c>
      <c r="M102" s="9" t="s">
        <v>55</v>
      </c>
      <c r="Q102" s="37">
        <v>1000</v>
      </c>
      <c r="U102" s="5"/>
    </row>
    <row r="103" spans="1:32" x14ac:dyDescent="0.25">
      <c r="B103" s="9" t="s">
        <v>337</v>
      </c>
      <c r="C103" s="9" t="s">
        <v>414</v>
      </c>
      <c r="D103" s="9" t="s">
        <v>23</v>
      </c>
      <c r="E103" s="10">
        <v>46227</v>
      </c>
      <c r="F103" s="10">
        <v>46230</v>
      </c>
      <c r="G103" s="9" t="s">
        <v>24</v>
      </c>
      <c r="H103" s="9"/>
      <c r="I103" s="10">
        <v>46234</v>
      </c>
      <c r="J103" s="9" t="s">
        <v>16</v>
      </c>
      <c r="K103" s="9"/>
      <c r="L103" s="9" t="s">
        <v>17</v>
      </c>
      <c r="M103" s="9" t="s">
        <v>42</v>
      </c>
      <c r="N103" t="s">
        <v>427</v>
      </c>
      <c r="P103" s="11" t="s">
        <v>181</v>
      </c>
      <c r="Q103" s="37">
        <v>2000</v>
      </c>
      <c r="R103" t="s">
        <v>415</v>
      </c>
    </row>
    <row r="104" spans="1:32" x14ac:dyDescent="0.25">
      <c r="B104" s="9" t="s">
        <v>100</v>
      </c>
      <c r="C104" s="9" t="s">
        <v>33</v>
      </c>
      <c r="D104" s="9" t="s">
        <v>44</v>
      </c>
      <c r="E104" s="10">
        <v>46230</v>
      </c>
      <c r="F104" s="10">
        <v>46232</v>
      </c>
      <c r="G104" s="9" t="s">
        <v>45</v>
      </c>
      <c r="H104" s="9"/>
      <c r="I104" s="10">
        <v>46234</v>
      </c>
      <c r="J104" s="9" t="s">
        <v>16</v>
      </c>
      <c r="K104" s="9"/>
      <c r="L104" s="9" t="s">
        <v>17</v>
      </c>
      <c r="M104" s="9" t="s">
        <v>42</v>
      </c>
      <c r="P104" t="s">
        <v>181</v>
      </c>
      <c r="Q104" s="37">
        <v>2000</v>
      </c>
      <c r="U104" t="s">
        <v>461</v>
      </c>
    </row>
    <row r="105" spans="1:32" x14ac:dyDescent="0.25">
      <c r="B105" s="9" t="s">
        <v>77</v>
      </c>
      <c r="C105" s="9" t="s">
        <v>90</v>
      </c>
      <c r="D105" s="9" t="s">
        <v>23</v>
      </c>
      <c r="E105" s="10">
        <v>46215</v>
      </c>
      <c r="F105" s="10">
        <v>46226</v>
      </c>
      <c r="G105" s="9" t="s">
        <v>24</v>
      </c>
      <c r="H105" s="9">
        <v>11</v>
      </c>
      <c r="I105" s="10">
        <v>46237</v>
      </c>
      <c r="J105" s="9" t="s">
        <v>16</v>
      </c>
      <c r="K105" s="9"/>
      <c r="L105" s="9" t="s">
        <v>17</v>
      </c>
      <c r="M105" s="9" t="s">
        <v>42</v>
      </c>
      <c r="P105" t="s">
        <v>181</v>
      </c>
      <c r="Q105" s="37">
        <v>2000</v>
      </c>
      <c r="U105" s="5"/>
    </row>
    <row r="106" spans="1:32" x14ac:dyDescent="0.25">
      <c r="B106" s="9" t="s">
        <v>78</v>
      </c>
      <c r="C106" s="9" t="s">
        <v>33</v>
      </c>
      <c r="D106" s="9" t="s">
        <v>23</v>
      </c>
      <c r="E106" s="10"/>
      <c r="F106" s="10">
        <v>46212</v>
      </c>
      <c r="G106" s="9" t="s">
        <v>24</v>
      </c>
      <c r="H106" s="9">
        <v>16</v>
      </c>
      <c r="I106" s="10">
        <v>46217</v>
      </c>
      <c r="J106" s="9" t="s">
        <v>16</v>
      </c>
      <c r="K106" s="9" t="s">
        <v>47</v>
      </c>
      <c r="L106" s="9" t="s">
        <v>17</v>
      </c>
      <c r="M106" s="9" t="s">
        <v>42</v>
      </c>
      <c r="P106" t="s">
        <v>181</v>
      </c>
      <c r="Q106" s="37">
        <v>2000</v>
      </c>
      <c r="U106" s="5"/>
    </row>
    <row r="107" spans="1:32" x14ac:dyDescent="0.25">
      <c r="B107" s="9" t="s">
        <v>425</v>
      </c>
      <c r="C107" s="9" t="s">
        <v>22</v>
      </c>
      <c r="D107" s="9" t="s">
        <v>426</v>
      </c>
      <c r="E107" s="10">
        <v>46228</v>
      </c>
      <c r="F107" s="10">
        <v>46233</v>
      </c>
      <c r="G107" s="9" t="s">
        <v>94</v>
      </c>
      <c r="H107" s="9"/>
      <c r="I107" s="10">
        <v>46239</v>
      </c>
      <c r="J107" s="9" t="s">
        <v>16</v>
      </c>
      <c r="K107" s="9"/>
      <c r="L107" s="9" t="s">
        <v>17</v>
      </c>
      <c r="M107" s="9" t="s">
        <v>42</v>
      </c>
      <c r="N107" t="s">
        <v>449</v>
      </c>
      <c r="P107" t="s">
        <v>181</v>
      </c>
      <c r="Q107" s="37">
        <v>2000</v>
      </c>
      <c r="U107" s="5"/>
    </row>
    <row r="109" spans="1:32" x14ac:dyDescent="0.25">
      <c r="I109" s="2"/>
    </row>
    <row r="110" spans="1:32" x14ac:dyDescent="0.25">
      <c r="AF110" s="48"/>
    </row>
    <row r="111" spans="1:32" x14ac:dyDescent="0.25">
      <c r="AF111" s="39"/>
    </row>
    <row r="112" spans="1:32" x14ac:dyDescent="0.25">
      <c r="B112" s="18" t="s">
        <v>340</v>
      </c>
      <c r="C112" s="18" t="s">
        <v>13</v>
      </c>
      <c r="D112" s="18" t="s">
        <v>14</v>
      </c>
      <c r="E112" s="18"/>
      <c r="F112" s="19">
        <v>46240</v>
      </c>
      <c r="G112" s="18" t="s">
        <v>20</v>
      </c>
      <c r="H112" s="18"/>
      <c r="I112" s="18"/>
      <c r="J112" s="18" t="s">
        <v>16</v>
      </c>
      <c r="K112" s="18"/>
      <c r="L112" s="18" t="s">
        <v>48</v>
      </c>
      <c r="M112" s="18" t="s">
        <v>18</v>
      </c>
      <c r="P112" s="18"/>
    </row>
    <row r="114" spans="1:25" x14ac:dyDescent="0.25">
      <c r="X114" s="2">
        <f ca="1">+TODAY()</f>
        <v>46240</v>
      </c>
      <c r="Y114" t="s">
        <v>328</v>
      </c>
    </row>
    <row r="115" spans="1:25" x14ac:dyDescent="0.25">
      <c r="A115" t="s">
        <v>182</v>
      </c>
      <c r="B115" t="s">
        <v>184</v>
      </c>
      <c r="P115" t="s">
        <v>181</v>
      </c>
      <c r="X115" s="1" t="s">
        <v>329</v>
      </c>
      <c r="Y115" s="1">
        <f>COUNTIFS(J:J,"in")</f>
        <v>31</v>
      </c>
    </row>
    <row r="116" spans="1:25" x14ac:dyDescent="0.25">
      <c r="A116" t="s">
        <v>182</v>
      </c>
      <c r="B116" t="s">
        <v>183</v>
      </c>
      <c r="P116" t="s">
        <v>181</v>
      </c>
      <c r="X116" s="30" t="s">
        <v>325</v>
      </c>
      <c r="Y116" s="31">
        <f>COUNTIFS(J:J,"in",L:L,AB85)</f>
        <v>23</v>
      </c>
    </row>
    <row r="117" spans="1:25" x14ac:dyDescent="0.25">
      <c r="B117" s="6" t="s">
        <v>468</v>
      </c>
      <c r="C117" s="6"/>
      <c r="D117" s="6"/>
      <c r="E117" s="7">
        <v>46232</v>
      </c>
      <c r="F117" s="7"/>
      <c r="G117" s="6" t="s">
        <v>279</v>
      </c>
      <c r="H117" s="6"/>
      <c r="I117" s="6"/>
      <c r="J117" s="6"/>
      <c r="K117" s="6"/>
      <c r="L117" s="6"/>
      <c r="M117" s="6"/>
      <c r="X117" s="32" t="s">
        <v>324</v>
      </c>
      <c r="Y117" s="20">
        <f>COUNTIFS(J:J,"in",L:L,AB79,H:H,"&gt;0")</f>
        <v>12</v>
      </c>
    </row>
    <row r="118" spans="1:25" x14ac:dyDescent="0.25">
      <c r="B118" s="6" t="s">
        <v>471</v>
      </c>
      <c r="C118" s="6"/>
      <c r="D118" s="6" t="s">
        <v>171</v>
      </c>
      <c r="E118" s="7">
        <v>46232</v>
      </c>
      <c r="F118" s="7"/>
      <c r="G118" s="6" t="s">
        <v>279</v>
      </c>
      <c r="H118" s="6"/>
      <c r="I118" s="6"/>
      <c r="J118" s="6"/>
      <c r="K118" s="6"/>
      <c r="L118" s="6"/>
      <c r="M118" s="6"/>
      <c r="X118" s="30" t="s">
        <v>326</v>
      </c>
      <c r="Y118" s="31">
        <f>COUNTIFS(J:J,"in",L:L,AB81)</f>
        <v>8</v>
      </c>
    </row>
    <row r="119" spans="1:25" x14ac:dyDescent="0.25">
      <c r="B119" s="6" t="s">
        <v>170</v>
      </c>
      <c r="C119" s="6" t="s">
        <v>33</v>
      </c>
      <c r="D119" s="6" t="s">
        <v>171</v>
      </c>
      <c r="E119" s="7"/>
      <c r="F119" s="7">
        <v>46218</v>
      </c>
      <c r="G119" s="6" t="s">
        <v>88</v>
      </c>
      <c r="H119" s="6"/>
      <c r="I119" s="6"/>
      <c r="J119" s="6"/>
      <c r="K119" s="6"/>
      <c r="L119" s="6" t="s">
        <v>48</v>
      </c>
      <c r="M119" s="6" t="s">
        <v>460</v>
      </c>
      <c r="U119" s="5"/>
    </row>
    <row r="120" spans="1:25" x14ac:dyDescent="0.25">
      <c r="B120" s="6" t="s">
        <v>199</v>
      </c>
      <c r="C120" s="6" t="s">
        <v>200</v>
      </c>
      <c r="D120" s="6" t="s">
        <v>23</v>
      </c>
      <c r="E120" s="7"/>
      <c r="F120" s="7">
        <v>46221</v>
      </c>
      <c r="G120" s="6" t="s">
        <v>24</v>
      </c>
      <c r="H120" s="6">
        <v>5</v>
      </c>
      <c r="I120" s="6"/>
      <c r="J120" s="6"/>
      <c r="K120" s="6"/>
      <c r="L120" s="6" t="s">
        <v>48</v>
      </c>
      <c r="M120" s="6" t="s">
        <v>201</v>
      </c>
      <c r="U120" s="5"/>
    </row>
    <row r="121" spans="1:25" x14ac:dyDescent="0.25">
      <c r="X121" s="32" t="s">
        <v>327</v>
      </c>
      <c r="Y121" s="20">
        <f>COUNTIFS(J:J,"in",L:L,AB82,H:H,"&gt;0")</f>
        <v>3</v>
      </c>
    </row>
    <row r="123" spans="1:25" x14ac:dyDescent="0.25">
      <c r="S123" t="s">
        <v>455</v>
      </c>
    </row>
    <row r="127" spans="1:25" x14ac:dyDescent="0.25">
      <c r="S127" s="2">
        <f>+MIN(I79:I109)</f>
        <v>46210</v>
      </c>
      <c r="T127" s="37">
        <f>SUMIFS(Q:Q,I:I,S127)</f>
        <v>2000</v>
      </c>
    </row>
    <row r="128" spans="1:25" x14ac:dyDescent="0.25">
      <c r="S128" s="2">
        <f>+S127+1</f>
        <v>46211</v>
      </c>
      <c r="T128" s="37">
        <f>SUMIFS(Q:Q,I:I,S128)</f>
        <v>0</v>
      </c>
    </row>
    <row r="129" spans="19:20" x14ac:dyDescent="0.25">
      <c r="S129" s="2">
        <f t="shared" ref="S129:S154" si="0">+S128+1</f>
        <v>46212</v>
      </c>
      <c r="T129" s="37">
        <f>SUMIFS(Q:Q,I:I,S129)</f>
        <v>0</v>
      </c>
    </row>
    <row r="130" spans="19:20" x14ac:dyDescent="0.25">
      <c r="S130" s="2">
        <f t="shared" si="0"/>
        <v>46213</v>
      </c>
      <c r="T130" s="37">
        <f>SUMIFS(Q:Q,I:I,S130)</f>
        <v>0</v>
      </c>
    </row>
    <row r="131" spans="19:20" x14ac:dyDescent="0.25">
      <c r="S131" s="2">
        <f t="shared" si="0"/>
        <v>46214</v>
      </c>
      <c r="T131" s="37">
        <f>SUMIFS(Q:Q,I:I,S131)</f>
        <v>0</v>
      </c>
    </row>
    <row r="132" spans="19:20" x14ac:dyDescent="0.25">
      <c r="S132" s="2">
        <f t="shared" si="0"/>
        <v>46215</v>
      </c>
      <c r="T132" s="37">
        <f>SUMIFS(Q:Q,I:I,S132)</f>
        <v>3500</v>
      </c>
    </row>
    <row r="133" spans="19:20" x14ac:dyDescent="0.25">
      <c r="S133" s="2">
        <f t="shared" si="0"/>
        <v>46216</v>
      </c>
      <c r="T133" s="37">
        <f>SUMIFS(Q:Q,I:I,S133)</f>
        <v>2000</v>
      </c>
    </row>
    <row r="134" spans="19:20" x14ac:dyDescent="0.25">
      <c r="S134" s="2">
        <f t="shared" si="0"/>
        <v>46217</v>
      </c>
      <c r="T134" s="37">
        <f>SUMIFS(Q:Q,I:I,S134)</f>
        <v>4000</v>
      </c>
    </row>
    <row r="135" spans="19:20" x14ac:dyDescent="0.25">
      <c r="S135" s="2">
        <f t="shared" si="0"/>
        <v>46218</v>
      </c>
      <c r="T135" s="37">
        <f>SUMIFS(Q:Q,I:I,S135)</f>
        <v>5000</v>
      </c>
    </row>
    <row r="136" spans="19:20" x14ac:dyDescent="0.25">
      <c r="S136" s="2">
        <f t="shared" si="0"/>
        <v>46219</v>
      </c>
      <c r="T136" s="37">
        <f>SUMIFS(Q:Q,I:I,S136)</f>
        <v>4000</v>
      </c>
    </row>
    <row r="137" spans="19:20" x14ac:dyDescent="0.25">
      <c r="S137" s="2">
        <f t="shared" si="0"/>
        <v>46220</v>
      </c>
      <c r="T137" s="37">
        <f>SUMIFS(Q:Q,I:I,S137)</f>
        <v>0</v>
      </c>
    </row>
    <row r="138" spans="19:20" x14ac:dyDescent="0.25">
      <c r="S138" s="2">
        <f t="shared" si="0"/>
        <v>46221</v>
      </c>
      <c r="T138" s="37">
        <f>SUMIFS(Q:Q,I:I,S138)</f>
        <v>2000</v>
      </c>
    </row>
    <row r="139" spans="19:20" x14ac:dyDescent="0.25">
      <c r="S139" s="2">
        <f t="shared" si="0"/>
        <v>46222</v>
      </c>
      <c r="T139" s="37">
        <f>SUMIFS(Q:Q,I:I,S139)</f>
        <v>0</v>
      </c>
    </row>
    <row r="140" spans="19:20" x14ac:dyDescent="0.25">
      <c r="S140" s="2">
        <f t="shared" si="0"/>
        <v>46223</v>
      </c>
      <c r="T140" s="37">
        <f>SUMIFS(Q:Q,I:I,S140)</f>
        <v>6000</v>
      </c>
    </row>
    <row r="141" spans="19:20" x14ac:dyDescent="0.25">
      <c r="S141" s="2">
        <f t="shared" si="0"/>
        <v>46224</v>
      </c>
      <c r="T141" s="37">
        <f>SUMIFS(Q:Q,I:I,S141)</f>
        <v>2000</v>
      </c>
    </row>
    <row r="142" spans="19:20" x14ac:dyDescent="0.25">
      <c r="S142" s="2">
        <f t="shared" si="0"/>
        <v>46225</v>
      </c>
      <c r="T142" s="37">
        <f>SUMIFS(Q:Q,I:I,S142)</f>
        <v>4000</v>
      </c>
    </row>
    <row r="143" spans="19:20" x14ac:dyDescent="0.25">
      <c r="S143" s="2">
        <f t="shared" si="0"/>
        <v>46226</v>
      </c>
      <c r="T143" s="37">
        <f>SUMIFS(Q:Q,I:I,S143)</f>
        <v>0</v>
      </c>
    </row>
    <row r="144" spans="19:20" x14ac:dyDescent="0.25">
      <c r="S144" s="2">
        <f t="shared" si="0"/>
        <v>46227</v>
      </c>
      <c r="T144" s="37">
        <f>SUMIFS(Q:Q,I:I,S144)</f>
        <v>4000</v>
      </c>
    </row>
    <row r="145" spans="19:23" x14ac:dyDescent="0.25">
      <c r="S145" s="2">
        <f t="shared" si="0"/>
        <v>46228</v>
      </c>
      <c r="T145" s="37">
        <f>SUMIFS(Q:Q,I:I,S145)</f>
        <v>0</v>
      </c>
    </row>
    <row r="146" spans="19:23" x14ac:dyDescent="0.25">
      <c r="S146" s="2">
        <f t="shared" si="0"/>
        <v>46229</v>
      </c>
      <c r="T146" s="37">
        <f>SUMIFS(Q:Q,I:I,S146)</f>
        <v>0</v>
      </c>
    </row>
    <row r="147" spans="19:23" x14ac:dyDescent="0.25">
      <c r="S147" s="2">
        <f t="shared" si="0"/>
        <v>46230</v>
      </c>
      <c r="T147" s="37">
        <f>SUMIFS(Q:Q,I:I,S147)</f>
        <v>0</v>
      </c>
    </row>
    <row r="148" spans="19:23" x14ac:dyDescent="0.25">
      <c r="S148" s="2">
        <f t="shared" si="0"/>
        <v>46231</v>
      </c>
      <c r="T148" s="37">
        <f>SUMIFS(Q:Q,I:I,S148)</f>
        <v>0</v>
      </c>
    </row>
    <row r="149" spans="19:23" x14ac:dyDescent="0.25">
      <c r="S149" s="2">
        <f t="shared" si="0"/>
        <v>46232</v>
      </c>
      <c r="T149" s="37">
        <f>SUMIFS(Q:Q,I:I,S149)</f>
        <v>2000</v>
      </c>
    </row>
    <row r="150" spans="19:23" x14ac:dyDescent="0.25">
      <c r="S150" s="2">
        <f t="shared" si="0"/>
        <v>46233</v>
      </c>
      <c r="T150" s="37">
        <f>SUMIFS(Q:Q,I:I,S150)</f>
        <v>0</v>
      </c>
    </row>
    <row r="151" spans="19:23" x14ac:dyDescent="0.25">
      <c r="S151" s="2">
        <f t="shared" si="0"/>
        <v>46234</v>
      </c>
      <c r="T151" s="37">
        <f>SUMIFS(Q:Q,I:I,S151)</f>
        <v>6000</v>
      </c>
    </row>
    <row r="152" spans="19:23" x14ac:dyDescent="0.25">
      <c r="S152" s="2">
        <f t="shared" si="0"/>
        <v>46235</v>
      </c>
      <c r="T152" s="37">
        <f>SUMIFS(Q:Q,I:I,S152)</f>
        <v>3000</v>
      </c>
    </row>
    <row r="153" spans="19:23" x14ac:dyDescent="0.25">
      <c r="S153" s="2">
        <f t="shared" si="0"/>
        <v>46236</v>
      </c>
      <c r="T153" s="37">
        <f>SUMIFS(Q:Q,I:I,S153)</f>
        <v>0</v>
      </c>
    </row>
    <row r="154" spans="19:23" x14ac:dyDescent="0.25">
      <c r="S154" s="2">
        <f t="shared" si="0"/>
        <v>46237</v>
      </c>
      <c r="T154" s="37">
        <f>SUMIFS(Q:Q,I:I,S154)</f>
        <v>3000</v>
      </c>
      <c r="V154">
        <v>1</v>
      </c>
    </row>
    <row r="155" spans="19:23" x14ac:dyDescent="0.25">
      <c r="S155" s="2">
        <f t="shared" ref="S155" si="1">+S154+1</f>
        <v>46238</v>
      </c>
      <c r="T155" s="37">
        <f>SUMIFS(Q:Q,I:I,S155)</f>
        <v>0</v>
      </c>
    </row>
    <row r="156" spans="19:23" x14ac:dyDescent="0.25">
      <c r="S156" s="2"/>
      <c r="T156" s="37"/>
      <c r="V156" s="40">
        <f>+SUM(T132:T156)</f>
        <v>50500</v>
      </c>
    </row>
    <row r="157" spans="19:23" x14ac:dyDescent="0.25">
      <c r="V157">
        <f>+COUNT(S132:S156)</f>
        <v>24</v>
      </c>
      <c r="W157">
        <f>+V156/V157</f>
        <v>2104.1666666666665</v>
      </c>
    </row>
    <row r="161" spans="19:25" x14ac:dyDescent="0.25">
      <c r="S161" t="s">
        <v>498</v>
      </c>
    </row>
    <row r="162" spans="19:25" x14ac:dyDescent="0.25">
      <c r="V162" s="51" t="s">
        <v>48</v>
      </c>
    </row>
    <row r="163" spans="19:25" x14ac:dyDescent="0.25">
      <c r="S163" s="1" t="s">
        <v>463</v>
      </c>
      <c r="T163" s="1" t="s">
        <v>497</v>
      </c>
      <c r="U163" s="1" t="s">
        <v>502</v>
      </c>
      <c r="V163" s="1" t="s">
        <v>501</v>
      </c>
      <c r="W163" s="1" t="s">
        <v>516</v>
      </c>
      <c r="X163" s="1" t="s">
        <v>515</v>
      </c>
    </row>
    <row r="164" spans="19:25" x14ac:dyDescent="0.25">
      <c r="S164" s="2">
        <f>+S165+1</f>
        <v>46239</v>
      </c>
      <c r="T164">
        <f>+COUNTIFS(entries!V:V,$V$162,entries!G:G,S164)</f>
        <v>1</v>
      </c>
      <c r="U164">
        <f>+COUNTIFS(entries!V:V,$V$162,entries!G:G,S164,entries!AE:AE,1)</f>
        <v>1</v>
      </c>
      <c r="V164">
        <f>+COUNTIFS(entries!V:V,$V$162,entries!G:G,S164,entries!AF:AF,1)</f>
        <v>0</v>
      </c>
      <c r="W164" s="37">
        <v>2000</v>
      </c>
      <c r="X164" s="37">
        <f>+AVERAGE(W165:W170)</f>
        <v>1733.3333333333333</v>
      </c>
      <c r="Y164" s="40">
        <f>+AVERAGE(W164:W169)</f>
        <v>1800</v>
      </c>
    </row>
    <row r="165" spans="19:25" x14ac:dyDescent="0.25">
      <c r="S165" s="2">
        <f>+S166+1</f>
        <v>46238</v>
      </c>
      <c r="T165">
        <f>+COUNTIFS(entries!V:V,$V$162,entries!G:G,S165)</f>
        <v>1</v>
      </c>
      <c r="U165">
        <f>+COUNTIFS(entries!V:V,$V$162,entries!G:G,S165,entries!AE:AE,1)</f>
        <v>1</v>
      </c>
      <c r="V165">
        <f>+COUNTIFS(entries!V:V,$V$162,entries!G:G,S165,entries!AF:AF,1)</f>
        <v>0</v>
      </c>
      <c r="W165" s="37">
        <f>+SUMIFS(entries!AG:AG,entries!V:V,$V$162,entries!G:G,S165)</f>
        <v>2000</v>
      </c>
      <c r="X165" s="37">
        <f t="shared" ref="X165:X179" si="2">+AVERAGE(W166:W171)</f>
        <v>1733.3333333333333</v>
      </c>
      <c r="Y165" s="40">
        <f>+AVERAGE(W165:W170)</f>
        <v>1733.3333333333333</v>
      </c>
    </row>
    <row r="166" spans="19:25" x14ac:dyDescent="0.25">
      <c r="S166" s="2">
        <f>+S167+1</f>
        <v>46237</v>
      </c>
      <c r="T166">
        <f>+COUNTIFS(entries!V:V,$V$162,entries!G:G,S166)</f>
        <v>0</v>
      </c>
      <c r="U166">
        <f>+COUNTIFS(entries!V:V,$V$162,entries!G:G,S166,entries!AE:AE,1)</f>
        <v>0</v>
      </c>
      <c r="V166">
        <f>+COUNTIFS(entries!V:V,$V$162,entries!G:G,S166,entries!AF:AF,1)</f>
        <v>0</v>
      </c>
      <c r="W166" s="37">
        <f>+SUMIFS(entries!AG:AG,entries!V:V,$V$162,entries!G:G,S166)</f>
        <v>0</v>
      </c>
      <c r="X166" s="37">
        <f t="shared" si="2"/>
        <v>2066.6666666666665</v>
      </c>
      <c r="Y166" s="40">
        <f>+AVERAGE(W166:W171)</f>
        <v>1733.3333333333333</v>
      </c>
    </row>
    <row r="167" spans="19:25" x14ac:dyDescent="0.25">
      <c r="S167" s="2">
        <f>+S168+1</f>
        <v>46236</v>
      </c>
      <c r="T167">
        <f>+COUNTIFS(entries!V:V,$V$162,entries!G:G,S167)</f>
        <v>1</v>
      </c>
      <c r="U167">
        <f>+COUNTIFS(entries!V:V,$V$162,entries!G:G,S167,entries!AE:AE,1)</f>
        <v>1</v>
      </c>
      <c r="V167">
        <f>+COUNTIFS(entries!V:V,$V$162,entries!G:G,S167,entries!AF:AF,1)</f>
        <v>0</v>
      </c>
      <c r="W167" s="37">
        <f>+SUMIFS(entries!AG:AG,entries!V:V,$V$162,entries!G:G,S167)</f>
        <v>2000</v>
      </c>
      <c r="X167" s="37">
        <f t="shared" si="2"/>
        <v>1900</v>
      </c>
      <c r="Y167" s="40">
        <f>+AVERAGE(W167:W172)</f>
        <v>2066.6666666666665</v>
      </c>
    </row>
    <row r="168" spans="19:25" x14ac:dyDescent="0.25">
      <c r="S168" s="2">
        <f>+S169+1</f>
        <v>46235</v>
      </c>
      <c r="T168">
        <f>+COUNTIFS(entries!V:V,$V$162,entries!G:G,S168)</f>
        <v>1</v>
      </c>
      <c r="U168">
        <f>+COUNTIFS(entries!V:V,$V$162,entries!G:G,S168,entries!AE:AE,1)</f>
        <v>1</v>
      </c>
      <c r="V168">
        <f>+COUNTIFS(entries!V:V,$V$162,entries!G:G,S168,entries!AF:AF,1)</f>
        <v>0</v>
      </c>
      <c r="W168" s="37">
        <f>+SUMIFS(entries!AG:AG,entries!V:V,$V$162,entries!G:G,S168)</f>
        <v>2000</v>
      </c>
      <c r="X168" s="37">
        <f t="shared" si="2"/>
        <v>1900</v>
      </c>
      <c r="Y168" s="40">
        <f>+AVERAGE(W168:W173)</f>
        <v>1900</v>
      </c>
    </row>
    <row r="169" spans="19:25" x14ac:dyDescent="0.25">
      <c r="S169" s="2">
        <v>46234</v>
      </c>
      <c r="T169">
        <f>+COUNTIFS(entries!V:V,$V$162,entries!G:G,S169)</f>
        <v>2</v>
      </c>
      <c r="U169">
        <f>+COUNTIFS(entries!V:V,$V$162,entries!G:G,S169,entries!AE:AE,1)</f>
        <v>1</v>
      </c>
      <c r="V169">
        <f>+COUNTIFS(entries!V:V,$V$162,entries!G:G,S169,entries!AF:AF,1)</f>
        <v>1</v>
      </c>
      <c r="W169" s="37">
        <f>+SUMIFS(entries!AG:AG,entries!V:V,$V$162,entries!G:G,S169)</f>
        <v>2800</v>
      </c>
      <c r="X169" s="37">
        <f t="shared" si="2"/>
        <v>1766.6666666666667</v>
      </c>
      <c r="Y169" s="40">
        <f>+AVERAGE(W169:W174)</f>
        <v>1900</v>
      </c>
    </row>
    <row r="170" spans="19:25" x14ac:dyDescent="0.25">
      <c r="S170" s="2">
        <v>46232</v>
      </c>
      <c r="T170">
        <f>+COUNTIFS(entries!V:V,$V$162,entries!G:G,S170)</f>
        <v>2</v>
      </c>
      <c r="U170">
        <f>+COUNTIFS(entries!V:V,$V$162,entries!G:G,S170,entries!AE:AE,1)</f>
        <v>1</v>
      </c>
      <c r="V170">
        <f>+COUNTIFS(entries!V:V,$V$162,entries!G:G,S170,entries!AF:AF,1)</f>
        <v>1</v>
      </c>
      <c r="W170" s="37">
        <f>+SUMIFS(entries!AG:AG,entries!V:V,$V$162,entries!G:G,S170)</f>
        <v>1600</v>
      </c>
      <c r="X170" s="37">
        <f t="shared" si="2"/>
        <v>1633.3333333333333</v>
      </c>
      <c r="Y170" s="40">
        <f>+AVERAGE(W170:W175)</f>
        <v>1766.6666666666667</v>
      </c>
    </row>
    <row r="171" spans="19:25" x14ac:dyDescent="0.25">
      <c r="S171" s="2">
        <v>46231</v>
      </c>
      <c r="T171">
        <f>+COUNTIFS(entries!V:V,$V$162,entries!G:G,S171)</f>
        <v>1</v>
      </c>
      <c r="U171">
        <f>+COUNTIFS(entries!V:V,$V$162,entries!G:G,S171,entries!AE:AE,1)</f>
        <v>1</v>
      </c>
      <c r="V171">
        <f>+COUNTIFS(entries!V:V,$V$162,entries!G:G,S171,entries!AF:AF,1)</f>
        <v>0</v>
      </c>
      <c r="W171" s="37">
        <f>+SUMIFS(entries!AG:AG,entries!V:V,$V$162,entries!G:G,S171)</f>
        <v>2000</v>
      </c>
      <c r="X171" s="37">
        <f t="shared" si="2"/>
        <v>3100</v>
      </c>
      <c r="Y171" s="40">
        <f>+AVERAGE(W171:W176)</f>
        <v>1633.3333333333333</v>
      </c>
    </row>
    <row r="172" spans="19:25" x14ac:dyDescent="0.25">
      <c r="S172" s="2">
        <v>46230</v>
      </c>
      <c r="T172">
        <f>+COUNTIFS(entries!V:V,$V$162,entries!G:G,S172)</f>
        <v>1</v>
      </c>
      <c r="U172">
        <f>+COUNTIFS(entries!V:V,$V$162,entries!G:G,S172,entries!AE:AE,1)</f>
        <v>1</v>
      </c>
      <c r="V172">
        <f>+COUNTIFS(entries!V:V,$V$162,entries!G:G,S172,entries!AF:AF,1)</f>
        <v>0</v>
      </c>
      <c r="W172" s="37">
        <f>+SUMIFS(entries!AG:AG,entries!V:V,$V$162,entries!G:G,S172)</f>
        <v>2000</v>
      </c>
      <c r="X172" s="37">
        <f t="shared" si="2"/>
        <v>2900</v>
      </c>
      <c r="Y172" s="40">
        <f>+AVERAGE(W172:W177)</f>
        <v>3100</v>
      </c>
    </row>
    <row r="173" spans="19:25" x14ac:dyDescent="0.25">
      <c r="S173" s="2">
        <v>46229</v>
      </c>
      <c r="T173">
        <f>+COUNTIFS(entries!V:V,$V$162,entries!G:G,S173)</f>
        <v>1</v>
      </c>
      <c r="U173">
        <f>+COUNTIFS(entries!V:V,$V$162,entries!G:G,S173,entries!AE:AE,1)</f>
        <v>1</v>
      </c>
      <c r="V173">
        <f>+COUNTIFS(entries!V:V,$V$162,entries!G:G,S173,entries!AF:AF,1)</f>
        <v>0</v>
      </c>
      <c r="W173" s="37">
        <f>+SUMIFS(entries!AG:AG,entries!V:V,$V$162,entries!G:G,S173)</f>
        <v>1000</v>
      </c>
      <c r="X173" s="37">
        <f t="shared" si="2"/>
        <v>3066.6666666666665</v>
      </c>
      <c r="Y173" s="40">
        <f>+AVERAGE(W173:W178)</f>
        <v>2900</v>
      </c>
    </row>
    <row r="174" spans="19:25" x14ac:dyDescent="0.25">
      <c r="S174" s="2">
        <v>46228</v>
      </c>
      <c r="T174">
        <f>+COUNTIFS(entries!V:V,$V$162,entries!G:G,S174)</f>
        <v>1</v>
      </c>
      <c r="U174">
        <f>+COUNTIFS(entries!V:V,$V$162,entries!G:G,S174,entries!AE:AE,1)</f>
        <v>1</v>
      </c>
      <c r="V174">
        <f>+COUNTIFS(entries!V:V,$V$162,entries!G:G,S174,entries!AF:AF,1)</f>
        <v>0</v>
      </c>
      <c r="W174" s="37">
        <f>+SUMIFS(entries!AG:AG,entries!V:V,$V$162,entries!G:G,S174)</f>
        <v>2000</v>
      </c>
      <c r="X174" s="37">
        <f t="shared" si="2"/>
        <v>3066.6666666666665</v>
      </c>
      <c r="Y174" s="40">
        <f>+AVERAGE(W174:W179)</f>
        <v>3066.6666666666665</v>
      </c>
    </row>
    <row r="175" spans="19:25" x14ac:dyDescent="0.25">
      <c r="S175" s="2">
        <v>46226</v>
      </c>
      <c r="T175">
        <f>+COUNTIFS(entries!V:V,$V$162,entries!G:G,S175)</f>
        <v>1</v>
      </c>
      <c r="U175">
        <f>+COUNTIFS(entries!V:V,$V$162,entries!G:G,S175,entries!AE:AE,1)</f>
        <v>1</v>
      </c>
      <c r="V175">
        <f>+COUNTIFS(entries!V:V,$V$162,entries!G:G,S175,entries!AF:AF,1)</f>
        <v>0</v>
      </c>
      <c r="W175" s="37">
        <f>+SUMIFS(entries!AG:AG,entries!V:V,$V$162,entries!G:G,S175)</f>
        <v>2000</v>
      </c>
      <c r="X175" s="37">
        <f t="shared" si="2"/>
        <v>3066.6666666666665</v>
      </c>
      <c r="Y175" s="40">
        <f>+AVERAGE(W175:W180)</f>
        <v>3066.6666666666665</v>
      </c>
    </row>
    <row r="176" spans="19:25" x14ac:dyDescent="0.25">
      <c r="S176" s="2">
        <v>46224</v>
      </c>
      <c r="T176">
        <f>+COUNTIFS(entries!V:V,$V$162,entries!G:G,S176)</f>
        <v>1</v>
      </c>
      <c r="U176">
        <f>+COUNTIFS(entries!V:V,$V$162,entries!G:G,S176,entries!AE:AE,1)</f>
        <v>0</v>
      </c>
      <c r="V176">
        <f>+COUNTIFS(entries!V:V,$V$162,entries!G:G,S176,entries!AF:AF,1)</f>
        <v>1</v>
      </c>
      <c r="W176" s="37">
        <f>+SUMIFS(entries!AG:AG,entries!V:V,$V$162,entries!G:G,S176)</f>
        <v>800</v>
      </c>
      <c r="X176" s="37">
        <f t="shared" si="2"/>
        <v>3266.6666666666665</v>
      </c>
      <c r="Y176" s="40">
        <f>+AVERAGE(W176:W181)</f>
        <v>3066.6666666666665</v>
      </c>
    </row>
    <row r="177" spans="19:25" x14ac:dyDescent="0.25">
      <c r="S177" s="2">
        <v>46223</v>
      </c>
      <c r="T177">
        <f>+COUNTIFS(entries!V:V,$V$162,entries!G:G,S177)</f>
        <v>6</v>
      </c>
      <c r="U177">
        <f>+COUNTIFS(entries!V:V,$V$162,entries!G:G,S177,entries!AE:AE,1)</f>
        <v>3</v>
      </c>
      <c r="V177">
        <f>+COUNTIFS(entries!V:V,$V$162,entries!G:G,S177,entries!AF:AF,1)</f>
        <v>3</v>
      </c>
      <c r="W177" s="37">
        <f>+SUMIFS(entries!AG:AG,entries!V:V,$V$162,entries!G:G,S177)</f>
        <v>10800</v>
      </c>
      <c r="X177" s="37">
        <f t="shared" si="2"/>
        <v>1733.3333333333333</v>
      </c>
      <c r="Y177" s="40">
        <f>+AVERAGE(W177:W182)</f>
        <v>3266.6666666666665</v>
      </c>
    </row>
    <row r="178" spans="19:25" x14ac:dyDescent="0.25">
      <c r="S178" s="2">
        <v>46222</v>
      </c>
      <c r="T178">
        <f>+COUNTIFS(entries!V:V,$V$162,entries!G:G,S178)</f>
        <v>1</v>
      </c>
      <c r="U178">
        <f>+COUNTIFS(entries!V:V,$V$162,entries!G:G,S178,entries!AE:AE,1)</f>
        <v>0</v>
      </c>
      <c r="V178">
        <f>+COUNTIFS(entries!V:V,$V$162,entries!G:G,S178,entries!AF:AF,1)</f>
        <v>1</v>
      </c>
      <c r="W178" s="37">
        <f>+SUMIFS(entries!AG:AG,entries!V:V,$V$162,entries!G:G,S178)</f>
        <v>800</v>
      </c>
      <c r="X178" s="37">
        <f t="shared" si="2"/>
        <v>2933.3333333333335</v>
      </c>
      <c r="Y178" s="40">
        <f>+AVERAGE(W178:W183)</f>
        <v>1733.3333333333333</v>
      </c>
    </row>
    <row r="179" spans="19:25" x14ac:dyDescent="0.25">
      <c r="S179" s="2">
        <v>46221</v>
      </c>
      <c r="T179">
        <f>+COUNTIFS(entries!V:V,$V$162,entries!G:G,S179)</f>
        <v>1</v>
      </c>
      <c r="U179">
        <f>+COUNTIFS(entries!V:V,$V$162,entries!G:G,S179,entries!AE:AE,1)</f>
        <v>0</v>
      </c>
      <c r="V179">
        <f>+COUNTIFS(entries!V:V,$V$162,entries!G:G,S179,entries!AF:AF,1)</f>
        <v>1</v>
      </c>
      <c r="W179" s="37">
        <f>+SUMIFS(entries!AG:AG,entries!V:V,$V$162,entries!G:G,S179)</f>
        <v>2000</v>
      </c>
      <c r="X179" s="37">
        <f t="shared" si="2"/>
        <v>3600</v>
      </c>
      <c r="Y179" s="40">
        <f>+AVERAGE(W179:W184)</f>
        <v>2933.3333333333335</v>
      </c>
    </row>
    <row r="180" spans="19:25" x14ac:dyDescent="0.25">
      <c r="S180" s="2">
        <v>46220</v>
      </c>
      <c r="T180">
        <f>+COUNTIFS(entries!V:V,$V$162,entries!G:G,S180)</f>
        <v>1</v>
      </c>
      <c r="U180">
        <f>+COUNTIFS(entries!V:V,$V$162,entries!G:G,S180,entries!AE:AE,1)</f>
        <v>1</v>
      </c>
      <c r="V180">
        <f>+COUNTIFS(entries!V:V,$V$162,entries!G:G,S180,entries!AF:AF,1)</f>
        <v>0</v>
      </c>
      <c r="W180" s="37">
        <f>+SUMIFS(entries!AG:AG,entries!V:V,$V$162,entries!G:G,S180)</f>
        <v>2000</v>
      </c>
      <c r="X180" s="37"/>
      <c r="Y180" s="40">
        <f>+AVERAGE(W180:W185)</f>
        <v>3600</v>
      </c>
    </row>
    <row r="181" spans="19:25" x14ac:dyDescent="0.25">
      <c r="S181" s="2">
        <v>46219</v>
      </c>
      <c r="T181">
        <f>+COUNTIFS(entries!V:V,$V$162,entries!G:G,S181)</f>
        <v>1</v>
      </c>
      <c r="U181">
        <f>+COUNTIFS(entries!V:V,$V$162,entries!G:G,S181,entries!AE:AE,1)</f>
        <v>0</v>
      </c>
      <c r="V181">
        <f>+COUNTIFS(entries!V:V,$V$162,entries!G:G,S181,entries!AF:AF,1)</f>
        <v>1</v>
      </c>
      <c r="W181" s="37">
        <f>+SUMIFS(entries!AG:AG,entries!V:V,$V$162,entries!G:G,S181)</f>
        <v>2000</v>
      </c>
      <c r="X181" s="37"/>
    </row>
    <row r="182" spans="19:25" x14ac:dyDescent="0.25">
      <c r="S182" s="2">
        <v>46218</v>
      </c>
      <c r="T182">
        <f>+COUNTIFS(entries!V:V,$V$162,entries!G:G,S182)</f>
        <v>1</v>
      </c>
      <c r="U182">
        <f>+COUNTIFS(entries!V:V,$V$162,entries!G:G,S182,entries!AE:AE,1)</f>
        <v>1</v>
      </c>
      <c r="V182">
        <f>+COUNTIFS(entries!V:V,$V$162,entries!G:G,S182,entries!AF:AF,1)</f>
        <v>0</v>
      </c>
      <c r="W182" s="37">
        <f>+SUMIFS(entries!AG:AG,entries!V:V,$V$162,entries!G:G,S182)</f>
        <v>2000</v>
      </c>
      <c r="X182" s="37"/>
    </row>
    <row r="183" spans="19:25" x14ac:dyDescent="0.25">
      <c r="S183" s="2">
        <v>46217</v>
      </c>
      <c r="T183">
        <f>+COUNTIFS(entries!V:V,$V$162,entries!G:G,S183)</f>
        <v>2</v>
      </c>
      <c r="U183">
        <f>+COUNTIFS(entries!V:V,$V$162,entries!G:G,S183,entries!AE:AE,1)</f>
        <v>1</v>
      </c>
      <c r="V183">
        <f>+COUNTIFS(entries!V:V,$V$162,entries!G:G,S183,entries!AF:AF,1)</f>
        <v>1</v>
      </c>
      <c r="W183" s="37">
        <f>+SUMIFS(entries!AG:AG,entries!V:V,$V$162,entries!G:G,S183)</f>
        <v>1600</v>
      </c>
      <c r="X183" s="37"/>
    </row>
    <row r="184" spans="19:25" x14ac:dyDescent="0.25">
      <c r="S184" s="2">
        <v>46216</v>
      </c>
      <c r="T184">
        <f>+COUNTIFS(entries!V:V,$V$162,entries!G:G,S184)</f>
        <v>4</v>
      </c>
      <c r="U184">
        <f>+COUNTIFS(entries!V:V,$V$162,entries!G:G,S184,entries!AE:AE,1)</f>
        <v>2</v>
      </c>
      <c r="V184">
        <f>+COUNTIFS(entries!V:V,$V$162,entries!G:G,S184,entries!AF:AF,1)</f>
        <v>2</v>
      </c>
      <c r="W184" s="37">
        <f>+SUMIFS(entries!AG:AG,entries!V:V,$V$162,entries!G:G,S184)</f>
        <v>8000</v>
      </c>
      <c r="X184" s="37"/>
    </row>
    <row r="185" spans="19:25" x14ac:dyDescent="0.25">
      <c r="S185" s="2">
        <v>46215</v>
      </c>
      <c r="T185">
        <f>+COUNTIFS(entries!V:V,$V$162,entries!G:G,S185)</f>
        <v>3</v>
      </c>
      <c r="U185">
        <f>+COUNTIFS(entries!V:V,$V$162,entries!G:G,S185,entries!AE:AE,1)</f>
        <v>3</v>
      </c>
      <c r="V185">
        <f>+COUNTIFS(entries!V:V,$V$162,entries!G:G,S185,entries!AF:AF,1)</f>
        <v>0</v>
      </c>
      <c r="W185" s="37">
        <f>+SUMIFS(entries!AG:AG,entries!V:V,$V$162,entries!G:G,S185)</f>
        <v>6000</v>
      </c>
      <c r="X185" s="37"/>
    </row>
    <row r="187" spans="19:25" x14ac:dyDescent="0.25">
      <c r="T187">
        <f>SUM(T164:T186)</f>
        <v>34</v>
      </c>
    </row>
  </sheetData>
  <autoFilter ref="B2:M109" xr:uid="{8D528AF1-A5E7-4779-9634-4965A885E745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3964-4986-4100-9546-DE01853A793F}">
  <dimension ref="B3:S56"/>
  <sheetViews>
    <sheetView zoomScaleNormal="100" workbookViewId="0">
      <selection activeCell="M19" sqref="M19"/>
    </sheetView>
  </sheetViews>
  <sheetFormatPr defaultRowHeight="15" x14ac:dyDescent="0.25"/>
  <cols>
    <col min="2" max="2" width="15" bestFit="1" customWidth="1"/>
    <col min="3" max="3" width="9.85546875" bestFit="1" customWidth="1"/>
    <col min="4" max="4" width="12.140625" bestFit="1" customWidth="1"/>
    <col min="5" max="5" width="12.28515625" bestFit="1" customWidth="1"/>
    <col min="6" max="6" width="12.42578125" bestFit="1" customWidth="1"/>
    <col min="7" max="7" width="10.5703125" customWidth="1"/>
    <col min="8" max="8" width="15.28515625" bestFit="1" customWidth="1"/>
    <col min="9" max="9" width="10.85546875" bestFit="1" customWidth="1"/>
    <col min="10" max="10" width="11.85546875" customWidth="1"/>
    <col min="11" max="11" width="10.85546875" bestFit="1" customWidth="1"/>
    <col min="12" max="12" width="17.42578125" bestFit="1" customWidth="1"/>
    <col min="13" max="13" width="12.7109375" bestFit="1" customWidth="1"/>
    <col min="14" max="14" width="16.42578125" bestFit="1" customWidth="1"/>
    <col min="15" max="15" width="5.7109375" bestFit="1" customWidth="1"/>
    <col min="16" max="16" width="17.42578125" bestFit="1" customWidth="1"/>
    <col min="17" max="17" width="19.28515625" bestFit="1" customWidth="1"/>
  </cols>
  <sheetData>
    <row r="3" spans="2:19" x14ac:dyDescent="0.25">
      <c r="B3" s="4" t="s">
        <v>0</v>
      </c>
      <c r="C3" s="4" t="s">
        <v>1</v>
      </c>
      <c r="D3" s="4" t="s">
        <v>2</v>
      </c>
      <c r="E3" s="4" t="s">
        <v>348</v>
      </c>
      <c r="F3" s="4" t="s">
        <v>4</v>
      </c>
      <c r="G3" s="4" t="s">
        <v>5</v>
      </c>
      <c r="H3" s="4" t="s">
        <v>6</v>
      </c>
      <c r="I3" s="4" t="s">
        <v>354</v>
      </c>
      <c r="J3" s="4" t="s">
        <v>8</v>
      </c>
      <c r="K3" s="4" t="s">
        <v>9</v>
      </c>
      <c r="L3" s="4" t="s">
        <v>10</v>
      </c>
      <c r="M3" s="4" t="s">
        <v>358</v>
      </c>
      <c r="N3" s="1" t="s">
        <v>397</v>
      </c>
      <c r="O3" s="1" t="s">
        <v>11</v>
      </c>
      <c r="P3" s="1" t="s">
        <v>344</v>
      </c>
      <c r="Q3" s="1" t="s">
        <v>398</v>
      </c>
    </row>
    <row r="4" spans="2:19" x14ac:dyDescent="0.25">
      <c r="B4" s="11" t="s">
        <v>345</v>
      </c>
      <c r="C4" s="11" t="s">
        <v>127</v>
      </c>
      <c r="D4" s="11" t="s">
        <v>353</v>
      </c>
      <c r="E4" s="11" t="s">
        <v>347</v>
      </c>
      <c r="F4" s="12">
        <v>46220</v>
      </c>
      <c r="G4" s="11" t="s">
        <v>20</v>
      </c>
      <c r="H4" s="11">
        <v>6</v>
      </c>
      <c r="I4" s="11"/>
      <c r="J4" s="11" t="s">
        <v>34</v>
      </c>
      <c r="K4" s="11"/>
      <c r="L4" s="11" t="s">
        <v>17</v>
      </c>
      <c r="M4" s="34">
        <v>2000</v>
      </c>
      <c r="S4" t="s">
        <v>181</v>
      </c>
    </row>
    <row r="5" spans="2:19" x14ac:dyDescent="0.25">
      <c r="B5" s="11" t="s">
        <v>364</v>
      </c>
      <c r="C5" s="11" t="s">
        <v>92</v>
      </c>
      <c r="D5" s="11" t="s">
        <v>353</v>
      </c>
      <c r="E5" s="11" t="s">
        <v>346</v>
      </c>
      <c r="F5" s="12">
        <v>46223</v>
      </c>
      <c r="G5" s="11" t="s">
        <v>20</v>
      </c>
      <c r="H5" s="11">
        <v>2</v>
      </c>
      <c r="I5" s="11"/>
      <c r="J5" s="11" t="s">
        <v>34</v>
      </c>
      <c r="K5" s="11" t="s">
        <v>365</v>
      </c>
      <c r="L5" s="11" t="s">
        <v>17</v>
      </c>
      <c r="M5" s="34">
        <v>1000</v>
      </c>
      <c r="O5" t="s">
        <v>36</v>
      </c>
      <c r="Q5" t="s">
        <v>254</v>
      </c>
    </row>
    <row r="6" spans="2:19" x14ac:dyDescent="0.25">
      <c r="B6" s="11" t="s">
        <v>367</v>
      </c>
      <c r="C6" s="11" t="s">
        <v>368</v>
      </c>
      <c r="D6" s="11" t="s">
        <v>353</v>
      </c>
      <c r="E6" s="11" t="s">
        <v>347</v>
      </c>
      <c r="F6" s="12">
        <v>46223</v>
      </c>
      <c r="G6" s="11" t="s">
        <v>20</v>
      </c>
      <c r="H6" s="11">
        <v>5</v>
      </c>
      <c r="I6" s="11"/>
      <c r="J6" s="11" t="s">
        <v>34</v>
      </c>
      <c r="K6" s="11" t="s">
        <v>369</v>
      </c>
      <c r="L6" s="11" t="s">
        <v>17</v>
      </c>
      <c r="M6" s="34">
        <v>775</v>
      </c>
      <c r="O6" t="s">
        <v>36</v>
      </c>
      <c r="Q6" t="s">
        <v>390</v>
      </c>
    </row>
    <row r="7" spans="2:19" x14ac:dyDescent="0.25">
      <c r="B7" s="11" t="s">
        <v>374</v>
      </c>
      <c r="C7" s="11" t="s">
        <v>375</v>
      </c>
      <c r="D7" s="11" t="s">
        <v>353</v>
      </c>
      <c r="E7" s="11" t="s">
        <v>58</v>
      </c>
      <c r="F7" s="12">
        <v>46224</v>
      </c>
      <c r="G7" s="11" t="s">
        <v>20</v>
      </c>
      <c r="H7" s="11"/>
      <c r="I7" s="11"/>
      <c r="J7" s="11" t="s">
        <v>34</v>
      </c>
      <c r="K7" s="11"/>
      <c r="L7" s="11" t="s">
        <v>17</v>
      </c>
      <c r="M7" s="34">
        <v>2000</v>
      </c>
      <c r="O7" t="s">
        <v>36</v>
      </c>
      <c r="P7" t="s">
        <v>370</v>
      </c>
    </row>
    <row r="8" spans="2:19" x14ac:dyDescent="0.25">
      <c r="B8" t="s">
        <v>422</v>
      </c>
      <c r="C8" t="s">
        <v>126</v>
      </c>
      <c r="D8" t="s">
        <v>351</v>
      </c>
      <c r="E8" t="s">
        <v>58</v>
      </c>
      <c r="F8" s="2">
        <v>46232</v>
      </c>
      <c r="G8" t="s">
        <v>20</v>
      </c>
      <c r="J8" t="s">
        <v>34</v>
      </c>
      <c r="L8" t="s">
        <v>48</v>
      </c>
      <c r="M8" s="35" t="s">
        <v>18</v>
      </c>
      <c r="O8" t="s">
        <v>36</v>
      </c>
      <c r="P8" t="s">
        <v>412</v>
      </c>
    </row>
    <row r="9" spans="2:19" x14ac:dyDescent="0.25">
      <c r="B9" t="s">
        <v>383</v>
      </c>
      <c r="C9" t="s">
        <v>384</v>
      </c>
      <c r="D9" t="s">
        <v>351</v>
      </c>
      <c r="E9" t="s">
        <v>58</v>
      </c>
      <c r="F9" s="2">
        <v>46226</v>
      </c>
      <c r="G9" t="s">
        <v>20</v>
      </c>
      <c r="J9" t="s">
        <v>34</v>
      </c>
      <c r="L9" t="s">
        <v>48</v>
      </c>
      <c r="M9" s="35" t="s">
        <v>18</v>
      </c>
    </row>
    <row r="10" spans="2:19" x14ac:dyDescent="0.25">
      <c r="B10" t="s">
        <v>386</v>
      </c>
      <c r="C10" t="s">
        <v>13</v>
      </c>
      <c r="D10" t="s">
        <v>351</v>
      </c>
      <c r="E10" t="s">
        <v>58</v>
      </c>
      <c r="F10" s="2">
        <v>46230</v>
      </c>
      <c r="G10" t="s">
        <v>20</v>
      </c>
      <c r="J10" t="s">
        <v>34</v>
      </c>
      <c r="L10" t="s">
        <v>48</v>
      </c>
      <c r="M10" s="35" t="s">
        <v>18</v>
      </c>
    </row>
    <row r="11" spans="2:19" x14ac:dyDescent="0.25">
      <c r="B11" t="s">
        <v>394</v>
      </c>
      <c r="C11" t="s">
        <v>126</v>
      </c>
      <c r="D11" t="s">
        <v>351</v>
      </c>
      <c r="E11" t="s">
        <v>58</v>
      </c>
      <c r="F11" s="2">
        <v>46227</v>
      </c>
      <c r="G11" t="s">
        <v>20</v>
      </c>
      <c r="J11" t="s">
        <v>34</v>
      </c>
      <c r="K11" t="s">
        <v>392</v>
      </c>
      <c r="L11" t="s">
        <v>48</v>
      </c>
      <c r="M11" s="35" t="s">
        <v>18</v>
      </c>
    </row>
    <row r="12" spans="2:19" x14ac:dyDescent="0.25">
      <c r="B12" t="s">
        <v>406</v>
      </c>
      <c r="C12" t="s">
        <v>173</v>
      </c>
      <c r="D12" t="s">
        <v>351</v>
      </c>
      <c r="E12" t="s">
        <v>58</v>
      </c>
      <c r="F12" s="2">
        <v>46228</v>
      </c>
      <c r="G12" t="s">
        <v>20</v>
      </c>
      <c r="H12">
        <v>2</v>
      </c>
      <c r="J12" t="s">
        <v>34</v>
      </c>
      <c r="L12" t="s">
        <v>48</v>
      </c>
      <c r="M12" s="35" t="s">
        <v>18</v>
      </c>
      <c r="O12" t="s">
        <v>36</v>
      </c>
      <c r="Q12" t="s">
        <v>254</v>
      </c>
    </row>
    <row r="13" spans="2:19" x14ac:dyDescent="0.25">
      <c r="F13" s="2"/>
      <c r="M13" s="35"/>
    </row>
    <row r="14" spans="2:19" x14ac:dyDescent="0.25">
      <c r="F14" s="2"/>
      <c r="M14" s="35"/>
    </row>
    <row r="15" spans="2:19" x14ac:dyDescent="0.25">
      <c r="B15" s="18" t="s">
        <v>371</v>
      </c>
      <c r="C15" s="18" t="s">
        <v>70</v>
      </c>
      <c r="D15" s="18" t="s">
        <v>351</v>
      </c>
      <c r="E15" s="18" t="s">
        <v>347</v>
      </c>
      <c r="F15" s="19">
        <v>46227</v>
      </c>
      <c r="G15" s="18" t="s">
        <v>20</v>
      </c>
      <c r="H15" s="18"/>
      <c r="I15" s="18"/>
      <c r="J15" s="18" t="s">
        <v>16</v>
      </c>
      <c r="K15" s="18" t="s">
        <v>254</v>
      </c>
      <c r="L15" s="18" t="s">
        <v>48</v>
      </c>
      <c r="M15" s="36" t="s">
        <v>18</v>
      </c>
    </row>
    <row r="16" spans="2:19" x14ac:dyDescent="0.25">
      <c r="B16" s="18" t="s">
        <v>372</v>
      </c>
      <c r="C16" s="18" t="s">
        <v>70</v>
      </c>
      <c r="D16" s="18" t="s">
        <v>351</v>
      </c>
      <c r="E16" s="18" t="s">
        <v>347</v>
      </c>
      <c r="F16" s="19">
        <v>46229</v>
      </c>
      <c r="G16" s="18" t="s">
        <v>20</v>
      </c>
      <c r="H16" s="18"/>
      <c r="I16" s="18"/>
      <c r="J16" s="18" t="s">
        <v>16</v>
      </c>
      <c r="K16" s="18" t="s">
        <v>254</v>
      </c>
      <c r="L16" s="18" t="s">
        <v>48</v>
      </c>
      <c r="M16" s="36" t="s">
        <v>18</v>
      </c>
    </row>
    <row r="17" spans="2:19" x14ac:dyDescent="0.25">
      <c r="B17" s="18" t="s">
        <v>376</v>
      </c>
      <c r="C17" s="18" t="s">
        <v>377</v>
      </c>
      <c r="D17" s="18" t="s">
        <v>351</v>
      </c>
      <c r="E17" s="18" t="s">
        <v>347</v>
      </c>
      <c r="F17" s="19">
        <v>46226</v>
      </c>
      <c r="G17" s="18" t="s">
        <v>20</v>
      </c>
      <c r="H17" s="18"/>
      <c r="I17" s="18"/>
      <c r="J17" s="18" t="s">
        <v>16</v>
      </c>
      <c r="K17" s="18"/>
      <c r="L17" s="18" t="s">
        <v>17</v>
      </c>
      <c r="M17" s="36" t="s">
        <v>18</v>
      </c>
      <c r="O17" t="s">
        <v>36</v>
      </c>
      <c r="P17" t="s">
        <v>373</v>
      </c>
      <c r="Q17" t="s">
        <v>254</v>
      </c>
    </row>
    <row r="18" spans="2:19" x14ac:dyDescent="0.25">
      <c r="B18" s="18" t="s">
        <v>391</v>
      </c>
      <c r="C18" s="18" t="s">
        <v>393</v>
      </c>
      <c r="D18" s="18" t="s">
        <v>351</v>
      </c>
      <c r="E18" s="18" t="s">
        <v>58</v>
      </c>
      <c r="F18" s="19">
        <v>46227</v>
      </c>
      <c r="G18" s="18" t="s">
        <v>20</v>
      </c>
      <c r="H18" s="18"/>
      <c r="I18" s="18"/>
      <c r="J18" s="18" t="s">
        <v>16</v>
      </c>
      <c r="K18" s="18" t="s">
        <v>392</v>
      </c>
      <c r="L18" s="18" t="s">
        <v>48</v>
      </c>
      <c r="M18" s="36" t="s">
        <v>18</v>
      </c>
      <c r="O18" t="s">
        <v>36</v>
      </c>
      <c r="P18" t="s">
        <v>373</v>
      </c>
      <c r="Q18" t="s">
        <v>390</v>
      </c>
    </row>
    <row r="19" spans="2:19" x14ac:dyDescent="0.25">
      <c r="B19" s="18" t="s">
        <v>402</v>
      </c>
      <c r="C19" s="18" t="s">
        <v>58</v>
      </c>
      <c r="D19" s="18" t="s">
        <v>351</v>
      </c>
      <c r="E19" s="18" t="s">
        <v>347</v>
      </c>
      <c r="F19" s="19">
        <v>46228</v>
      </c>
      <c r="G19" s="18" t="s">
        <v>20</v>
      </c>
      <c r="H19" s="18">
        <v>3</v>
      </c>
      <c r="I19" s="18"/>
      <c r="J19" s="18" t="s">
        <v>16</v>
      </c>
      <c r="K19" s="18"/>
      <c r="L19" s="18" t="s">
        <v>48</v>
      </c>
      <c r="M19" s="36" t="s">
        <v>18</v>
      </c>
      <c r="O19" t="s">
        <v>36</v>
      </c>
      <c r="P19" t="s">
        <v>373</v>
      </c>
    </row>
    <row r="20" spans="2:19" x14ac:dyDescent="0.25">
      <c r="B20" s="18" t="s">
        <v>405</v>
      </c>
      <c r="C20" s="18" t="s">
        <v>13</v>
      </c>
      <c r="D20" s="18" t="s">
        <v>351</v>
      </c>
      <c r="E20" s="18" t="s">
        <v>347</v>
      </c>
      <c r="F20" s="19">
        <v>46228</v>
      </c>
      <c r="G20" s="18" t="s">
        <v>20</v>
      </c>
      <c r="H20" s="18">
        <v>3</v>
      </c>
      <c r="I20" s="18"/>
      <c r="J20" s="18" t="s">
        <v>16</v>
      </c>
      <c r="K20" s="18"/>
      <c r="L20" s="18" t="s">
        <v>48</v>
      </c>
      <c r="M20" s="36" t="s">
        <v>18</v>
      </c>
      <c r="O20" t="s">
        <v>366</v>
      </c>
      <c r="P20" t="s">
        <v>373</v>
      </c>
    </row>
    <row r="21" spans="2:19" x14ac:dyDescent="0.25">
      <c r="B21" s="18" t="s">
        <v>407</v>
      </c>
      <c r="C21" s="18" t="s">
        <v>13</v>
      </c>
      <c r="D21" s="18" t="s">
        <v>351</v>
      </c>
      <c r="E21" s="18" t="s">
        <v>347</v>
      </c>
      <c r="F21" s="19">
        <v>46228</v>
      </c>
      <c r="G21" s="18" t="s">
        <v>20</v>
      </c>
      <c r="H21" s="18">
        <v>2</v>
      </c>
      <c r="I21" s="18"/>
      <c r="J21" s="18" t="s">
        <v>16</v>
      </c>
      <c r="K21" s="18"/>
      <c r="L21" s="18" t="s">
        <v>48</v>
      </c>
      <c r="M21" s="36" t="s">
        <v>18</v>
      </c>
      <c r="O21" t="s">
        <v>366</v>
      </c>
      <c r="P21" t="s">
        <v>373</v>
      </c>
    </row>
    <row r="22" spans="2:19" x14ac:dyDescent="0.25">
      <c r="B22" s="18" t="s">
        <v>408</v>
      </c>
      <c r="C22" s="18" t="s">
        <v>409</v>
      </c>
      <c r="D22" s="18" t="s">
        <v>351</v>
      </c>
      <c r="E22" s="18" t="s">
        <v>347</v>
      </c>
      <c r="F22" s="19">
        <v>46229</v>
      </c>
      <c r="G22" s="18" t="s">
        <v>20</v>
      </c>
      <c r="H22" s="18"/>
      <c r="I22" s="18"/>
      <c r="J22" s="18" t="s">
        <v>16</v>
      </c>
      <c r="K22" s="18"/>
      <c r="L22" s="18" t="s">
        <v>48</v>
      </c>
      <c r="M22" s="36" t="s">
        <v>18</v>
      </c>
      <c r="O22" t="s">
        <v>366</v>
      </c>
      <c r="P22" t="s">
        <v>373</v>
      </c>
    </row>
    <row r="23" spans="2:19" x14ac:dyDescent="0.25">
      <c r="B23" s="18" t="s">
        <v>411</v>
      </c>
      <c r="C23" s="18" t="s">
        <v>126</v>
      </c>
      <c r="D23" s="18" t="s">
        <v>351</v>
      </c>
      <c r="E23" s="18" t="s">
        <v>347</v>
      </c>
      <c r="F23" s="19">
        <v>46245</v>
      </c>
      <c r="G23" s="18" t="s">
        <v>20</v>
      </c>
      <c r="H23" s="18"/>
      <c r="I23" s="18"/>
      <c r="J23" s="18" t="s">
        <v>16</v>
      </c>
      <c r="K23" s="18" t="s">
        <v>254</v>
      </c>
      <c r="L23" s="18" t="s">
        <v>48</v>
      </c>
      <c r="M23" s="36" t="s">
        <v>18</v>
      </c>
      <c r="O23" t="s">
        <v>36</v>
      </c>
      <c r="Q23" t="s">
        <v>254</v>
      </c>
    </row>
    <row r="24" spans="2:19" x14ac:dyDescent="0.25">
      <c r="M24" s="37"/>
      <c r="O24" t="s">
        <v>366</v>
      </c>
      <c r="P24" t="s">
        <v>373</v>
      </c>
    </row>
    <row r="25" spans="2:19" x14ac:dyDescent="0.25">
      <c r="B25" s="4" t="s">
        <v>0</v>
      </c>
      <c r="C25" s="4" t="s">
        <v>1</v>
      </c>
      <c r="D25" s="4" t="s">
        <v>2</v>
      </c>
      <c r="E25" s="4" t="s">
        <v>348</v>
      </c>
      <c r="F25" s="4" t="s">
        <v>4</v>
      </c>
      <c r="G25" s="4" t="s">
        <v>5</v>
      </c>
      <c r="H25" s="4" t="s">
        <v>6</v>
      </c>
      <c r="I25" s="4" t="s">
        <v>354</v>
      </c>
      <c r="J25" s="4" t="s">
        <v>8</v>
      </c>
      <c r="K25" s="4" t="s">
        <v>9</v>
      </c>
      <c r="L25" s="4" t="s">
        <v>10</v>
      </c>
      <c r="M25" s="4" t="s">
        <v>358</v>
      </c>
      <c r="N25" s="1" t="s">
        <v>397</v>
      </c>
      <c r="O25" s="1" t="s">
        <v>11</v>
      </c>
      <c r="P25" s="1" t="s">
        <v>344</v>
      </c>
      <c r="Q25" s="1" t="s">
        <v>398</v>
      </c>
    </row>
    <row r="26" spans="2:19" x14ac:dyDescent="0.25">
      <c r="B26" s="9" t="s">
        <v>362</v>
      </c>
      <c r="C26" s="9" t="s">
        <v>70</v>
      </c>
      <c r="D26" s="9" t="s">
        <v>351</v>
      </c>
      <c r="E26" s="9" t="s">
        <v>347</v>
      </c>
      <c r="F26" s="10">
        <v>46221</v>
      </c>
      <c r="G26" s="9" t="s">
        <v>20</v>
      </c>
      <c r="H26" s="9"/>
      <c r="I26" s="10">
        <v>46226</v>
      </c>
      <c r="J26" s="9" t="s">
        <v>16</v>
      </c>
      <c r="K26" s="9" t="s">
        <v>363</v>
      </c>
      <c r="L26" s="9" t="s">
        <v>17</v>
      </c>
      <c r="M26" s="33">
        <v>2000</v>
      </c>
      <c r="N26" s="9" t="s">
        <v>181</v>
      </c>
    </row>
    <row r="27" spans="2:19" x14ac:dyDescent="0.25">
      <c r="B27" s="9" t="s">
        <v>356</v>
      </c>
      <c r="C27" s="9" t="s">
        <v>70</v>
      </c>
      <c r="D27" s="9" t="s">
        <v>351</v>
      </c>
      <c r="E27" s="9" t="s">
        <v>347</v>
      </c>
      <c r="F27" s="10">
        <v>46221</v>
      </c>
      <c r="G27" s="9" t="s">
        <v>20</v>
      </c>
      <c r="H27" s="9"/>
      <c r="I27" s="10">
        <v>46226</v>
      </c>
      <c r="J27" s="9" t="s">
        <v>16</v>
      </c>
      <c r="K27" s="9" t="s">
        <v>357</v>
      </c>
      <c r="L27" s="9" t="s">
        <v>17</v>
      </c>
      <c r="M27" s="33">
        <v>2000</v>
      </c>
      <c r="N27" s="9" t="s">
        <v>181</v>
      </c>
      <c r="O27" t="s">
        <v>36</v>
      </c>
      <c r="Q27" t="s">
        <v>254</v>
      </c>
    </row>
    <row r="28" spans="2:19" x14ac:dyDescent="0.25">
      <c r="B28" s="9" t="s">
        <v>359</v>
      </c>
      <c r="C28" s="9" t="s">
        <v>361</v>
      </c>
      <c r="D28" s="9" t="s">
        <v>353</v>
      </c>
      <c r="E28" s="9" t="s">
        <v>347</v>
      </c>
      <c r="F28" s="10">
        <v>46222</v>
      </c>
      <c r="G28" s="9" t="s">
        <v>20</v>
      </c>
      <c r="H28" s="9"/>
      <c r="I28" s="10">
        <v>46229</v>
      </c>
      <c r="J28" s="9" t="s">
        <v>16</v>
      </c>
      <c r="K28" s="9" t="s">
        <v>360</v>
      </c>
      <c r="L28" s="9" t="s">
        <v>17</v>
      </c>
      <c r="M28" s="33">
        <v>750</v>
      </c>
      <c r="N28" s="9" t="s">
        <v>181</v>
      </c>
      <c r="O28" t="s">
        <v>36</v>
      </c>
      <c r="Q28" t="s">
        <v>388</v>
      </c>
      <c r="S28" t="s">
        <v>181</v>
      </c>
    </row>
    <row r="29" spans="2:19" x14ac:dyDescent="0.25">
      <c r="B29" s="9" t="s">
        <v>416</v>
      </c>
      <c r="C29" s="9" t="s">
        <v>70</v>
      </c>
      <c r="D29" s="9" t="s">
        <v>351</v>
      </c>
      <c r="E29" s="9" t="s">
        <v>347</v>
      </c>
      <c r="F29" s="10">
        <v>46223</v>
      </c>
      <c r="G29" s="9" t="s">
        <v>20</v>
      </c>
      <c r="H29" s="9"/>
      <c r="I29" s="10">
        <v>46229</v>
      </c>
      <c r="J29" s="9" t="s">
        <v>16</v>
      </c>
      <c r="K29" s="9" t="s">
        <v>417</v>
      </c>
      <c r="L29" s="9" t="s">
        <v>17</v>
      </c>
      <c r="M29" s="33">
        <v>2000</v>
      </c>
      <c r="N29" s="9" t="s">
        <v>181</v>
      </c>
    </row>
    <row r="30" spans="2:19" x14ac:dyDescent="0.25">
      <c r="B30" s="9" t="s">
        <v>403</v>
      </c>
      <c r="C30" s="9" t="s">
        <v>404</v>
      </c>
      <c r="D30" s="9" t="s">
        <v>351</v>
      </c>
      <c r="E30" s="9" t="s">
        <v>347</v>
      </c>
      <c r="F30" s="10">
        <v>46228</v>
      </c>
      <c r="G30" s="9" t="s">
        <v>20</v>
      </c>
      <c r="H30" s="9"/>
      <c r="I30" s="10">
        <v>46230</v>
      </c>
      <c r="J30" s="9" t="s">
        <v>16</v>
      </c>
      <c r="K30" s="9" t="s">
        <v>254</v>
      </c>
      <c r="L30" s="9" t="s">
        <v>17</v>
      </c>
      <c r="M30" s="33">
        <v>2000</v>
      </c>
      <c r="N30" s="9"/>
    </row>
    <row r="31" spans="2:19" x14ac:dyDescent="0.25">
      <c r="B31" s="9" t="s">
        <v>387</v>
      </c>
      <c r="C31" s="9" t="s">
        <v>361</v>
      </c>
      <c r="D31" s="9" t="s">
        <v>351</v>
      </c>
      <c r="E31" s="9" t="s">
        <v>347</v>
      </c>
      <c r="F31" s="10">
        <v>46225</v>
      </c>
      <c r="G31" s="9" t="s">
        <v>20</v>
      </c>
      <c r="H31" s="9"/>
      <c r="I31" s="10">
        <v>46231</v>
      </c>
      <c r="J31" s="9" t="s">
        <v>16</v>
      </c>
      <c r="K31" s="9" t="s">
        <v>388</v>
      </c>
      <c r="L31" s="9" t="s">
        <v>17</v>
      </c>
      <c r="M31" s="33">
        <v>750</v>
      </c>
      <c r="N31" s="9" t="s">
        <v>181</v>
      </c>
    </row>
    <row r="32" spans="2:19" x14ac:dyDescent="0.25">
      <c r="B32" s="9" t="s">
        <v>420</v>
      </c>
      <c r="C32" s="9" t="s">
        <v>380</v>
      </c>
      <c r="D32" s="9" t="s">
        <v>351</v>
      </c>
      <c r="E32" s="9" t="s">
        <v>347</v>
      </c>
      <c r="F32" s="10">
        <v>46226</v>
      </c>
      <c r="G32" s="9" t="s">
        <v>20</v>
      </c>
      <c r="H32" s="9"/>
      <c r="I32" s="10">
        <v>46235</v>
      </c>
      <c r="J32" s="9" t="s">
        <v>34</v>
      </c>
      <c r="K32" s="9" t="s">
        <v>457</v>
      </c>
      <c r="L32" s="9" t="s">
        <v>17</v>
      </c>
      <c r="M32" s="33">
        <v>2000</v>
      </c>
      <c r="N32" s="9" t="s">
        <v>181</v>
      </c>
      <c r="O32" t="s">
        <v>36</v>
      </c>
      <c r="P32" s="9" t="s">
        <v>421</v>
      </c>
      <c r="Q32" s="9" t="s">
        <v>390</v>
      </c>
    </row>
    <row r="33" spans="2:18" x14ac:dyDescent="0.25">
      <c r="B33" s="9" t="s">
        <v>456</v>
      </c>
      <c r="C33" s="9"/>
      <c r="D33" s="9" t="s">
        <v>351</v>
      </c>
      <c r="E33" s="9" t="s">
        <v>347</v>
      </c>
      <c r="F33" s="10">
        <v>46229</v>
      </c>
      <c r="G33" s="9" t="s">
        <v>20</v>
      </c>
      <c r="H33" s="9"/>
      <c r="I33" s="10">
        <v>46236</v>
      </c>
      <c r="J33" s="9" t="s">
        <v>16</v>
      </c>
      <c r="K33" s="9" t="s">
        <v>58</v>
      </c>
      <c r="L33" s="9" t="s">
        <v>17</v>
      </c>
      <c r="M33" s="33">
        <v>1000</v>
      </c>
      <c r="N33" s="9" t="s">
        <v>181</v>
      </c>
    </row>
    <row r="37" spans="2:18" x14ac:dyDescent="0.25">
      <c r="Q37" t="s">
        <v>399</v>
      </c>
      <c r="R37">
        <f>+COUNTIFS(J:J,"in",$N:$N,"")</f>
        <v>10</v>
      </c>
    </row>
    <row r="38" spans="2:18" x14ac:dyDescent="0.25">
      <c r="Q38" t="s">
        <v>400</v>
      </c>
      <c r="R38">
        <f>+COUNTIFS(J:J,"out")</f>
        <v>25</v>
      </c>
    </row>
    <row r="39" spans="2:18" x14ac:dyDescent="0.25">
      <c r="Q39" s="1" t="s">
        <v>401</v>
      </c>
      <c r="R39" s="1">
        <f>+R37+R38</f>
        <v>35</v>
      </c>
    </row>
    <row r="41" spans="2:18" x14ac:dyDescent="0.25">
      <c r="B41" s="9" t="s">
        <v>349</v>
      </c>
      <c r="C41" s="9" t="s">
        <v>58</v>
      </c>
      <c r="D41" s="9" t="s">
        <v>351</v>
      </c>
      <c r="E41" s="9" t="s">
        <v>346</v>
      </c>
      <c r="F41" s="10">
        <v>46220</v>
      </c>
      <c r="G41" s="9" t="s">
        <v>20</v>
      </c>
      <c r="H41" s="9"/>
      <c r="I41" s="9"/>
      <c r="J41" s="9" t="s">
        <v>16</v>
      </c>
      <c r="K41" s="9" t="s">
        <v>350</v>
      </c>
      <c r="L41" s="9" t="s">
        <v>17</v>
      </c>
      <c r="M41" s="33">
        <v>1000</v>
      </c>
      <c r="N41" s="9" t="s">
        <v>181</v>
      </c>
      <c r="Q41" t="s">
        <v>389</v>
      </c>
    </row>
    <row r="42" spans="2:18" x14ac:dyDescent="0.25">
      <c r="B42" s="9" t="s">
        <v>352</v>
      </c>
      <c r="C42" s="9"/>
      <c r="D42" s="9" t="s">
        <v>353</v>
      </c>
      <c r="E42" s="9" t="s">
        <v>346</v>
      </c>
      <c r="F42" s="10">
        <v>46222</v>
      </c>
      <c r="G42" s="9" t="s">
        <v>20</v>
      </c>
      <c r="H42" s="9"/>
      <c r="I42" s="9"/>
      <c r="J42" s="9" t="s">
        <v>16</v>
      </c>
      <c r="K42" s="9" t="s">
        <v>350</v>
      </c>
      <c r="L42" s="9" t="s">
        <v>48</v>
      </c>
      <c r="M42" s="33" t="s">
        <v>18</v>
      </c>
      <c r="N42" s="9" t="s">
        <v>181</v>
      </c>
      <c r="Q42" t="s">
        <v>389</v>
      </c>
    </row>
    <row r="43" spans="2:18" x14ac:dyDescent="0.25">
      <c r="B43" s="9" t="s">
        <v>355</v>
      </c>
      <c r="C43" s="9"/>
      <c r="D43" s="9" t="s">
        <v>353</v>
      </c>
      <c r="E43" s="9" t="s">
        <v>346</v>
      </c>
      <c r="F43" s="10">
        <v>46222</v>
      </c>
      <c r="G43" s="9" t="s">
        <v>20</v>
      </c>
      <c r="H43" s="9"/>
      <c r="I43" s="9"/>
      <c r="J43" s="9" t="s">
        <v>16</v>
      </c>
      <c r="K43" s="9"/>
      <c r="L43" s="9" t="s">
        <v>17</v>
      </c>
      <c r="M43" s="33">
        <v>2000</v>
      </c>
      <c r="N43" s="9" t="s">
        <v>181</v>
      </c>
    </row>
    <row r="44" spans="2:18" x14ac:dyDescent="0.25">
      <c r="B44" s="9" t="s">
        <v>381</v>
      </c>
      <c r="C44" s="9" t="s">
        <v>382</v>
      </c>
      <c r="D44" s="9" t="s">
        <v>353</v>
      </c>
      <c r="E44" s="9" t="s">
        <v>346</v>
      </c>
      <c r="F44" s="10">
        <v>46225</v>
      </c>
      <c r="G44" s="9" t="s">
        <v>20</v>
      </c>
      <c r="H44" s="9"/>
      <c r="I44" s="9"/>
      <c r="J44" s="9" t="s">
        <v>16</v>
      </c>
      <c r="K44" s="9"/>
      <c r="L44" s="9" t="s">
        <v>17</v>
      </c>
      <c r="M44" s="33">
        <v>770</v>
      </c>
      <c r="N44" s="9"/>
      <c r="O44" t="s">
        <v>36</v>
      </c>
      <c r="P44" t="s">
        <v>412</v>
      </c>
    </row>
    <row r="45" spans="2:18" x14ac:dyDescent="0.25">
      <c r="B45" s="9" t="s">
        <v>423</v>
      </c>
      <c r="C45" s="9" t="s">
        <v>375</v>
      </c>
      <c r="D45" s="9" t="s">
        <v>351</v>
      </c>
      <c r="E45" s="9" t="s">
        <v>346</v>
      </c>
      <c r="F45" s="10">
        <v>46229</v>
      </c>
      <c r="G45" s="9" t="s">
        <v>20</v>
      </c>
      <c r="H45" s="9"/>
      <c r="I45" s="9"/>
      <c r="J45" s="9" t="s">
        <v>34</v>
      </c>
      <c r="K45" s="9" t="s">
        <v>350</v>
      </c>
      <c r="L45" s="9" t="s">
        <v>17</v>
      </c>
      <c r="M45" s="33">
        <v>2000</v>
      </c>
      <c r="N45" s="9"/>
    </row>
    <row r="46" spans="2:18" x14ac:dyDescent="0.25">
      <c r="B46" s="9" t="s">
        <v>385</v>
      </c>
      <c r="C46" s="9" t="s">
        <v>375</v>
      </c>
      <c r="D46" s="9" t="s">
        <v>351</v>
      </c>
      <c r="E46" s="9" t="s">
        <v>346</v>
      </c>
      <c r="F46" s="10">
        <v>46226</v>
      </c>
      <c r="G46" s="9" t="s">
        <v>20</v>
      </c>
      <c r="H46" s="9"/>
      <c r="I46" s="10"/>
      <c r="J46" s="9" t="s">
        <v>16</v>
      </c>
      <c r="K46" s="9" t="s">
        <v>428</v>
      </c>
      <c r="L46" s="9" t="s">
        <v>17</v>
      </c>
      <c r="M46" s="33">
        <v>1000</v>
      </c>
      <c r="N46" s="9"/>
      <c r="O46" t="s">
        <v>36</v>
      </c>
      <c r="P46" s="9" t="s">
        <v>430</v>
      </c>
      <c r="Q46" t="s">
        <v>429</v>
      </c>
    </row>
    <row r="47" spans="2:18" x14ac:dyDescent="0.25">
      <c r="B47" s="9" t="s">
        <v>395</v>
      </c>
      <c r="C47" s="9" t="s">
        <v>396</v>
      </c>
      <c r="D47" s="9" t="s">
        <v>351</v>
      </c>
      <c r="E47" s="9" t="s">
        <v>346</v>
      </c>
      <c r="F47" s="10">
        <v>46227</v>
      </c>
      <c r="G47" s="9" t="s">
        <v>20</v>
      </c>
      <c r="H47" s="9"/>
      <c r="I47" s="9"/>
      <c r="J47" s="9" t="s">
        <v>16</v>
      </c>
      <c r="K47" s="9" t="s">
        <v>392</v>
      </c>
      <c r="L47" s="9" t="s">
        <v>17</v>
      </c>
      <c r="M47" s="33">
        <v>1200</v>
      </c>
      <c r="N47" s="9"/>
    </row>
    <row r="49" spans="2:19" x14ac:dyDescent="0.25">
      <c r="B49" s="18" t="s">
        <v>379</v>
      </c>
      <c r="C49" s="18" t="s">
        <v>380</v>
      </c>
      <c r="D49" s="18" t="s">
        <v>351</v>
      </c>
      <c r="E49" s="18" t="s">
        <v>347</v>
      </c>
      <c r="F49" s="19">
        <v>46226</v>
      </c>
      <c r="G49" s="18" t="s">
        <v>20</v>
      </c>
      <c r="H49" s="18"/>
      <c r="I49" s="18"/>
      <c r="J49" s="18" t="s">
        <v>16</v>
      </c>
      <c r="K49" s="18" t="s">
        <v>378</v>
      </c>
      <c r="L49" s="18" t="s">
        <v>48</v>
      </c>
      <c r="M49" s="36" t="s">
        <v>18</v>
      </c>
      <c r="O49" t="s">
        <v>36</v>
      </c>
      <c r="P49" t="s">
        <v>373</v>
      </c>
      <c r="Q49" t="s">
        <v>254</v>
      </c>
    </row>
    <row r="50" spans="2:19" x14ac:dyDescent="0.25">
      <c r="B50" s="18" t="s">
        <v>424</v>
      </c>
      <c r="C50" s="18" t="s">
        <v>104</v>
      </c>
      <c r="D50" s="18" t="s">
        <v>351</v>
      </c>
      <c r="E50" s="18" t="s">
        <v>347</v>
      </c>
      <c r="F50" s="19">
        <v>46231</v>
      </c>
      <c r="G50" s="18" t="s">
        <v>20</v>
      </c>
      <c r="H50" s="18"/>
      <c r="I50" s="18"/>
      <c r="J50" s="18" t="s">
        <v>16</v>
      </c>
      <c r="K50" s="18"/>
      <c r="L50" s="18" t="s">
        <v>48</v>
      </c>
      <c r="M50" s="36" t="s">
        <v>18</v>
      </c>
      <c r="O50" t="s">
        <v>366</v>
      </c>
      <c r="P50" t="s">
        <v>373</v>
      </c>
      <c r="S50" t="s">
        <v>458</v>
      </c>
    </row>
    <row r="51" spans="2:19" x14ac:dyDescent="0.25">
      <c r="B51" s="18" t="s">
        <v>410</v>
      </c>
      <c r="C51" s="18" t="s">
        <v>58</v>
      </c>
      <c r="D51" s="18" t="s">
        <v>351</v>
      </c>
      <c r="E51" s="18" t="s">
        <v>347</v>
      </c>
      <c r="F51" s="19">
        <v>46229</v>
      </c>
      <c r="G51" s="18" t="s">
        <v>20</v>
      </c>
      <c r="H51" s="18"/>
      <c r="I51" s="18"/>
      <c r="J51" s="18" t="s">
        <v>16</v>
      </c>
      <c r="K51" s="18"/>
      <c r="L51" s="18" t="s">
        <v>48</v>
      </c>
      <c r="M51" s="36" t="s">
        <v>18</v>
      </c>
      <c r="O51" t="s">
        <v>366</v>
      </c>
      <c r="P51" t="s">
        <v>459</v>
      </c>
    </row>
    <row r="56" spans="2:19" x14ac:dyDescent="0.25">
      <c r="B56" s="11" t="s">
        <v>418</v>
      </c>
      <c r="C56" s="11"/>
      <c r="D56" s="11" t="s">
        <v>353</v>
      </c>
      <c r="E56" s="11" t="s">
        <v>419</v>
      </c>
      <c r="F56" s="12">
        <v>46216</v>
      </c>
      <c r="G56" s="11" t="s">
        <v>20</v>
      </c>
      <c r="H56" s="11"/>
      <c r="I56" s="11"/>
      <c r="J56" s="11"/>
      <c r="K56" s="11" t="s">
        <v>419</v>
      </c>
      <c r="L56" s="11" t="s">
        <v>17</v>
      </c>
      <c r="M56" s="34">
        <v>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567E-3661-4FF2-878F-6408B0BD57B7}">
  <dimension ref="C7:I22"/>
  <sheetViews>
    <sheetView workbookViewId="0">
      <selection activeCell="C19" sqref="C19"/>
    </sheetView>
  </sheetViews>
  <sheetFormatPr defaultRowHeight="15" x14ac:dyDescent="0.25"/>
  <cols>
    <col min="4" max="4" width="16.42578125" bestFit="1" customWidth="1"/>
    <col min="5" max="5" width="11.7109375" bestFit="1" customWidth="1"/>
    <col min="6" max="6" width="20" bestFit="1" customWidth="1"/>
  </cols>
  <sheetData>
    <row r="7" spans="3:9" x14ac:dyDescent="0.25">
      <c r="D7" t="s">
        <v>137</v>
      </c>
      <c r="E7" t="s">
        <v>138</v>
      </c>
      <c r="F7" t="s">
        <v>139</v>
      </c>
      <c r="G7" t="s">
        <v>10</v>
      </c>
      <c r="H7" t="s">
        <v>6</v>
      </c>
    </row>
    <row r="8" spans="3:9" x14ac:dyDescent="0.25">
      <c r="D8" s="13" t="s">
        <v>140</v>
      </c>
      <c r="E8" s="14">
        <v>761476</v>
      </c>
      <c r="F8" s="3" t="s">
        <v>141</v>
      </c>
      <c r="G8" s="3" t="s">
        <v>48</v>
      </c>
      <c r="H8" s="3"/>
    </row>
    <row r="9" spans="3:9" x14ac:dyDescent="0.25">
      <c r="D9" s="13" t="s">
        <v>142</v>
      </c>
      <c r="E9" s="14">
        <v>2120654</v>
      </c>
      <c r="F9" s="3" t="s">
        <v>143</v>
      </c>
      <c r="G9" s="3" t="s">
        <v>48</v>
      </c>
      <c r="H9" s="3"/>
    </row>
    <row r="10" spans="3:9" x14ac:dyDescent="0.25">
      <c r="D10" s="13" t="s">
        <v>144</v>
      </c>
      <c r="E10" s="14">
        <v>2102231</v>
      </c>
      <c r="F10" s="3" t="s">
        <v>141</v>
      </c>
      <c r="G10" s="3" t="s">
        <v>17</v>
      </c>
      <c r="H10" s="3"/>
    </row>
    <row r="11" spans="3:9" x14ac:dyDescent="0.25">
      <c r="D11" s="13" t="s">
        <v>145</v>
      </c>
      <c r="E11" s="14">
        <v>2165192</v>
      </c>
      <c r="F11" s="3" t="s">
        <v>146</v>
      </c>
      <c r="G11" s="3" t="s">
        <v>48</v>
      </c>
      <c r="H11" s="3"/>
      <c r="I11" t="s">
        <v>147</v>
      </c>
    </row>
    <row r="12" spans="3:9" x14ac:dyDescent="0.25">
      <c r="C12" t="s">
        <v>148</v>
      </c>
      <c r="D12" s="15" t="s">
        <v>149</v>
      </c>
      <c r="E12" s="16">
        <v>2043081</v>
      </c>
      <c r="F12" t="s">
        <v>58</v>
      </c>
      <c r="G12" t="s">
        <v>48</v>
      </c>
      <c r="H12">
        <f>2*30</f>
        <v>60</v>
      </c>
    </row>
    <row r="13" spans="3:9" x14ac:dyDescent="0.25">
      <c r="D13" s="15" t="s">
        <v>150</v>
      </c>
      <c r="E13" s="16">
        <v>712724</v>
      </c>
      <c r="F13" t="s">
        <v>151</v>
      </c>
      <c r="G13" t="s">
        <v>48</v>
      </c>
    </row>
    <row r="14" spans="3:9" x14ac:dyDescent="0.25">
      <c r="C14" t="s">
        <v>148</v>
      </c>
      <c r="D14" s="15" t="s">
        <v>152</v>
      </c>
      <c r="E14" s="17">
        <v>1053738</v>
      </c>
      <c r="F14" t="s">
        <v>58</v>
      </c>
      <c r="G14" t="s">
        <v>48</v>
      </c>
      <c r="H14">
        <f>4*30</f>
        <v>120</v>
      </c>
    </row>
    <row r="15" spans="3:9" x14ac:dyDescent="0.25">
      <c r="C15" t="s">
        <v>148</v>
      </c>
      <c r="D15" s="15" t="s">
        <v>153</v>
      </c>
      <c r="E15" s="16">
        <v>2034666</v>
      </c>
      <c r="F15" t="s">
        <v>58</v>
      </c>
      <c r="G15" t="s">
        <v>48</v>
      </c>
      <c r="H15">
        <f>2*30</f>
        <v>60</v>
      </c>
    </row>
    <row r="16" spans="3:9" x14ac:dyDescent="0.25">
      <c r="D16" s="15" t="s">
        <v>154</v>
      </c>
      <c r="E16" s="17">
        <v>1053738</v>
      </c>
      <c r="F16" t="s">
        <v>155</v>
      </c>
      <c r="G16" t="s">
        <v>48</v>
      </c>
    </row>
    <row r="17" spans="3:8" x14ac:dyDescent="0.25">
      <c r="C17" t="s">
        <v>148</v>
      </c>
      <c r="D17" s="15" t="s">
        <v>156</v>
      </c>
      <c r="E17" s="16">
        <v>733914</v>
      </c>
      <c r="F17" t="s">
        <v>58</v>
      </c>
      <c r="G17" t="s">
        <v>58</v>
      </c>
      <c r="H17">
        <f>5*365</f>
        <v>1825</v>
      </c>
    </row>
    <row r="18" spans="3:8" x14ac:dyDescent="0.25">
      <c r="D18" s="15" t="s">
        <v>157</v>
      </c>
      <c r="E18" s="17">
        <v>1074168</v>
      </c>
      <c r="F18" t="s">
        <v>158</v>
      </c>
      <c r="G18" t="s">
        <v>17</v>
      </c>
    </row>
    <row r="19" spans="3:8" x14ac:dyDescent="0.25">
      <c r="D19" s="15" t="s">
        <v>159</v>
      </c>
      <c r="E19" s="16">
        <v>729536</v>
      </c>
      <c r="F19" t="s">
        <v>160</v>
      </c>
      <c r="G19" t="s">
        <v>48</v>
      </c>
    </row>
    <row r="20" spans="3:8" x14ac:dyDescent="0.25">
      <c r="C20" t="s">
        <v>148</v>
      </c>
      <c r="D20" s="15" t="s">
        <v>161</v>
      </c>
      <c r="E20" s="17">
        <v>773986</v>
      </c>
      <c r="F20" t="s">
        <v>58</v>
      </c>
      <c r="G20" t="s">
        <v>58</v>
      </c>
      <c r="H20">
        <f>4*365</f>
        <v>1460</v>
      </c>
    </row>
    <row r="21" spans="3:8" x14ac:dyDescent="0.25">
      <c r="D21" s="15" t="s">
        <v>162</v>
      </c>
      <c r="E21" s="16">
        <v>2102231</v>
      </c>
      <c r="F21" t="s">
        <v>58</v>
      </c>
      <c r="G21" t="s">
        <v>48</v>
      </c>
      <c r="H21">
        <f>6*30</f>
        <v>180</v>
      </c>
    </row>
    <row r="22" spans="3:8" x14ac:dyDescent="0.25">
      <c r="D22" s="15" t="s">
        <v>163</v>
      </c>
      <c r="E22" s="17">
        <v>712692</v>
      </c>
      <c r="F22" t="s">
        <v>164</v>
      </c>
      <c r="G22" t="s">
        <v>17</v>
      </c>
    </row>
  </sheetData>
  <hyperlinks>
    <hyperlink ref="D14" r:id="rId1" display="https://terminal.kpler.com/map/vessel/68579?fields=vessel,product&amp;products=1368&amp;vessels=86586" xr:uid="{2C1222EF-0106-4713-897C-0A2C4BC3C39F}"/>
    <hyperlink ref="D8" r:id="rId2" display="https://terminal.kpler.com/map/vessel/78282?fields=vessel,product&amp;products=1368&amp;vessels=86586" xr:uid="{EA664657-402F-429A-B2D1-7A2818BF7F9F}"/>
    <hyperlink ref="D9" r:id="rId3" display="https://terminal.kpler.com/map/vessel/73886?fields=vessel,product&amp;products=1368&amp;vessels=86586" xr:uid="{0CD2F29B-F4E8-42BB-B7E0-AFB9DDF2BEA2}"/>
    <hyperlink ref="D12" r:id="rId4" display="https://terminal.kpler.com/map/vessel/68734?fields=vessel,product&amp;products=1368&amp;vessels=86586" xr:uid="{7DB65DD0-E81B-4028-ADB4-826D69E1A652}"/>
    <hyperlink ref="D10" r:id="rId5" display="https://terminal.kpler.com/map/vessel/71392?fields=vessel,product&amp;products=1368&amp;vessels=86586" xr:uid="{7AD193CE-54E0-4A3A-99A3-4F4EB82255B6}"/>
    <hyperlink ref="D13" r:id="rId6" display="https://terminal.kpler.com/map/vessel/71252?fields=vessel,product&amp;products=1368&amp;vessels=86586" xr:uid="{B6E85CF6-8E48-4E5A-9555-AF0A1DA6E6CB}"/>
    <hyperlink ref="D11" r:id="rId7" display="https://terminal.kpler.com/map/vessel/86586?fields=vessel,product&amp;products=1368&amp;vessels=86586" xr:uid="{5675C0FB-1429-4735-B6F3-D3E52E4120AB}"/>
    <hyperlink ref="D15" r:id="rId8" display="https://terminal.kpler.com/map/vessel/70731?fields=vessel,product&amp;products=1368&amp;vessels=86586" xr:uid="{EB1934F6-3C3E-4AD0-AD3C-183390425999}"/>
    <hyperlink ref="D16" r:id="rId9" display="https://terminal.kpler.com/map/vessel/70290?fields=vessel,product&amp;products=1368&amp;vessels=86586" xr:uid="{115F6D8E-C6CB-47DF-A7B6-FF7ABD0D0A92}"/>
    <hyperlink ref="D17" r:id="rId10" display="https://terminal.kpler.com/map/vessel/68633?fields=vessel,product&amp;products=1368&amp;vessels=86586" xr:uid="{EB1EFB1B-EDA8-4151-8B8C-C4B360EF56C8}"/>
    <hyperlink ref="D18" r:id="rId11" display="https://terminal.kpler.com/map/vessel/101948?fields=vessel,product&amp;products=1368&amp;vessels=86586" xr:uid="{BCB3B58B-B549-4448-95E5-7D9811CA61D7}"/>
    <hyperlink ref="D19" r:id="rId12" display="https://terminal.kpler.com/map/vessel/73984?fields=vessel,product&amp;products=1368&amp;vessels=86586" xr:uid="{E9758572-EC45-4936-9C65-84B1EE608BBF}"/>
    <hyperlink ref="D20" r:id="rId13" display="https://terminal.kpler.com/map/vessel/69818?fields=vessel,product&amp;products=1368&amp;vessels=86586" xr:uid="{28DFFD11-7843-43C5-BCFE-082C2ADD3AF8}"/>
    <hyperlink ref="D21" r:id="rId14" display="https://terminal.kpler.com/map/vessel/71394?fields=vessel,product&amp;products=1368&amp;vessels=86586" xr:uid="{9DAD4A2D-F6ED-4A24-9745-CF9C3CBFB306}"/>
    <hyperlink ref="D22" r:id="rId15" display="https://terminal.kpler.com/map/vessel/72446?fields=vessel,product&amp;products=1368&amp;vessels=86586" xr:uid="{13AFDA83-79F8-4CF8-8D47-90542F06429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50AC-C6AD-4AA2-B41E-842C5906F98B}">
  <dimension ref="A5:AF21"/>
  <sheetViews>
    <sheetView workbookViewId="0">
      <selection activeCell="A16" sqref="A16"/>
    </sheetView>
  </sheetViews>
  <sheetFormatPr defaultRowHeight="15" x14ac:dyDescent="0.25"/>
  <cols>
    <col min="1" max="1" width="13.28515625" bestFit="1" customWidth="1"/>
    <col min="4" max="4" width="11.5703125" bestFit="1" customWidth="1"/>
    <col min="5" max="5" width="21.7109375" bestFit="1" customWidth="1"/>
    <col min="9" max="9" width="13.28515625" bestFit="1" customWidth="1"/>
  </cols>
  <sheetData>
    <row r="5" spans="1:32" x14ac:dyDescent="0.25">
      <c r="A5" t="str">
        <f>+I5</f>
        <v>Crossing Date</v>
      </c>
      <c r="B5" t="s">
        <v>319</v>
      </c>
      <c r="C5" t="s">
        <v>320</v>
      </c>
      <c r="D5" t="s">
        <v>322</v>
      </c>
      <c r="E5" t="s">
        <v>203</v>
      </c>
      <c r="F5" t="s">
        <v>204</v>
      </c>
      <c r="G5" t="s">
        <v>205</v>
      </c>
      <c r="H5" t="s">
        <v>206</v>
      </c>
      <c r="I5" t="s">
        <v>207</v>
      </c>
      <c r="J5" t="s">
        <v>208</v>
      </c>
      <c r="K5" t="s">
        <v>209</v>
      </c>
      <c r="L5" t="s">
        <v>210</v>
      </c>
      <c r="M5" t="s">
        <v>178</v>
      </c>
      <c r="N5" t="s">
        <v>211</v>
      </c>
      <c r="O5" t="s">
        <v>212</v>
      </c>
      <c r="P5" t="s">
        <v>213</v>
      </c>
      <c r="Q5" t="s">
        <v>214</v>
      </c>
      <c r="R5" t="s">
        <v>215</v>
      </c>
      <c r="S5" t="s">
        <v>216</v>
      </c>
      <c r="T5" t="s">
        <v>217</v>
      </c>
      <c r="U5" t="s">
        <v>218</v>
      </c>
      <c r="V5" t="s">
        <v>219</v>
      </c>
      <c r="W5" t="s">
        <v>220</v>
      </c>
      <c r="X5" t="s">
        <v>221</v>
      </c>
      <c r="Y5" t="s">
        <v>222</v>
      </c>
      <c r="Z5" t="s">
        <v>223</v>
      </c>
      <c r="AA5" t="s">
        <v>224</v>
      </c>
      <c r="AB5" t="s">
        <v>225</v>
      </c>
      <c r="AC5" t="s">
        <v>226</v>
      </c>
      <c r="AD5" t="s">
        <v>227</v>
      </c>
      <c r="AE5" t="s">
        <v>228</v>
      </c>
      <c r="AF5" t="s">
        <v>229</v>
      </c>
    </row>
    <row r="6" spans="1:32" x14ac:dyDescent="0.25">
      <c r="A6" s="2">
        <f t="shared" ref="A6:A21" si="0">+I6</f>
        <v>46222</v>
      </c>
      <c r="B6" t="str">
        <f>+H6</f>
        <v>Entered MEG</v>
      </c>
      <c r="C6" t="s">
        <v>310</v>
      </c>
      <c r="D6" t="s">
        <v>267</v>
      </c>
      <c r="E6" t="s">
        <v>230</v>
      </c>
      <c r="F6">
        <v>9041643</v>
      </c>
      <c r="G6" t="s">
        <v>231</v>
      </c>
      <c r="H6" t="s">
        <v>232</v>
      </c>
      <c r="I6" s="2">
        <v>46222</v>
      </c>
      <c r="J6" t="s">
        <v>233</v>
      </c>
      <c r="K6" t="s">
        <v>234</v>
      </c>
      <c r="L6" t="s">
        <v>235</v>
      </c>
      <c r="M6">
        <v>0</v>
      </c>
      <c r="N6" t="s">
        <v>236</v>
      </c>
      <c r="O6" t="s">
        <v>237</v>
      </c>
      <c r="P6" t="s">
        <v>238</v>
      </c>
      <c r="Q6" t="s">
        <v>235</v>
      </c>
      <c r="R6" t="s">
        <v>235</v>
      </c>
      <c r="S6">
        <v>1229</v>
      </c>
      <c r="T6" s="26">
        <v>1991</v>
      </c>
      <c r="U6" t="s">
        <v>239</v>
      </c>
      <c r="V6">
        <v>1.2290000000000001</v>
      </c>
      <c r="W6" t="s">
        <v>240</v>
      </c>
      <c r="X6" t="s">
        <v>48</v>
      </c>
      <c r="Y6" t="s">
        <v>241</v>
      </c>
      <c r="Z6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s">
        <v>242</v>
      </c>
    </row>
    <row r="7" spans="1:32" x14ac:dyDescent="0.25">
      <c r="A7" s="2">
        <f t="shared" si="0"/>
        <v>46222</v>
      </c>
      <c r="B7" t="str">
        <f t="shared" ref="B7:B21" si="1">+H7</f>
        <v>Entered MEG</v>
      </c>
      <c r="C7" t="s">
        <v>310</v>
      </c>
      <c r="D7" t="s">
        <v>266</v>
      </c>
      <c r="E7" t="s">
        <v>243</v>
      </c>
      <c r="F7">
        <v>1042823</v>
      </c>
      <c r="G7" t="s">
        <v>244</v>
      </c>
      <c r="H7" t="s">
        <v>232</v>
      </c>
      <c r="I7" s="2">
        <v>46222</v>
      </c>
      <c r="J7" t="s">
        <v>245</v>
      </c>
      <c r="K7" t="s">
        <v>234</v>
      </c>
      <c r="L7" t="s">
        <v>235</v>
      </c>
      <c r="M7">
        <v>0</v>
      </c>
      <c r="N7" t="s">
        <v>236</v>
      </c>
      <c r="O7" t="s">
        <v>47</v>
      </c>
      <c r="P7" t="s">
        <v>238</v>
      </c>
      <c r="Q7" t="s">
        <v>246</v>
      </c>
      <c r="R7" t="s">
        <v>235</v>
      </c>
      <c r="S7">
        <v>74978</v>
      </c>
      <c r="T7" s="26">
        <v>2025</v>
      </c>
      <c r="U7" t="s">
        <v>247</v>
      </c>
      <c r="V7">
        <v>74.977999999999994</v>
      </c>
      <c r="W7" t="s">
        <v>248</v>
      </c>
      <c r="X7" t="s">
        <v>48</v>
      </c>
      <c r="Y7" t="s">
        <v>241</v>
      </c>
      <c r="Z7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s">
        <v>242</v>
      </c>
    </row>
    <row r="8" spans="1:32" x14ac:dyDescent="0.25">
      <c r="A8" s="2">
        <f t="shared" si="0"/>
        <v>46222</v>
      </c>
      <c r="B8" t="str">
        <f t="shared" si="1"/>
        <v>Exited MEG</v>
      </c>
      <c r="C8" t="s">
        <v>312</v>
      </c>
      <c r="D8" t="s">
        <v>267</v>
      </c>
      <c r="E8" t="s">
        <v>249</v>
      </c>
      <c r="F8">
        <v>9289726</v>
      </c>
      <c r="G8" t="s">
        <v>250</v>
      </c>
      <c r="H8" t="s">
        <v>251</v>
      </c>
      <c r="I8" s="2">
        <v>46222</v>
      </c>
      <c r="J8" t="s">
        <v>252</v>
      </c>
      <c r="K8" t="s">
        <v>234</v>
      </c>
      <c r="L8" t="s">
        <v>235</v>
      </c>
      <c r="M8">
        <v>0</v>
      </c>
      <c r="N8" t="s">
        <v>236</v>
      </c>
      <c r="O8" t="s">
        <v>253</v>
      </c>
      <c r="P8" t="s">
        <v>254</v>
      </c>
      <c r="Q8" t="s">
        <v>235</v>
      </c>
      <c r="R8" t="s">
        <v>235</v>
      </c>
      <c r="S8">
        <v>319180</v>
      </c>
      <c r="T8" s="26">
        <v>2005</v>
      </c>
      <c r="U8" t="s">
        <v>255</v>
      </c>
      <c r="V8">
        <v>319.18</v>
      </c>
      <c r="W8" t="s">
        <v>18</v>
      </c>
      <c r="X8" t="s">
        <v>48</v>
      </c>
      <c r="Y8" t="s">
        <v>241</v>
      </c>
      <c r="Z8">
        <v>0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s">
        <v>256</v>
      </c>
    </row>
    <row r="9" spans="1:32" x14ac:dyDescent="0.25">
      <c r="A9" s="2">
        <f t="shared" si="0"/>
        <v>46222</v>
      </c>
      <c r="B9" t="str">
        <f t="shared" si="1"/>
        <v>Exited MEG</v>
      </c>
      <c r="C9" t="s">
        <v>312</v>
      </c>
      <c r="D9" t="s">
        <v>267</v>
      </c>
      <c r="E9" t="s">
        <v>257</v>
      </c>
      <c r="F9">
        <v>9241085</v>
      </c>
      <c r="G9" t="s">
        <v>250</v>
      </c>
      <c r="H9" t="s">
        <v>251</v>
      </c>
      <c r="I9" s="2">
        <v>46222</v>
      </c>
      <c r="J9" t="s">
        <v>233</v>
      </c>
      <c r="K9" t="s">
        <v>234</v>
      </c>
      <c r="L9" t="s">
        <v>235</v>
      </c>
      <c r="M9">
        <v>0</v>
      </c>
      <c r="N9" t="s">
        <v>236</v>
      </c>
      <c r="O9" t="s">
        <v>258</v>
      </c>
      <c r="P9" t="s">
        <v>238</v>
      </c>
      <c r="Q9" t="s">
        <v>259</v>
      </c>
      <c r="R9" t="s">
        <v>259</v>
      </c>
      <c r="S9">
        <v>46684</v>
      </c>
      <c r="T9" s="26">
        <v>2004</v>
      </c>
      <c r="U9" t="s">
        <v>260</v>
      </c>
      <c r="V9">
        <v>46.683999999999997</v>
      </c>
      <c r="W9" t="s">
        <v>248</v>
      </c>
      <c r="X9" t="s">
        <v>48</v>
      </c>
      <c r="Y9" t="s">
        <v>241</v>
      </c>
      <c r="Z9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s">
        <v>242</v>
      </c>
    </row>
    <row r="10" spans="1:32" x14ac:dyDescent="0.25">
      <c r="A10" s="2">
        <f t="shared" si="0"/>
        <v>46222</v>
      </c>
      <c r="B10" t="str">
        <f t="shared" si="1"/>
        <v>Entered MEG</v>
      </c>
      <c r="C10" t="s">
        <v>310</v>
      </c>
      <c r="D10" t="s">
        <v>267</v>
      </c>
      <c r="E10" t="s">
        <v>261</v>
      </c>
      <c r="F10">
        <v>9231511</v>
      </c>
      <c r="G10" t="s">
        <v>262</v>
      </c>
      <c r="H10" t="s">
        <v>232</v>
      </c>
      <c r="I10" s="2">
        <v>46222</v>
      </c>
      <c r="J10" t="s">
        <v>252</v>
      </c>
      <c r="K10" t="s">
        <v>234</v>
      </c>
      <c r="L10" t="s">
        <v>235</v>
      </c>
      <c r="M10">
        <v>0</v>
      </c>
      <c r="N10" t="s">
        <v>236</v>
      </c>
      <c r="O10" t="s">
        <v>263</v>
      </c>
      <c r="P10" t="s">
        <v>254</v>
      </c>
      <c r="Q10" t="s">
        <v>264</v>
      </c>
      <c r="R10" t="s">
        <v>265</v>
      </c>
      <c r="S10">
        <v>72910</v>
      </c>
      <c r="T10" s="26">
        <v>2002</v>
      </c>
      <c r="U10" t="s">
        <v>255</v>
      </c>
      <c r="V10">
        <v>72.91</v>
      </c>
      <c r="W10" t="s">
        <v>248</v>
      </c>
      <c r="X10" t="s">
        <v>48</v>
      </c>
      <c r="Y10" t="s">
        <v>241</v>
      </c>
      <c r="Z10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s">
        <v>242</v>
      </c>
    </row>
    <row r="11" spans="1:32" x14ac:dyDescent="0.25">
      <c r="A11" s="2">
        <f t="shared" si="0"/>
        <v>46221</v>
      </c>
      <c r="B11" t="str">
        <f t="shared" si="1"/>
        <v>Entered MEG</v>
      </c>
      <c r="C11" t="s">
        <v>310</v>
      </c>
      <c r="D11" t="s">
        <v>311</v>
      </c>
      <c r="E11" t="s">
        <v>268</v>
      </c>
      <c r="F11">
        <v>9321160</v>
      </c>
      <c r="G11" t="s">
        <v>250</v>
      </c>
      <c r="H11" t="s">
        <v>232</v>
      </c>
      <c r="I11" s="2">
        <v>46221</v>
      </c>
      <c r="J11" t="s">
        <v>252</v>
      </c>
      <c r="K11" t="s">
        <v>234</v>
      </c>
      <c r="L11" t="s">
        <v>235</v>
      </c>
      <c r="M11">
        <v>0</v>
      </c>
      <c r="N11" t="s">
        <v>236</v>
      </c>
      <c r="O11" t="s">
        <v>269</v>
      </c>
      <c r="P11" t="s">
        <v>270</v>
      </c>
      <c r="Q11" t="s">
        <v>186</v>
      </c>
      <c r="R11" t="s">
        <v>271</v>
      </c>
      <c r="S11">
        <v>74995</v>
      </c>
      <c r="T11" s="26">
        <v>2006</v>
      </c>
      <c r="U11" t="s">
        <v>239</v>
      </c>
      <c r="V11">
        <v>74.995000000000005</v>
      </c>
      <c r="W11" t="s">
        <v>248</v>
      </c>
      <c r="X11" t="s">
        <v>48</v>
      </c>
      <c r="Y11" t="s">
        <v>241</v>
      </c>
      <c r="Z11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s">
        <v>242</v>
      </c>
    </row>
    <row r="12" spans="1:32" x14ac:dyDescent="0.25">
      <c r="A12" s="2">
        <f t="shared" si="0"/>
        <v>46221</v>
      </c>
      <c r="B12" t="str">
        <f t="shared" si="1"/>
        <v>Exited MEG</v>
      </c>
      <c r="C12" t="s">
        <v>312</v>
      </c>
      <c r="D12" t="s">
        <v>267</v>
      </c>
      <c r="E12" t="s">
        <v>272</v>
      </c>
      <c r="F12">
        <v>9273650</v>
      </c>
      <c r="G12" t="s">
        <v>250</v>
      </c>
      <c r="H12" t="s">
        <v>251</v>
      </c>
      <c r="I12" s="2">
        <v>46221</v>
      </c>
      <c r="J12" t="s">
        <v>233</v>
      </c>
      <c r="K12" t="s">
        <v>234</v>
      </c>
      <c r="L12" t="s">
        <v>235</v>
      </c>
      <c r="M12">
        <v>0</v>
      </c>
      <c r="N12" t="s">
        <v>236</v>
      </c>
      <c r="O12" t="s">
        <v>273</v>
      </c>
      <c r="P12" t="s">
        <v>259</v>
      </c>
      <c r="Q12" t="s">
        <v>274</v>
      </c>
      <c r="R12" t="s">
        <v>275</v>
      </c>
      <c r="S12">
        <v>46101</v>
      </c>
      <c r="T12" s="26">
        <v>2004</v>
      </c>
      <c r="U12" t="s">
        <v>255</v>
      </c>
      <c r="V12">
        <v>46.100999999999999</v>
      </c>
      <c r="W12" t="s">
        <v>248</v>
      </c>
      <c r="X12" t="s">
        <v>48</v>
      </c>
      <c r="Y12" t="s">
        <v>241</v>
      </c>
      <c r="Z12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s">
        <v>242</v>
      </c>
    </row>
    <row r="13" spans="1:32" x14ac:dyDescent="0.25">
      <c r="A13" s="2">
        <f t="shared" si="0"/>
        <v>46221</v>
      </c>
      <c r="B13" t="str">
        <f t="shared" si="1"/>
        <v>Entered MEG</v>
      </c>
      <c r="C13" t="s">
        <v>313</v>
      </c>
      <c r="D13" t="s">
        <v>267</v>
      </c>
      <c r="E13" t="s">
        <v>276</v>
      </c>
      <c r="F13">
        <v>9321938</v>
      </c>
      <c r="G13" t="s">
        <v>277</v>
      </c>
      <c r="H13" t="s">
        <v>232</v>
      </c>
      <c r="I13" s="2">
        <v>46221</v>
      </c>
      <c r="J13" t="s">
        <v>252</v>
      </c>
      <c r="K13" t="s">
        <v>278</v>
      </c>
      <c r="L13" t="s">
        <v>279</v>
      </c>
      <c r="M13">
        <v>353462</v>
      </c>
      <c r="N13" t="s">
        <v>236</v>
      </c>
      <c r="O13" t="s">
        <v>280</v>
      </c>
      <c r="P13" t="s">
        <v>280</v>
      </c>
      <c r="Q13" t="s">
        <v>235</v>
      </c>
      <c r="R13" t="s">
        <v>235</v>
      </c>
      <c r="S13">
        <v>51202</v>
      </c>
      <c r="T13" s="26">
        <v>2007</v>
      </c>
      <c r="U13" t="s">
        <v>255</v>
      </c>
      <c r="V13">
        <v>51.201999999999998</v>
      </c>
      <c r="W13" t="s">
        <v>248</v>
      </c>
      <c r="X13" t="s">
        <v>281</v>
      </c>
      <c r="Y13" t="s">
        <v>282</v>
      </c>
      <c r="Z13">
        <v>353462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s">
        <v>242</v>
      </c>
    </row>
    <row r="14" spans="1:32" x14ac:dyDescent="0.25">
      <c r="A14" s="2">
        <f t="shared" si="0"/>
        <v>46220</v>
      </c>
      <c r="B14" t="str">
        <f t="shared" si="1"/>
        <v>Entered MEG</v>
      </c>
      <c r="C14" t="s">
        <v>310</v>
      </c>
      <c r="D14" t="s">
        <v>311</v>
      </c>
      <c r="E14" t="s">
        <v>283</v>
      </c>
      <c r="F14">
        <v>9577056</v>
      </c>
      <c r="G14" t="s">
        <v>277</v>
      </c>
      <c r="H14" t="s">
        <v>232</v>
      </c>
      <c r="I14" s="2">
        <v>46220</v>
      </c>
      <c r="J14" t="s">
        <v>252</v>
      </c>
      <c r="K14" t="s">
        <v>234</v>
      </c>
      <c r="L14" t="s">
        <v>235</v>
      </c>
      <c r="M14">
        <v>0</v>
      </c>
      <c r="N14" t="s">
        <v>236</v>
      </c>
      <c r="O14" t="s">
        <v>284</v>
      </c>
      <c r="P14" t="s">
        <v>285</v>
      </c>
      <c r="Q14" t="s">
        <v>264</v>
      </c>
      <c r="R14" t="s">
        <v>265</v>
      </c>
      <c r="S14">
        <v>74602</v>
      </c>
      <c r="T14" s="26">
        <v>2010</v>
      </c>
      <c r="U14" t="s">
        <v>255</v>
      </c>
      <c r="V14">
        <v>74.602000000000004</v>
      </c>
      <c r="W14" t="s">
        <v>248</v>
      </c>
      <c r="X14" t="s">
        <v>48</v>
      </c>
      <c r="Y14" t="s">
        <v>241</v>
      </c>
      <c r="Z14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s">
        <v>242</v>
      </c>
    </row>
    <row r="15" spans="1:32" x14ac:dyDescent="0.25">
      <c r="A15" s="2">
        <f t="shared" si="0"/>
        <v>46220</v>
      </c>
      <c r="B15" t="str">
        <f t="shared" si="1"/>
        <v>Exited MEG</v>
      </c>
      <c r="C15" t="s">
        <v>321</v>
      </c>
      <c r="D15" t="s">
        <v>321</v>
      </c>
      <c r="E15" t="s">
        <v>286</v>
      </c>
      <c r="F15">
        <v>9653410</v>
      </c>
      <c r="G15" t="s">
        <v>287</v>
      </c>
      <c r="H15" t="s">
        <v>251</v>
      </c>
      <c r="I15" s="2">
        <v>46220</v>
      </c>
      <c r="J15" t="s">
        <v>252</v>
      </c>
      <c r="K15" t="s">
        <v>278</v>
      </c>
      <c r="L15" t="s">
        <v>288</v>
      </c>
      <c r="M15">
        <v>2042484</v>
      </c>
      <c r="N15" t="s">
        <v>236</v>
      </c>
      <c r="O15" t="s">
        <v>65</v>
      </c>
      <c r="P15" t="s">
        <v>66</v>
      </c>
      <c r="Q15" t="s">
        <v>273</v>
      </c>
      <c r="R15" t="s">
        <v>259</v>
      </c>
      <c r="S15">
        <v>316884</v>
      </c>
      <c r="T15" s="26">
        <v>2014</v>
      </c>
      <c r="U15" t="s">
        <v>255</v>
      </c>
      <c r="V15">
        <v>316.88400000000001</v>
      </c>
      <c r="W15" t="s">
        <v>18</v>
      </c>
      <c r="X15" t="s">
        <v>289</v>
      </c>
      <c r="Y15" t="s">
        <v>282</v>
      </c>
      <c r="Z15">
        <v>2042484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s">
        <v>242</v>
      </c>
    </row>
    <row r="16" spans="1:32" x14ac:dyDescent="0.25">
      <c r="A16" s="2">
        <f t="shared" si="0"/>
        <v>46220</v>
      </c>
      <c r="B16" t="str">
        <f t="shared" si="1"/>
        <v>Exited MEG</v>
      </c>
      <c r="C16" t="s">
        <v>314</v>
      </c>
      <c r="D16" t="s">
        <v>267</v>
      </c>
      <c r="E16" t="s">
        <v>290</v>
      </c>
      <c r="F16">
        <v>9118800</v>
      </c>
      <c r="G16" t="s">
        <v>231</v>
      </c>
      <c r="H16" t="s">
        <v>251</v>
      </c>
      <c r="I16" s="2">
        <v>46220</v>
      </c>
      <c r="J16" t="s">
        <v>233</v>
      </c>
      <c r="K16" t="s">
        <v>278</v>
      </c>
      <c r="L16" t="s">
        <v>291</v>
      </c>
      <c r="M16">
        <v>11875</v>
      </c>
      <c r="N16" t="s">
        <v>236</v>
      </c>
      <c r="O16" t="s">
        <v>292</v>
      </c>
      <c r="P16" t="s">
        <v>280</v>
      </c>
      <c r="Q16" t="s">
        <v>293</v>
      </c>
      <c r="R16" t="s">
        <v>259</v>
      </c>
      <c r="S16">
        <v>2005</v>
      </c>
      <c r="T16" s="26">
        <v>1995</v>
      </c>
      <c r="U16" t="s">
        <v>239</v>
      </c>
      <c r="V16">
        <v>2.0049999999999999</v>
      </c>
      <c r="W16" t="s">
        <v>240</v>
      </c>
      <c r="X16" t="s">
        <v>281</v>
      </c>
      <c r="Y16" t="s">
        <v>282</v>
      </c>
      <c r="Z16">
        <v>11875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s">
        <v>242</v>
      </c>
    </row>
    <row r="17" spans="1:32" x14ac:dyDescent="0.25">
      <c r="A17" s="2">
        <f t="shared" si="0"/>
        <v>46220</v>
      </c>
      <c r="B17" t="str">
        <f t="shared" si="1"/>
        <v>Entered MEG</v>
      </c>
      <c r="C17" t="s">
        <v>315</v>
      </c>
      <c r="D17" t="s">
        <v>58</v>
      </c>
      <c r="E17" t="s">
        <v>294</v>
      </c>
      <c r="F17">
        <v>9244374</v>
      </c>
      <c r="G17" t="s">
        <v>295</v>
      </c>
      <c r="H17" t="s">
        <v>232</v>
      </c>
      <c r="I17" s="2">
        <v>46220</v>
      </c>
      <c r="J17" t="s">
        <v>252</v>
      </c>
      <c r="K17" t="s">
        <v>278</v>
      </c>
      <c r="L17" t="s">
        <v>296</v>
      </c>
      <c r="M17">
        <v>112978</v>
      </c>
      <c r="N17" t="s">
        <v>236</v>
      </c>
      <c r="O17" t="s">
        <v>297</v>
      </c>
      <c r="P17" t="s">
        <v>298</v>
      </c>
      <c r="Q17" t="s">
        <v>235</v>
      </c>
      <c r="R17" t="s">
        <v>235</v>
      </c>
      <c r="S17">
        <v>17396</v>
      </c>
      <c r="T17" s="26">
        <v>2001</v>
      </c>
      <c r="U17" t="s">
        <v>239</v>
      </c>
      <c r="V17">
        <v>17.396000000000001</v>
      </c>
      <c r="W17" t="s">
        <v>299</v>
      </c>
      <c r="X17" t="s">
        <v>300</v>
      </c>
      <c r="Y17" t="s">
        <v>282</v>
      </c>
      <c r="Z17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s">
        <v>242</v>
      </c>
    </row>
    <row r="18" spans="1:32" s="27" customFormat="1" x14ac:dyDescent="0.25">
      <c r="A18" s="28">
        <f t="shared" si="0"/>
        <v>46220</v>
      </c>
      <c r="B18" s="27" t="str">
        <f t="shared" si="1"/>
        <v>Exited MEG</v>
      </c>
      <c r="C18" s="27" t="s">
        <v>310</v>
      </c>
      <c r="D18" s="27" t="s">
        <v>316</v>
      </c>
      <c r="E18" s="27" t="s">
        <v>301</v>
      </c>
      <c r="F18" s="27">
        <v>9403542</v>
      </c>
      <c r="G18" s="27" t="s">
        <v>302</v>
      </c>
      <c r="H18" s="27" t="s">
        <v>251</v>
      </c>
      <c r="I18" s="28">
        <v>46220</v>
      </c>
      <c r="J18" s="27" t="s">
        <v>252</v>
      </c>
      <c r="K18" s="27" t="s">
        <v>278</v>
      </c>
      <c r="L18" s="27" t="s">
        <v>279</v>
      </c>
      <c r="M18" s="27">
        <v>503065</v>
      </c>
      <c r="N18" s="27" t="s">
        <v>236</v>
      </c>
      <c r="O18" s="27" t="s">
        <v>14</v>
      </c>
      <c r="P18" s="27" t="s">
        <v>265</v>
      </c>
      <c r="Q18" s="27" t="s">
        <v>303</v>
      </c>
      <c r="R18" s="27" t="s">
        <v>303</v>
      </c>
      <c r="S18" s="27">
        <v>74999</v>
      </c>
      <c r="T18" s="29">
        <v>2009</v>
      </c>
      <c r="U18" s="27" t="s">
        <v>255</v>
      </c>
      <c r="V18" s="27">
        <v>74.998999999999995</v>
      </c>
      <c r="W18" s="27" t="s">
        <v>248</v>
      </c>
      <c r="X18" s="27" t="s">
        <v>281</v>
      </c>
      <c r="Y18" s="27" t="s">
        <v>282</v>
      </c>
      <c r="Z18" s="27">
        <v>503065</v>
      </c>
      <c r="AA18" s="27" t="b">
        <v>0</v>
      </c>
      <c r="AB18" s="27" t="b">
        <v>0</v>
      </c>
      <c r="AC18" s="27" t="b">
        <v>0</v>
      </c>
      <c r="AD18" s="27" t="b">
        <v>1</v>
      </c>
      <c r="AE18" s="27" t="b">
        <v>0</v>
      </c>
      <c r="AF18" s="27" t="s">
        <v>242</v>
      </c>
    </row>
    <row r="19" spans="1:32" x14ac:dyDescent="0.25">
      <c r="A19" s="2">
        <f t="shared" si="0"/>
        <v>46220</v>
      </c>
      <c r="B19" t="str">
        <f t="shared" si="1"/>
        <v>Exited MEG</v>
      </c>
      <c r="C19" t="s">
        <v>318</v>
      </c>
      <c r="D19" t="s">
        <v>317</v>
      </c>
      <c r="E19" t="s">
        <v>304</v>
      </c>
      <c r="F19">
        <v>9853266</v>
      </c>
      <c r="G19" t="s">
        <v>305</v>
      </c>
      <c r="H19" t="s">
        <v>251</v>
      </c>
      <c r="I19" s="2">
        <v>46220</v>
      </c>
      <c r="J19" t="s">
        <v>252</v>
      </c>
      <c r="K19" t="s">
        <v>278</v>
      </c>
      <c r="L19" t="s">
        <v>288</v>
      </c>
      <c r="M19">
        <v>603759</v>
      </c>
      <c r="N19" t="s">
        <v>236</v>
      </c>
      <c r="O19" t="s">
        <v>202</v>
      </c>
      <c r="P19" t="s">
        <v>238</v>
      </c>
      <c r="Q19" t="s">
        <v>273</v>
      </c>
      <c r="R19" t="s">
        <v>259</v>
      </c>
      <c r="S19">
        <v>109998</v>
      </c>
      <c r="T19" s="26">
        <v>2019</v>
      </c>
      <c r="U19" t="s">
        <v>247</v>
      </c>
      <c r="V19">
        <v>109.998</v>
      </c>
      <c r="W19" t="s">
        <v>306</v>
      </c>
      <c r="X19" t="s">
        <v>289</v>
      </c>
      <c r="Y19" t="s">
        <v>282</v>
      </c>
      <c r="Z19">
        <v>603759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s">
        <v>242</v>
      </c>
    </row>
    <row r="20" spans="1:32" x14ac:dyDescent="0.25">
      <c r="A20" s="2">
        <f t="shared" si="0"/>
        <v>46220</v>
      </c>
      <c r="B20" t="str">
        <f t="shared" si="1"/>
        <v>Entered MEG</v>
      </c>
      <c r="D20" t="s">
        <v>18</v>
      </c>
      <c r="E20" t="s">
        <v>21</v>
      </c>
      <c r="F20">
        <v>9419618</v>
      </c>
      <c r="G20" t="s">
        <v>302</v>
      </c>
      <c r="H20" t="s">
        <v>232</v>
      </c>
      <c r="I20" s="2">
        <v>46220</v>
      </c>
      <c r="J20" t="s">
        <v>252</v>
      </c>
      <c r="K20" t="s">
        <v>234</v>
      </c>
      <c r="L20" t="s">
        <v>235</v>
      </c>
      <c r="M20">
        <v>0</v>
      </c>
      <c r="N20" t="s">
        <v>236</v>
      </c>
      <c r="O20" t="s">
        <v>273</v>
      </c>
      <c r="P20" t="s">
        <v>259</v>
      </c>
      <c r="Q20" t="s">
        <v>23</v>
      </c>
      <c r="R20" t="s">
        <v>307</v>
      </c>
      <c r="S20">
        <v>313525</v>
      </c>
      <c r="T20" s="26">
        <v>2009</v>
      </c>
      <c r="U20" t="s">
        <v>255</v>
      </c>
      <c r="V20">
        <v>313.52499999999998</v>
      </c>
      <c r="W20" t="s">
        <v>18</v>
      </c>
      <c r="X20" t="s">
        <v>48</v>
      </c>
      <c r="Y20" t="s">
        <v>241</v>
      </c>
      <c r="Z20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s">
        <v>242</v>
      </c>
    </row>
    <row r="21" spans="1:32" x14ac:dyDescent="0.25">
      <c r="A21" s="2">
        <f t="shared" si="0"/>
        <v>46220</v>
      </c>
      <c r="B21" t="str">
        <f t="shared" si="1"/>
        <v>Entered MEG</v>
      </c>
      <c r="D21" t="s">
        <v>267</v>
      </c>
      <c r="E21" t="s">
        <v>308</v>
      </c>
      <c r="F21">
        <v>9231224</v>
      </c>
      <c r="G21" t="s">
        <v>309</v>
      </c>
      <c r="H21" t="s">
        <v>232</v>
      </c>
      <c r="I21" s="2">
        <v>46220</v>
      </c>
      <c r="J21" t="s">
        <v>252</v>
      </c>
      <c r="K21" t="s">
        <v>234</v>
      </c>
      <c r="L21" t="s">
        <v>235</v>
      </c>
      <c r="M21">
        <v>0</v>
      </c>
      <c r="N21" t="s">
        <v>236</v>
      </c>
      <c r="O21" t="s">
        <v>254</v>
      </c>
      <c r="P21" t="s">
        <v>254</v>
      </c>
      <c r="Q21" t="s">
        <v>235</v>
      </c>
      <c r="R21" t="s">
        <v>235</v>
      </c>
      <c r="S21">
        <v>112679</v>
      </c>
      <c r="T21" s="26">
        <v>2002</v>
      </c>
      <c r="U21" t="s">
        <v>255</v>
      </c>
      <c r="V21">
        <v>112.679</v>
      </c>
      <c r="W21" t="s">
        <v>306</v>
      </c>
      <c r="X21" t="s">
        <v>48</v>
      </c>
      <c r="Y21" t="s">
        <v>241</v>
      </c>
      <c r="Z21">
        <v>0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39AE-98F9-4521-A527-9D099EC54153}">
  <dimension ref="C7:G56"/>
  <sheetViews>
    <sheetView workbookViewId="0">
      <selection activeCell="G56" sqref="G56"/>
    </sheetView>
  </sheetViews>
  <sheetFormatPr defaultRowHeight="15" x14ac:dyDescent="0.25"/>
  <cols>
    <col min="3" max="3" width="10.42578125" bestFit="1" customWidth="1"/>
  </cols>
  <sheetData>
    <row r="7" spans="3:7" x14ac:dyDescent="0.25">
      <c r="D7" t="s">
        <v>462</v>
      </c>
      <c r="F7" t="s">
        <v>223</v>
      </c>
    </row>
    <row r="8" spans="3:7" x14ac:dyDescent="0.25">
      <c r="C8" t="s">
        <v>206</v>
      </c>
      <c r="D8" t="s">
        <v>232</v>
      </c>
      <c r="E8" t="s">
        <v>251</v>
      </c>
      <c r="F8" t="s">
        <v>232</v>
      </c>
      <c r="G8" t="s">
        <v>251</v>
      </c>
    </row>
    <row r="9" spans="3:7" x14ac:dyDescent="0.25">
      <c r="C9" t="s">
        <v>463</v>
      </c>
    </row>
    <row r="10" spans="3:7" x14ac:dyDescent="0.25">
      <c r="C10" s="2">
        <v>46190</v>
      </c>
      <c r="D10">
        <v>3</v>
      </c>
      <c r="E10">
        <v>2</v>
      </c>
      <c r="F10">
        <v>0</v>
      </c>
      <c r="G10">
        <v>589833</v>
      </c>
    </row>
    <row r="11" spans="3:7" x14ac:dyDescent="0.25">
      <c r="C11" s="2">
        <v>46191</v>
      </c>
      <c r="D11">
        <v>11</v>
      </c>
      <c r="E11">
        <v>9</v>
      </c>
      <c r="F11">
        <v>0</v>
      </c>
      <c r="G11">
        <v>9552969</v>
      </c>
    </row>
    <row r="12" spans="3:7" x14ac:dyDescent="0.25">
      <c r="C12" s="2">
        <v>46192</v>
      </c>
      <c r="D12">
        <v>4</v>
      </c>
      <c r="E12">
        <v>7</v>
      </c>
      <c r="F12">
        <v>0</v>
      </c>
      <c r="G12">
        <v>12550599</v>
      </c>
    </row>
    <row r="13" spans="3:7" x14ac:dyDescent="0.25">
      <c r="C13" s="2">
        <v>46193</v>
      </c>
      <c r="D13">
        <v>10</v>
      </c>
      <c r="E13">
        <v>14</v>
      </c>
      <c r="F13">
        <v>106776</v>
      </c>
      <c r="G13">
        <v>15230410</v>
      </c>
    </row>
    <row r="14" spans="3:7" x14ac:dyDescent="0.25">
      <c r="C14" s="2">
        <v>46194</v>
      </c>
      <c r="D14">
        <v>2</v>
      </c>
      <c r="E14">
        <v>14</v>
      </c>
      <c r="F14">
        <v>0</v>
      </c>
      <c r="G14">
        <v>16269796</v>
      </c>
    </row>
    <row r="15" spans="3:7" x14ac:dyDescent="0.25">
      <c r="C15" s="2">
        <v>46195</v>
      </c>
      <c r="D15">
        <v>11</v>
      </c>
      <c r="E15">
        <v>17</v>
      </c>
      <c r="F15">
        <v>52476</v>
      </c>
      <c r="G15">
        <v>13364577</v>
      </c>
    </row>
    <row r="16" spans="3:7" x14ac:dyDescent="0.25">
      <c r="C16" s="2">
        <v>46196</v>
      </c>
      <c r="D16">
        <v>9</v>
      </c>
      <c r="E16">
        <v>12</v>
      </c>
      <c r="F16">
        <v>0</v>
      </c>
      <c r="G16">
        <v>9694836</v>
      </c>
    </row>
    <row r="17" spans="3:7" x14ac:dyDescent="0.25">
      <c r="C17" s="2">
        <v>46197</v>
      </c>
      <c r="D17">
        <v>13</v>
      </c>
      <c r="E17">
        <v>17</v>
      </c>
      <c r="F17">
        <v>32398</v>
      </c>
      <c r="G17">
        <v>16946181</v>
      </c>
    </row>
    <row r="18" spans="3:7" x14ac:dyDescent="0.25">
      <c r="C18" s="2">
        <v>46198</v>
      </c>
      <c r="D18">
        <v>4</v>
      </c>
      <c r="E18">
        <v>24</v>
      </c>
      <c r="F18">
        <v>15391</v>
      </c>
      <c r="G18">
        <v>16798876</v>
      </c>
    </row>
    <row r="19" spans="3:7" x14ac:dyDescent="0.25">
      <c r="C19" s="2">
        <v>46199</v>
      </c>
      <c r="D19">
        <v>15</v>
      </c>
      <c r="E19">
        <v>15</v>
      </c>
      <c r="F19">
        <v>0</v>
      </c>
      <c r="G19">
        <v>10214704</v>
      </c>
    </row>
    <row r="20" spans="3:7" x14ac:dyDescent="0.25">
      <c r="C20" s="2">
        <v>46200</v>
      </c>
      <c r="D20">
        <v>13</v>
      </c>
      <c r="E20">
        <v>11</v>
      </c>
      <c r="F20">
        <v>4579</v>
      </c>
      <c r="G20">
        <v>13488749</v>
      </c>
    </row>
    <row r="21" spans="3:7" x14ac:dyDescent="0.25">
      <c r="C21" s="2">
        <v>46201</v>
      </c>
      <c r="D21">
        <v>6</v>
      </c>
      <c r="E21">
        <v>5</v>
      </c>
      <c r="F21">
        <v>0</v>
      </c>
      <c r="G21">
        <v>4793331</v>
      </c>
    </row>
    <row r="22" spans="3:7" x14ac:dyDescent="0.25">
      <c r="C22" s="2">
        <v>46202</v>
      </c>
      <c r="D22">
        <v>13</v>
      </c>
      <c r="E22">
        <v>9</v>
      </c>
      <c r="F22">
        <v>345380</v>
      </c>
      <c r="G22">
        <v>7220601</v>
      </c>
    </row>
    <row r="23" spans="3:7" x14ac:dyDescent="0.25">
      <c r="C23" s="2">
        <v>46203</v>
      </c>
      <c r="D23">
        <v>6</v>
      </c>
      <c r="E23">
        <v>10</v>
      </c>
      <c r="F23">
        <v>0</v>
      </c>
      <c r="G23">
        <v>8898174</v>
      </c>
    </row>
    <row r="24" spans="3:7" x14ac:dyDescent="0.25">
      <c r="C24" s="2">
        <v>46204</v>
      </c>
      <c r="D24">
        <v>12</v>
      </c>
      <c r="E24">
        <v>15</v>
      </c>
      <c r="F24">
        <v>0</v>
      </c>
      <c r="G24">
        <v>12920438</v>
      </c>
    </row>
    <row r="25" spans="3:7" x14ac:dyDescent="0.25">
      <c r="C25" s="2">
        <v>46205</v>
      </c>
      <c r="D25">
        <v>13</v>
      </c>
      <c r="E25">
        <v>13</v>
      </c>
      <c r="F25">
        <v>0</v>
      </c>
      <c r="G25">
        <v>11431856</v>
      </c>
    </row>
    <row r="26" spans="3:7" x14ac:dyDescent="0.25">
      <c r="C26" s="2">
        <v>46206</v>
      </c>
      <c r="D26">
        <v>11</v>
      </c>
      <c r="E26">
        <v>10</v>
      </c>
      <c r="F26">
        <v>331460</v>
      </c>
      <c r="G26">
        <v>12336010</v>
      </c>
    </row>
    <row r="27" spans="3:7" x14ac:dyDescent="0.25">
      <c r="C27" s="2">
        <v>46207</v>
      </c>
      <c r="D27">
        <v>8</v>
      </c>
      <c r="E27">
        <v>8</v>
      </c>
      <c r="F27">
        <v>404756</v>
      </c>
      <c r="G27">
        <v>7969818</v>
      </c>
    </row>
    <row r="28" spans="3:7" x14ac:dyDescent="0.25">
      <c r="C28" s="2">
        <v>46208</v>
      </c>
      <c r="D28">
        <v>9</v>
      </c>
      <c r="E28">
        <v>11</v>
      </c>
      <c r="F28">
        <v>48211</v>
      </c>
      <c r="G28">
        <v>9949782</v>
      </c>
    </row>
    <row r="29" spans="3:7" x14ac:dyDescent="0.25">
      <c r="C29" s="2">
        <v>46209</v>
      </c>
      <c r="D29">
        <v>7</v>
      </c>
      <c r="E29">
        <v>16</v>
      </c>
      <c r="F29">
        <v>0</v>
      </c>
      <c r="G29">
        <v>19423768</v>
      </c>
    </row>
    <row r="30" spans="3:7" x14ac:dyDescent="0.25">
      <c r="C30" s="2">
        <v>46210</v>
      </c>
      <c r="D30">
        <v>8</v>
      </c>
      <c r="E30">
        <v>16</v>
      </c>
      <c r="F30">
        <v>0</v>
      </c>
      <c r="G30">
        <v>19181594</v>
      </c>
    </row>
    <row r="31" spans="3:7" x14ac:dyDescent="0.25">
      <c r="C31" s="2">
        <v>46211</v>
      </c>
      <c r="D31">
        <v>10</v>
      </c>
      <c r="E31">
        <v>7</v>
      </c>
      <c r="F31">
        <v>0</v>
      </c>
      <c r="G31">
        <v>4808347</v>
      </c>
    </row>
    <row r="32" spans="3:7" x14ac:dyDescent="0.25">
      <c r="C32" s="2">
        <v>46212</v>
      </c>
      <c r="D32">
        <v>10</v>
      </c>
      <c r="E32">
        <v>6</v>
      </c>
      <c r="F32">
        <v>69024</v>
      </c>
      <c r="G32">
        <v>4987574</v>
      </c>
    </row>
    <row r="33" spans="3:7" x14ac:dyDescent="0.25">
      <c r="C33" s="2">
        <v>46213</v>
      </c>
      <c r="D33">
        <v>6</v>
      </c>
      <c r="E33">
        <v>5</v>
      </c>
      <c r="F33">
        <v>0</v>
      </c>
      <c r="G33">
        <v>4945690</v>
      </c>
    </row>
    <row r="34" spans="3:7" x14ac:dyDescent="0.25">
      <c r="C34" s="2">
        <v>46214</v>
      </c>
      <c r="D34">
        <v>6</v>
      </c>
      <c r="E34">
        <v>8</v>
      </c>
      <c r="F34">
        <v>416203</v>
      </c>
      <c r="G34">
        <v>8919006</v>
      </c>
    </row>
    <row r="35" spans="3:7" x14ac:dyDescent="0.25">
      <c r="C35" s="2">
        <v>46215</v>
      </c>
      <c r="D35">
        <v>5</v>
      </c>
      <c r="E35">
        <v>4</v>
      </c>
      <c r="F35">
        <v>0</v>
      </c>
      <c r="G35">
        <v>4846305</v>
      </c>
    </row>
    <row r="36" spans="3:7" x14ac:dyDescent="0.25">
      <c r="C36" s="2">
        <v>46216</v>
      </c>
      <c r="D36">
        <v>6</v>
      </c>
      <c r="E36">
        <v>7</v>
      </c>
      <c r="F36">
        <v>0</v>
      </c>
      <c r="G36">
        <v>8975433</v>
      </c>
    </row>
    <row r="37" spans="3:7" x14ac:dyDescent="0.25">
      <c r="C37" s="2">
        <v>46217</v>
      </c>
      <c r="D37">
        <v>8</v>
      </c>
      <c r="E37">
        <v>6</v>
      </c>
      <c r="F37">
        <v>0</v>
      </c>
      <c r="G37">
        <v>8154675</v>
      </c>
    </row>
    <row r="38" spans="3:7" x14ac:dyDescent="0.25">
      <c r="C38" s="2">
        <v>46218</v>
      </c>
      <c r="D38">
        <v>4</v>
      </c>
      <c r="E38">
        <v>6</v>
      </c>
      <c r="F38">
        <v>0</v>
      </c>
      <c r="G38">
        <v>6654638</v>
      </c>
    </row>
    <row r="39" spans="3:7" x14ac:dyDescent="0.25">
      <c r="C39" s="2">
        <v>46219</v>
      </c>
      <c r="D39">
        <v>2</v>
      </c>
      <c r="E39">
        <v>3</v>
      </c>
      <c r="F39">
        <v>0</v>
      </c>
      <c r="G39">
        <v>573612</v>
      </c>
    </row>
    <row r="40" spans="3:7" x14ac:dyDescent="0.25">
      <c r="C40" s="2">
        <v>46220</v>
      </c>
      <c r="D40">
        <v>4</v>
      </c>
      <c r="E40">
        <v>4</v>
      </c>
      <c r="F40">
        <v>0</v>
      </c>
      <c r="G40">
        <v>3161183</v>
      </c>
    </row>
    <row r="41" spans="3:7" x14ac:dyDescent="0.25">
      <c r="C41" s="2">
        <v>46221</v>
      </c>
      <c r="D41">
        <v>4</v>
      </c>
      <c r="E41">
        <v>2</v>
      </c>
      <c r="F41">
        <v>353462</v>
      </c>
      <c r="G41">
        <v>2118326</v>
      </c>
    </row>
    <row r="42" spans="3:7" x14ac:dyDescent="0.25">
      <c r="C42" s="2">
        <v>46222</v>
      </c>
      <c r="D42">
        <v>4</v>
      </c>
      <c r="E42">
        <v>3</v>
      </c>
      <c r="F42">
        <v>0</v>
      </c>
      <c r="G42">
        <v>4419724</v>
      </c>
    </row>
    <row r="43" spans="3:7" x14ac:dyDescent="0.25">
      <c r="C43" s="2">
        <v>46223</v>
      </c>
      <c r="D43">
        <v>8</v>
      </c>
      <c r="E43">
        <v>3</v>
      </c>
      <c r="F43">
        <v>32367</v>
      </c>
      <c r="G43">
        <v>4414773</v>
      </c>
    </row>
    <row r="44" spans="3:7" x14ac:dyDescent="0.25">
      <c r="C44" s="2">
        <v>46224</v>
      </c>
      <c r="D44">
        <v>2</v>
      </c>
      <c r="E44">
        <v>2</v>
      </c>
      <c r="F44">
        <v>0</v>
      </c>
      <c r="G44">
        <v>2637499</v>
      </c>
    </row>
    <row r="45" spans="3:7" x14ac:dyDescent="0.25">
      <c r="C45" s="2">
        <v>46225</v>
      </c>
      <c r="D45">
        <v>1</v>
      </c>
      <c r="E45">
        <v>0</v>
      </c>
      <c r="F45">
        <v>0</v>
      </c>
      <c r="G45">
        <v>0</v>
      </c>
    </row>
    <row r="46" spans="3:7" x14ac:dyDescent="0.25">
      <c r="C46" s="2">
        <v>46226</v>
      </c>
      <c r="D46">
        <v>2</v>
      </c>
      <c r="E46">
        <v>2</v>
      </c>
      <c r="F46">
        <v>85705</v>
      </c>
      <c r="G46">
        <v>3956510</v>
      </c>
    </row>
    <row r="47" spans="3:7" x14ac:dyDescent="0.25">
      <c r="C47" s="2">
        <v>46227</v>
      </c>
      <c r="D47">
        <v>0</v>
      </c>
      <c r="E47">
        <v>4</v>
      </c>
      <c r="F47">
        <v>0</v>
      </c>
      <c r="G47">
        <v>4709212</v>
      </c>
    </row>
    <row r="48" spans="3:7" x14ac:dyDescent="0.25">
      <c r="C48" s="2">
        <v>46228</v>
      </c>
      <c r="D48">
        <v>1</v>
      </c>
      <c r="E48">
        <v>4</v>
      </c>
      <c r="F48">
        <v>0</v>
      </c>
      <c r="G48">
        <v>5031823</v>
      </c>
    </row>
    <row r="49" spans="3:7" x14ac:dyDescent="0.25">
      <c r="C49" s="2">
        <v>46229</v>
      </c>
      <c r="D49">
        <v>5</v>
      </c>
      <c r="E49">
        <v>6</v>
      </c>
      <c r="F49">
        <v>46834</v>
      </c>
      <c r="G49">
        <v>1643502</v>
      </c>
    </row>
    <row r="50" spans="3:7" x14ac:dyDescent="0.25">
      <c r="C50" s="2">
        <v>46230</v>
      </c>
      <c r="D50">
        <v>2</v>
      </c>
      <c r="E50">
        <v>2</v>
      </c>
      <c r="F50">
        <v>0</v>
      </c>
      <c r="G50">
        <v>500405</v>
      </c>
    </row>
    <row r="51" spans="3:7" x14ac:dyDescent="0.25">
      <c r="C51" s="2">
        <v>46231</v>
      </c>
      <c r="D51">
        <v>2</v>
      </c>
      <c r="E51">
        <v>3</v>
      </c>
      <c r="F51">
        <v>0</v>
      </c>
      <c r="G51">
        <v>4590894</v>
      </c>
    </row>
    <row r="52" spans="3:7" x14ac:dyDescent="0.25">
      <c r="C52" s="2">
        <v>46232</v>
      </c>
      <c r="D52">
        <v>4</v>
      </c>
      <c r="E52">
        <v>5</v>
      </c>
      <c r="F52">
        <v>0</v>
      </c>
      <c r="G52">
        <v>5438615</v>
      </c>
    </row>
    <row r="53" spans="3:7" x14ac:dyDescent="0.25">
      <c r="C53" s="2">
        <v>46233</v>
      </c>
      <c r="D53">
        <v>1</v>
      </c>
      <c r="E53">
        <v>1</v>
      </c>
      <c r="F53">
        <v>0</v>
      </c>
      <c r="G53">
        <v>1054116</v>
      </c>
    </row>
    <row r="54" spans="3:7" x14ac:dyDescent="0.25">
      <c r="C54" s="2">
        <v>46234</v>
      </c>
      <c r="D54">
        <v>4</v>
      </c>
      <c r="E54">
        <v>9</v>
      </c>
      <c r="F54">
        <v>0</v>
      </c>
      <c r="G54">
        <v>10478805</v>
      </c>
    </row>
    <row r="55" spans="3:7" x14ac:dyDescent="0.25">
      <c r="C55" s="2">
        <v>46235</v>
      </c>
      <c r="D55">
        <v>1</v>
      </c>
      <c r="E55">
        <v>5</v>
      </c>
      <c r="F55">
        <v>0</v>
      </c>
      <c r="G55">
        <v>1206542</v>
      </c>
    </row>
    <row r="56" spans="3:7" x14ac:dyDescent="0.25">
      <c r="C56" s="2">
        <v>46236</v>
      </c>
      <c r="D56">
        <v>1</v>
      </c>
      <c r="E56">
        <v>0</v>
      </c>
      <c r="F56">
        <v>0</v>
      </c>
      <c r="G56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4E51-DEFE-437C-880A-5EA971490775}">
  <dimension ref="A1:AG36"/>
  <sheetViews>
    <sheetView workbookViewId="0">
      <selection activeCell="B3" sqref="B3"/>
    </sheetView>
  </sheetViews>
  <sheetFormatPr defaultRowHeight="15" x14ac:dyDescent="0.25"/>
  <cols>
    <col min="2" max="2" width="23.140625" bestFit="1" customWidth="1"/>
    <col min="4" max="4" width="21.85546875" bestFit="1" customWidth="1"/>
    <col min="7" max="7" width="13.28515625" bestFit="1" customWidth="1"/>
    <col min="14" max="14" width="19.85546875" bestFit="1" customWidth="1"/>
    <col min="15" max="15" width="15.28515625" bestFit="1" customWidth="1"/>
    <col min="16" max="16" width="19.7109375" bestFit="1" customWidth="1"/>
    <col min="17" max="17" width="13.5703125" bestFit="1" customWidth="1"/>
  </cols>
  <sheetData>
    <row r="1" spans="1:33" x14ac:dyDescent="0.25">
      <c r="B1" t="s">
        <v>203</v>
      </c>
      <c r="C1" t="s">
        <v>204</v>
      </c>
      <c r="D1" t="s">
        <v>464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178</v>
      </c>
      <c r="L1" t="s">
        <v>211</v>
      </c>
      <c r="M1" t="s">
        <v>212</v>
      </c>
      <c r="N1" t="s">
        <v>213</v>
      </c>
      <c r="O1" t="s">
        <v>214</v>
      </c>
      <c r="P1" t="s">
        <v>215</v>
      </c>
      <c r="Q1" t="s">
        <v>216</v>
      </c>
      <c r="R1" t="s">
        <v>217</v>
      </c>
      <c r="S1" t="s">
        <v>218</v>
      </c>
      <c r="T1" t="s">
        <v>219</v>
      </c>
      <c r="U1" t="s">
        <v>220</v>
      </c>
      <c r="V1" t="s">
        <v>221</v>
      </c>
      <c r="W1" t="s">
        <v>222</v>
      </c>
      <c r="X1" t="s">
        <v>223</v>
      </c>
      <c r="Y1" t="s">
        <v>224</v>
      </c>
      <c r="Z1" t="s">
        <v>225</v>
      </c>
      <c r="AA1" t="s">
        <v>226</v>
      </c>
      <c r="AB1" t="s">
        <v>227</v>
      </c>
      <c r="AC1" t="s">
        <v>228</v>
      </c>
      <c r="AD1" t="s">
        <v>229</v>
      </c>
      <c r="AE1" t="s">
        <v>499</v>
      </c>
      <c r="AF1" t="s">
        <v>500</v>
      </c>
      <c r="AG1" t="s">
        <v>512</v>
      </c>
    </row>
    <row r="2" spans="1:33" s="49" customFormat="1" x14ac:dyDescent="0.25">
      <c r="B2" s="49" t="s">
        <v>451</v>
      </c>
      <c r="G2" s="50">
        <v>46239</v>
      </c>
      <c r="U2" s="49" t="s">
        <v>18</v>
      </c>
      <c r="V2" s="49" t="s">
        <v>48</v>
      </c>
      <c r="AE2" s="49">
        <v>1</v>
      </c>
      <c r="AG2" s="49">
        <f>VLOOKUP(U2,afra_scale,2,FALSE)</f>
        <v>2000</v>
      </c>
    </row>
    <row r="3" spans="1:33" x14ac:dyDescent="0.25">
      <c r="B3" t="s">
        <v>506</v>
      </c>
      <c r="C3">
        <v>9514561</v>
      </c>
      <c r="D3" t="s">
        <v>18</v>
      </c>
      <c r="E3" t="s">
        <v>302</v>
      </c>
      <c r="F3" t="s">
        <v>232</v>
      </c>
      <c r="G3" s="2">
        <v>46238</v>
      </c>
      <c r="H3" t="s">
        <v>252</v>
      </c>
      <c r="I3" t="s">
        <v>234</v>
      </c>
      <c r="K3">
        <v>0</v>
      </c>
      <c r="L3" t="s">
        <v>236</v>
      </c>
      <c r="M3" t="s">
        <v>508</v>
      </c>
      <c r="N3" t="s">
        <v>254</v>
      </c>
      <c r="O3" t="s">
        <v>509</v>
      </c>
      <c r="P3" t="s">
        <v>238</v>
      </c>
      <c r="Q3">
        <v>297491</v>
      </c>
      <c r="R3" s="26">
        <v>2011</v>
      </c>
      <c r="S3" t="s">
        <v>247</v>
      </c>
      <c r="T3">
        <v>297.49099999999999</v>
      </c>
      <c r="U3" t="s">
        <v>18</v>
      </c>
      <c r="V3" t="s">
        <v>48</v>
      </c>
      <c r="W3" t="s">
        <v>241</v>
      </c>
      <c r="X3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s">
        <v>242</v>
      </c>
      <c r="AE3">
        <v>1</v>
      </c>
      <c r="AG3">
        <f>VLOOKUP(U3,afra_scale,2,FALSE)</f>
        <v>2000</v>
      </c>
    </row>
    <row r="4" spans="1:33" x14ac:dyDescent="0.25">
      <c r="B4" t="s">
        <v>125</v>
      </c>
      <c r="C4">
        <v>9176993</v>
      </c>
      <c r="D4" t="s">
        <v>18</v>
      </c>
      <c r="E4" t="s">
        <v>510</v>
      </c>
      <c r="F4" t="s">
        <v>232</v>
      </c>
      <c r="G4" s="2">
        <v>46236</v>
      </c>
      <c r="H4" t="s">
        <v>252</v>
      </c>
      <c r="I4" t="s">
        <v>234</v>
      </c>
      <c r="K4">
        <v>0</v>
      </c>
      <c r="L4" t="s">
        <v>236</v>
      </c>
      <c r="M4" t="s">
        <v>273</v>
      </c>
      <c r="N4" t="s">
        <v>259</v>
      </c>
      <c r="O4" t="s">
        <v>23</v>
      </c>
      <c r="P4" t="s">
        <v>307</v>
      </c>
      <c r="Q4">
        <v>298620</v>
      </c>
      <c r="R4" s="26">
        <v>2000</v>
      </c>
      <c r="S4" t="s">
        <v>239</v>
      </c>
      <c r="T4">
        <v>298.62</v>
      </c>
      <c r="U4" t="s">
        <v>18</v>
      </c>
      <c r="V4" t="s">
        <v>48</v>
      </c>
      <c r="W4" t="s">
        <v>241</v>
      </c>
      <c r="X4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s">
        <v>242</v>
      </c>
      <c r="AE4">
        <v>1</v>
      </c>
      <c r="AG4">
        <f>VLOOKUP(U4,afra_scale,2,FALSE)</f>
        <v>2000</v>
      </c>
    </row>
    <row r="5" spans="1:33" x14ac:dyDescent="0.25">
      <c r="B5" t="s">
        <v>503</v>
      </c>
      <c r="C5">
        <v>9324100</v>
      </c>
      <c r="D5" t="s">
        <v>18</v>
      </c>
      <c r="E5" t="s">
        <v>511</v>
      </c>
      <c r="F5" t="s">
        <v>232</v>
      </c>
      <c r="G5" s="2">
        <v>46235</v>
      </c>
      <c r="H5" t="s">
        <v>252</v>
      </c>
      <c r="I5" t="s">
        <v>234</v>
      </c>
      <c r="K5">
        <v>0</v>
      </c>
      <c r="L5" t="s">
        <v>236</v>
      </c>
      <c r="M5" t="s">
        <v>273</v>
      </c>
      <c r="N5" t="s">
        <v>259</v>
      </c>
      <c r="O5" t="s">
        <v>504</v>
      </c>
      <c r="P5" t="s">
        <v>271</v>
      </c>
      <c r="Q5">
        <v>302478</v>
      </c>
      <c r="R5" s="26">
        <v>2006</v>
      </c>
      <c r="S5" t="s">
        <v>239</v>
      </c>
      <c r="T5">
        <v>302.47800000000001</v>
      </c>
      <c r="U5" t="s">
        <v>18</v>
      </c>
      <c r="V5" t="s">
        <v>48</v>
      </c>
      <c r="W5" t="s">
        <v>241</v>
      </c>
      <c r="X5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s">
        <v>242</v>
      </c>
      <c r="AE5">
        <v>1</v>
      </c>
      <c r="AG5">
        <f>VLOOKUP(U5,afra_scale,2,FALSE)</f>
        <v>2000</v>
      </c>
    </row>
    <row r="6" spans="1:33" x14ac:dyDescent="0.25">
      <c r="B6" t="s">
        <v>21</v>
      </c>
      <c r="C6">
        <v>9419618</v>
      </c>
      <c r="D6" t="s">
        <v>18</v>
      </c>
      <c r="E6" t="s">
        <v>302</v>
      </c>
      <c r="F6" t="s">
        <v>232</v>
      </c>
      <c r="G6" s="2">
        <v>46234</v>
      </c>
      <c r="H6" t="s">
        <v>252</v>
      </c>
      <c r="I6" t="s">
        <v>234</v>
      </c>
      <c r="K6">
        <v>0</v>
      </c>
      <c r="L6" t="s">
        <v>236</v>
      </c>
      <c r="M6" t="s">
        <v>273</v>
      </c>
      <c r="N6" t="s">
        <v>259</v>
      </c>
      <c r="O6" t="s">
        <v>23</v>
      </c>
      <c r="P6" t="s">
        <v>307</v>
      </c>
      <c r="Q6">
        <v>313525</v>
      </c>
      <c r="R6" s="26">
        <v>2009</v>
      </c>
      <c r="S6" t="s">
        <v>255</v>
      </c>
      <c r="T6">
        <v>313.52499999999998</v>
      </c>
      <c r="U6" t="s">
        <v>18</v>
      </c>
      <c r="V6" t="s">
        <v>48</v>
      </c>
      <c r="W6" t="s">
        <v>241</v>
      </c>
      <c r="X6">
        <v>0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s">
        <v>242</v>
      </c>
      <c r="AE6">
        <v>1</v>
      </c>
      <c r="AG6">
        <f>VLOOKUP(U6,afra_scale,2,FALSE)</f>
        <v>2000</v>
      </c>
    </row>
    <row r="7" spans="1:33" x14ac:dyDescent="0.25">
      <c r="A7" s="6"/>
      <c r="B7" s="6" t="s">
        <v>465</v>
      </c>
      <c r="C7" s="6">
        <v>9413688</v>
      </c>
      <c r="D7" s="6" t="s">
        <v>466</v>
      </c>
      <c r="E7" s="6" t="s">
        <v>302</v>
      </c>
      <c r="F7" s="6" t="s">
        <v>232</v>
      </c>
      <c r="G7" s="7">
        <v>46234</v>
      </c>
      <c r="H7" s="6" t="s">
        <v>252</v>
      </c>
      <c r="I7" s="6" t="s">
        <v>234</v>
      </c>
      <c r="J7" s="6"/>
      <c r="K7" s="6">
        <v>0</v>
      </c>
      <c r="L7" s="6" t="s">
        <v>236</v>
      </c>
      <c r="M7" s="6" t="s">
        <v>467</v>
      </c>
      <c r="N7" s="6" t="s">
        <v>254</v>
      </c>
      <c r="O7" s="6"/>
      <c r="P7" s="6"/>
      <c r="Q7" s="6">
        <v>115928</v>
      </c>
      <c r="R7" s="44">
        <v>2009</v>
      </c>
      <c r="S7" s="6" t="s">
        <v>255</v>
      </c>
      <c r="T7" s="6">
        <v>115.928</v>
      </c>
      <c r="U7" s="6" t="s">
        <v>306</v>
      </c>
      <c r="V7" s="6" t="s">
        <v>48</v>
      </c>
      <c r="W7" s="6" t="s">
        <v>241</v>
      </c>
      <c r="X7" s="6">
        <v>0</v>
      </c>
      <c r="Y7" s="6" t="b">
        <v>0</v>
      </c>
      <c r="Z7" s="6" t="b">
        <v>0</v>
      </c>
      <c r="AA7" s="6" t="b">
        <v>0</v>
      </c>
      <c r="AB7" s="6" t="b">
        <v>1</v>
      </c>
      <c r="AC7" s="6" t="b">
        <v>0</v>
      </c>
      <c r="AD7" s="6" t="s">
        <v>242</v>
      </c>
      <c r="AF7">
        <v>1</v>
      </c>
      <c r="AG7">
        <f>VLOOKUP(U7,afra_scale,2,FALSE)</f>
        <v>800</v>
      </c>
    </row>
    <row r="8" spans="1:33" x14ac:dyDescent="0.25">
      <c r="A8" s="6"/>
      <c r="B8" s="6" t="s">
        <v>468</v>
      </c>
      <c r="C8" s="6">
        <v>9893228</v>
      </c>
      <c r="D8" s="6" t="s">
        <v>466</v>
      </c>
      <c r="E8" s="6" t="s">
        <v>250</v>
      </c>
      <c r="F8" s="6" t="s">
        <v>232</v>
      </c>
      <c r="G8" s="7">
        <v>46232</v>
      </c>
      <c r="H8" s="6" t="s">
        <v>252</v>
      </c>
      <c r="I8" s="6" t="s">
        <v>234</v>
      </c>
      <c r="J8" s="6"/>
      <c r="K8" s="6">
        <v>0</v>
      </c>
      <c r="L8" s="6" t="s">
        <v>236</v>
      </c>
      <c r="M8" s="6" t="s">
        <v>469</v>
      </c>
      <c r="N8" s="6" t="s">
        <v>470</v>
      </c>
      <c r="O8" s="6"/>
      <c r="P8" s="6"/>
      <c r="Q8" s="6">
        <v>114623</v>
      </c>
      <c r="R8" s="44">
        <v>2021</v>
      </c>
      <c r="S8" s="6" t="s">
        <v>255</v>
      </c>
      <c r="T8" s="6">
        <v>114.623</v>
      </c>
      <c r="U8" s="6" t="s">
        <v>306</v>
      </c>
      <c r="V8" s="6" t="s">
        <v>48</v>
      </c>
      <c r="W8" s="6" t="s">
        <v>241</v>
      </c>
      <c r="X8" s="6">
        <v>0</v>
      </c>
      <c r="Y8" s="6" t="b">
        <v>0</v>
      </c>
      <c r="Z8" s="6" t="b">
        <v>0</v>
      </c>
      <c r="AA8" s="6" t="b">
        <v>0</v>
      </c>
      <c r="AB8" s="6" t="b">
        <v>1</v>
      </c>
      <c r="AC8" s="6" t="b">
        <v>0</v>
      </c>
      <c r="AD8" s="6" t="s">
        <v>242</v>
      </c>
      <c r="AF8">
        <v>1</v>
      </c>
      <c r="AG8">
        <f>VLOOKUP(U8,afra_scale,2,FALSE)</f>
        <v>800</v>
      </c>
    </row>
    <row r="9" spans="1:33" x14ac:dyDescent="0.25">
      <c r="B9" t="s">
        <v>471</v>
      </c>
      <c r="C9">
        <v>9828390</v>
      </c>
      <c r="D9" t="s">
        <v>466</v>
      </c>
      <c r="E9" t="s">
        <v>302</v>
      </c>
      <c r="F9" t="s">
        <v>232</v>
      </c>
      <c r="G9" s="2">
        <v>46232</v>
      </c>
      <c r="H9" t="s">
        <v>252</v>
      </c>
      <c r="I9" t="s">
        <v>234</v>
      </c>
      <c r="K9">
        <v>0</v>
      </c>
      <c r="L9" t="s">
        <v>236</v>
      </c>
      <c r="M9" t="s">
        <v>472</v>
      </c>
      <c r="N9" t="s">
        <v>473</v>
      </c>
      <c r="O9" t="s">
        <v>171</v>
      </c>
      <c r="P9" t="s">
        <v>238</v>
      </c>
      <c r="Q9">
        <v>115000</v>
      </c>
      <c r="R9" s="26">
        <v>2021</v>
      </c>
      <c r="S9" t="s">
        <v>247</v>
      </c>
      <c r="T9">
        <v>115</v>
      </c>
      <c r="U9" t="s">
        <v>306</v>
      </c>
      <c r="V9" t="s">
        <v>48</v>
      </c>
      <c r="W9" t="s">
        <v>241</v>
      </c>
      <c r="X9">
        <v>0</v>
      </c>
      <c r="Y9" t="b">
        <v>0</v>
      </c>
      <c r="Z9" t="b">
        <v>0</v>
      </c>
      <c r="AA9" t="b">
        <v>0</v>
      </c>
      <c r="AB9" t="b">
        <v>1</v>
      </c>
      <c r="AC9" t="b">
        <v>0</v>
      </c>
      <c r="AD9" t="s">
        <v>242</v>
      </c>
      <c r="AE9">
        <v>1</v>
      </c>
      <c r="AG9">
        <f>VLOOKUP(U9,afra_scale,2,FALSE)</f>
        <v>800</v>
      </c>
    </row>
    <row r="10" spans="1:33" x14ac:dyDescent="0.25">
      <c r="B10" t="s">
        <v>27</v>
      </c>
      <c r="C10">
        <v>9920758</v>
      </c>
      <c r="D10" t="s">
        <v>18</v>
      </c>
      <c r="E10" t="s">
        <v>277</v>
      </c>
      <c r="F10" t="s">
        <v>232</v>
      </c>
      <c r="G10" s="2">
        <v>46231</v>
      </c>
      <c r="H10" t="s">
        <v>252</v>
      </c>
      <c r="I10" t="s">
        <v>234</v>
      </c>
      <c r="K10">
        <v>0</v>
      </c>
      <c r="L10" t="s">
        <v>236</v>
      </c>
      <c r="M10" t="s">
        <v>237</v>
      </c>
      <c r="N10" t="s">
        <v>238</v>
      </c>
      <c r="Q10">
        <v>300323</v>
      </c>
      <c r="R10" s="26">
        <v>2022</v>
      </c>
      <c r="S10" t="s">
        <v>255</v>
      </c>
      <c r="T10">
        <v>300.32299999999998</v>
      </c>
      <c r="U10" t="s">
        <v>18</v>
      </c>
      <c r="V10" t="s">
        <v>48</v>
      </c>
      <c r="W10" t="s">
        <v>241</v>
      </c>
      <c r="X10">
        <v>0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D10" t="s">
        <v>242</v>
      </c>
      <c r="AE10">
        <v>1</v>
      </c>
      <c r="AG10">
        <f>VLOOKUP(U10,afra_scale,2,FALSE)</f>
        <v>2000</v>
      </c>
    </row>
    <row r="11" spans="1:33" x14ac:dyDescent="0.25">
      <c r="B11" t="s">
        <v>100</v>
      </c>
      <c r="C11">
        <v>9508859</v>
      </c>
      <c r="D11" t="s">
        <v>18</v>
      </c>
      <c r="E11" t="s">
        <v>302</v>
      </c>
      <c r="F11" t="s">
        <v>232</v>
      </c>
      <c r="G11" s="2">
        <v>46230</v>
      </c>
      <c r="H11" t="s">
        <v>252</v>
      </c>
      <c r="I11" t="s">
        <v>234</v>
      </c>
      <c r="K11">
        <v>0</v>
      </c>
      <c r="L11" t="s">
        <v>236</v>
      </c>
      <c r="M11" t="s">
        <v>47</v>
      </c>
      <c r="N11" t="s">
        <v>238</v>
      </c>
      <c r="O11" t="s">
        <v>44</v>
      </c>
      <c r="P11" t="s">
        <v>238</v>
      </c>
      <c r="Q11">
        <v>296659</v>
      </c>
      <c r="R11" s="26">
        <v>2010</v>
      </c>
      <c r="S11" t="s">
        <v>247</v>
      </c>
      <c r="T11">
        <v>296.65899999999999</v>
      </c>
      <c r="U11" t="s">
        <v>18</v>
      </c>
      <c r="V11" t="s">
        <v>48</v>
      </c>
      <c r="W11" t="s">
        <v>241</v>
      </c>
      <c r="X11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s">
        <v>242</v>
      </c>
      <c r="AE11">
        <v>1</v>
      </c>
      <c r="AG11">
        <f>VLOOKUP(U11,afra_scale,2,FALSE)</f>
        <v>2000</v>
      </c>
    </row>
    <row r="12" spans="1:33" x14ac:dyDescent="0.25">
      <c r="B12" t="s">
        <v>332</v>
      </c>
      <c r="C12">
        <v>9228655</v>
      </c>
      <c r="D12" t="s">
        <v>474</v>
      </c>
      <c r="E12" t="s">
        <v>475</v>
      </c>
      <c r="F12" t="s">
        <v>232</v>
      </c>
      <c r="G12" s="2">
        <v>46229</v>
      </c>
      <c r="H12" t="s">
        <v>252</v>
      </c>
      <c r="I12" t="s">
        <v>234</v>
      </c>
      <c r="K12">
        <v>0</v>
      </c>
      <c r="L12" t="s">
        <v>236</v>
      </c>
      <c r="M12" t="s">
        <v>54</v>
      </c>
      <c r="N12" t="s">
        <v>389</v>
      </c>
      <c r="O12" t="s">
        <v>23</v>
      </c>
      <c r="P12" t="s">
        <v>307</v>
      </c>
      <c r="Q12">
        <v>159997</v>
      </c>
      <c r="R12" s="26">
        <v>2003</v>
      </c>
      <c r="S12" t="s">
        <v>255</v>
      </c>
      <c r="T12">
        <v>159.99700000000001</v>
      </c>
      <c r="U12" t="s">
        <v>476</v>
      </c>
      <c r="V12" t="s">
        <v>48</v>
      </c>
      <c r="W12" t="s">
        <v>241</v>
      </c>
      <c r="X12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s">
        <v>242</v>
      </c>
      <c r="AE12">
        <v>1</v>
      </c>
      <c r="AG12">
        <f>VLOOKUP(U12,afra_scale,2,FALSE)</f>
        <v>1000</v>
      </c>
    </row>
    <row r="13" spans="1:33" x14ac:dyDescent="0.25">
      <c r="B13" t="s">
        <v>431</v>
      </c>
      <c r="C13">
        <v>9220964</v>
      </c>
      <c r="D13" t="s">
        <v>18</v>
      </c>
      <c r="E13" t="s">
        <v>277</v>
      </c>
      <c r="F13" t="s">
        <v>232</v>
      </c>
      <c r="G13" s="2">
        <v>46229</v>
      </c>
      <c r="H13" t="s">
        <v>252</v>
      </c>
      <c r="I13" t="s">
        <v>278</v>
      </c>
      <c r="J13" t="s">
        <v>291</v>
      </c>
      <c r="K13">
        <v>46834</v>
      </c>
      <c r="L13" t="s">
        <v>236</v>
      </c>
      <c r="M13" t="s">
        <v>237</v>
      </c>
      <c r="N13" t="s">
        <v>238</v>
      </c>
      <c r="Q13">
        <v>302977</v>
      </c>
      <c r="R13" s="26">
        <v>2002</v>
      </c>
      <c r="S13" t="s">
        <v>255</v>
      </c>
      <c r="T13">
        <v>302.97699999999998</v>
      </c>
      <c r="U13" t="s">
        <v>18</v>
      </c>
      <c r="V13" t="s">
        <v>281</v>
      </c>
      <c r="W13" t="s">
        <v>282</v>
      </c>
      <c r="X13">
        <v>46834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s">
        <v>242</v>
      </c>
      <c r="AE13">
        <v>1</v>
      </c>
      <c r="AG13">
        <f>VLOOKUP(U13,afra_scale,2,FALSE)</f>
        <v>2000</v>
      </c>
    </row>
    <row r="14" spans="1:33" x14ac:dyDescent="0.25">
      <c r="B14" t="s">
        <v>477</v>
      </c>
      <c r="C14">
        <v>9853852</v>
      </c>
      <c r="D14" t="s">
        <v>18</v>
      </c>
      <c r="E14" t="s">
        <v>277</v>
      </c>
      <c r="F14" t="s">
        <v>232</v>
      </c>
      <c r="G14" s="2">
        <v>46228</v>
      </c>
      <c r="H14" t="s">
        <v>252</v>
      </c>
      <c r="I14" t="s">
        <v>234</v>
      </c>
      <c r="K14">
        <v>0</v>
      </c>
      <c r="L14" t="s">
        <v>236</v>
      </c>
      <c r="M14" t="s">
        <v>478</v>
      </c>
      <c r="N14" t="s">
        <v>303</v>
      </c>
      <c r="O14" t="s">
        <v>426</v>
      </c>
      <c r="P14" t="s">
        <v>271</v>
      </c>
      <c r="Q14">
        <v>318744</v>
      </c>
      <c r="R14" s="26">
        <v>2019</v>
      </c>
      <c r="S14" t="s">
        <v>255</v>
      </c>
      <c r="T14">
        <v>318.74400000000003</v>
      </c>
      <c r="U14" t="s">
        <v>18</v>
      </c>
      <c r="V14" t="s">
        <v>48</v>
      </c>
      <c r="W14" t="s">
        <v>241</v>
      </c>
      <c r="X14">
        <v>0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s">
        <v>242</v>
      </c>
      <c r="AE14">
        <v>1</v>
      </c>
      <c r="AG14">
        <f>VLOOKUP(U14,afra_scale,2,FALSE)</f>
        <v>2000</v>
      </c>
    </row>
    <row r="15" spans="1:33" x14ac:dyDescent="0.25">
      <c r="B15" t="s">
        <v>337</v>
      </c>
      <c r="C15">
        <v>9389253</v>
      </c>
      <c r="D15" t="s">
        <v>18</v>
      </c>
      <c r="E15" t="s">
        <v>479</v>
      </c>
      <c r="F15" t="s">
        <v>232</v>
      </c>
      <c r="G15" s="2">
        <v>46226</v>
      </c>
      <c r="H15" t="s">
        <v>233</v>
      </c>
      <c r="I15" t="s">
        <v>234</v>
      </c>
      <c r="K15">
        <v>0</v>
      </c>
      <c r="L15" t="s">
        <v>236</v>
      </c>
      <c r="M15" t="s">
        <v>480</v>
      </c>
      <c r="N15" t="s">
        <v>390</v>
      </c>
      <c r="O15" t="s">
        <v>23</v>
      </c>
      <c r="P15" t="s">
        <v>307</v>
      </c>
      <c r="Q15">
        <v>318440</v>
      </c>
      <c r="R15" s="26">
        <v>2009</v>
      </c>
      <c r="S15" t="s">
        <v>255</v>
      </c>
      <c r="T15">
        <v>318.44</v>
      </c>
      <c r="U15" t="s">
        <v>18</v>
      </c>
      <c r="V15" t="s">
        <v>48</v>
      </c>
      <c r="W15" t="s">
        <v>241</v>
      </c>
      <c r="X15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s">
        <v>242</v>
      </c>
      <c r="AE15">
        <v>1</v>
      </c>
      <c r="AG15">
        <f>VLOOKUP(U15,afra_scale,2,FALSE)</f>
        <v>2000</v>
      </c>
    </row>
    <row r="16" spans="1:33" x14ac:dyDescent="0.25">
      <c r="A16" s="41"/>
      <c r="B16" s="41" t="s">
        <v>481</v>
      </c>
      <c r="C16" s="41">
        <v>9823534</v>
      </c>
      <c r="D16" s="41" t="s">
        <v>466</v>
      </c>
      <c r="E16" s="41" t="s">
        <v>302</v>
      </c>
      <c r="F16" s="41" t="s">
        <v>232</v>
      </c>
      <c r="G16" s="42">
        <v>46224</v>
      </c>
      <c r="H16" s="41" t="s">
        <v>252</v>
      </c>
      <c r="I16" s="41" t="s">
        <v>234</v>
      </c>
      <c r="J16" s="41"/>
      <c r="K16" s="41">
        <v>0</v>
      </c>
      <c r="L16" s="41" t="s">
        <v>236</v>
      </c>
      <c r="M16" s="41" t="s">
        <v>273</v>
      </c>
      <c r="N16" s="41" t="s">
        <v>259</v>
      </c>
      <c r="O16" s="41" t="s">
        <v>171</v>
      </c>
      <c r="P16" s="41" t="s">
        <v>238</v>
      </c>
      <c r="Q16" s="41">
        <v>114644</v>
      </c>
      <c r="R16" s="43">
        <v>2021</v>
      </c>
      <c r="S16" s="41" t="s">
        <v>247</v>
      </c>
      <c r="T16" s="41">
        <v>114.64400000000001</v>
      </c>
      <c r="U16" s="41" t="s">
        <v>306</v>
      </c>
      <c r="V16" s="41" t="s">
        <v>48</v>
      </c>
      <c r="W16" s="41" t="s">
        <v>241</v>
      </c>
      <c r="X16" s="41">
        <v>0</v>
      </c>
      <c r="Y16" s="41" t="b">
        <v>0</v>
      </c>
      <c r="Z16" s="41" t="b">
        <v>0</v>
      </c>
      <c r="AA16" s="41" t="b">
        <v>0</v>
      </c>
      <c r="AB16" s="41" t="b">
        <v>1</v>
      </c>
      <c r="AC16" s="41" t="b">
        <v>0</v>
      </c>
      <c r="AD16" s="41" t="s">
        <v>242</v>
      </c>
      <c r="AF16">
        <v>1</v>
      </c>
      <c r="AG16">
        <f>VLOOKUP(U16,afra_scale,2,FALSE)</f>
        <v>800</v>
      </c>
    </row>
    <row r="17" spans="1:33" x14ac:dyDescent="0.25">
      <c r="A17" s="41"/>
      <c r="B17" s="41" t="s">
        <v>286</v>
      </c>
      <c r="C17" s="41">
        <v>9653410</v>
      </c>
      <c r="D17" s="41" t="s">
        <v>18</v>
      </c>
      <c r="E17" s="41" t="s">
        <v>287</v>
      </c>
      <c r="F17" s="41" t="s">
        <v>232</v>
      </c>
      <c r="G17" s="42">
        <v>46223</v>
      </c>
      <c r="H17" s="41" t="s">
        <v>252</v>
      </c>
      <c r="I17" s="41" t="s">
        <v>234</v>
      </c>
      <c r="J17" s="41"/>
      <c r="K17" s="41">
        <v>0</v>
      </c>
      <c r="L17" s="41" t="s">
        <v>236</v>
      </c>
      <c r="M17" s="41" t="s">
        <v>273</v>
      </c>
      <c r="N17" s="41" t="s">
        <v>259</v>
      </c>
      <c r="O17" s="41" t="s">
        <v>65</v>
      </c>
      <c r="P17" s="41" t="s">
        <v>66</v>
      </c>
      <c r="Q17" s="41">
        <v>316884</v>
      </c>
      <c r="R17" s="43">
        <v>2014</v>
      </c>
      <c r="S17" s="41" t="s">
        <v>255</v>
      </c>
      <c r="T17" s="41">
        <v>316.88400000000001</v>
      </c>
      <c r="U17" s="41" t="s">
        <v>18</v>
      </c>
      <c r="V17" s="41" t="s">
        <v>48</v>
      </c>
      <c r="W17" s="41" t="s">
        <v>241</v>
      </c>
      <c r="X17" s="41">
        <v>0</v>
      </c>
      <c r="Y17" s="41" t="b">
        <v>0</v>
      </c>
      <c r="Z17" s="41" t="b">
        <v>0</v>
      </c>
      <c r="AA17" s="41" t="b">
        <v>0</v>
      </c>
      <c r="AB17" s="41" t="b">
        <v>1</v>
      </c>
      <c r="AC17" s="41" t="b">
        <v>0</v>
      </c>
      <c r="AD17" s="41" t="s">
        <v>242</v>
      </c>
      <c r="AF17">
        <v>1</v>
      </c>
      <c r="AG17">
        <f>VLOOKUP(U17,afra_scale,2,FALSE)</f>
        <v>2000</v>
      </c>
    </row>
    <row r="18" spans="1:33" x14ac:dyDescent="0.25">
      <c r="B18" t="s">
        <v>43</v>
      </c>
      <c r="C18">
        <v>9623685</v>
      </c>
      <c r="D18" t="s">
        <v>18</v>
      </c>
      <c r="E18" t="s">
        <v>302</v>
      </c>
      <c r="F18" t="s">
        <v>232</v>
      </c>
      <c r="G18" s="2">
        <v>46223</v>
      </c>
      <c r="H18" t="s">
        <v>252</v>
      </c>
      <c r="I18" t="s">
        <v>234</v>
      </c>
      <c r="K18">
        <v>0</v>
      </c>
      <c r="L18" t="s">
        <v>236</v>
      </c>
      <c r="M18" t="s">
        <v>273</v>
      </c>
      <c r="N18" t="s">
        <v>259</v>
      </c>
      <c r="O18" t="s">
        <v>202</v>
      </c>
      <c r="P18" t="s">
        <v>238</v>
      </c>
      <c r="Q18">
        <v>299999</v>
      </c>
      <c r="R18" s="26">
        <v>2012</v>
      </c>
      <c r="S18" t="s">
        <v>255</v>
      </c>
      <c r="T18">
        <v>299.99900000000002</v>
      </c>
      <c r="U18" t="s">
        <v>18</v>
      </c>
      <c r="V18" t="s">
        <v>48</v>
      </c>
      <c r="W18" t="s">
        <v>241</v>
      </c>
      <c r="X18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s">
        <v>242</v>
      </c>
      <c r="AE18">
        <v>1</v>
      </c>
      <c r="AG18">
        <f>VLOOKUP(U18,afra_scale,2,FALSE)</f>
        <v>2000</v>
      </c>
    </row>
    <row r="19" spans="1:33" x14ac:dyDescent="0.25">
      <c r="B19" t="s">
        <v>72</v>
      </c>
      <c r="C19">
        <v>9596947</v>
      </c>
      <c r="D19" t="s">
        <v>18</v>
      </c>
      <c r="E19" t="s">
        <v>302</v>
      </c>
      <c r="F19" t="s">
        <v>232</v>
      </c>
      <c r="G19" s="2">
        <v>46223</v>
      </c>
      <c r="H19" t="s">
        <v>252</v>
      </c>
      <c r="I19" t="s">
        <v>234</v>
      </c>
      <c r="K19">
        <v>0</v>
      </c>
      <c r="L19" t="s">
        <v>236</v>
      </c>
      <c r="M19" t="s">
        <v>237</v>
      </c>
      <c r="N19" t="s">
        <v>238</v>
      </c>
      <c r="O19" t="s">
        <v>23</v>
      </c>
      <c r="P19" t="s">
        <v>307</v>
      </c>
      <c r="Q19">
        <v>299999</v>
      </c>
      <c r="R19" s="26">
        <v>2012</v>
      </c>
      <c r="S19" t="s">
        <v>255</v>
      </c>
      <c r="T19">
        <v>299.99900000000002</v>
      </c>
      <c r="U19" t="s">
        <v>18</v>
      </c>
      <c r="V19" t="s">
        <v>48</v>
      </c>
      <c r="W19" t="s">
        <v>241</v>
      </c>
      <c r="X19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s">
        <v>242</v>
      </c>
      <c r="AE19">
        <v>1</v>
      </c>
      <c r="AG19">
        <f>VLOOKUP(U19,afra_scale,2,FALSE)</f>
        <v>2000</v>
      </c>
    </row>
    <row r="20" spans="1:33" x14ac:dyDescent="0.25">
      <c r="A20" s="41"/>
      <c r="B20" s="41" t="s">
        <v>85</v>
      </c>
      <c r="C20" s="41">
        <v>9595216</v>
      </c>
      <c r="D20" s="41" t="s">
        <v>18</v>
      </c>
      <c r="E20" s="41" t="s">
        <v>302</v>
      </c>
      <c r="F20" s="41" t="s">
        <v>232</v>
      </c>
      <c r="G20" s="42">
        <v>46223</v>
      </c>
      <c r="H20" s="41" t="s">
        <v>252</v>
      </c>
      <c r="I20" s="41" t="s">
        <v>234</v>
      </c>
      <c r="J20" s="41"/>
      <c r="K20" s="41">
        <v>0</v>
      </c>
      <c r="L20" s="41" t="s">
        <v>236</v>
      </c>
      <c r="M20" s="41" t="s">
        <v>237</v>
      </c>
      <c r="N20" s="41" t="s">
        <v>238</v>
      </c>
      <c r="O20" s="41" t="s">
        <v>171</v>
      </c>
      <c r="P20" s="41" t="s">
        <v>238</v>
      </c>
      <c r="Q20" s="41">
        <v>299996</v>
      </c>
      <c r="R20" s="43">
        <v>2012</v>
      </c>
      <c r="S20" s="41" t="s">
        <v>247</v>
      </c>
      <c r="T20" s="41">
        <v>299.99599999999998</v>
      </c>
      <c r="U20" s="41" t="s">
        <v>18</v>
      </c>
      <c r="V20" s="41" t="s">
        <v>48</v>
      </c>
      <c r="W20" s="41" t="s">
        <v>241</v>
      </c>
      <c r="X20" s="41">
        <v>0</v>
      </c>
      <c r="Y20" s="41" t="b">
        <v>0</v>
      </c>
      <c r="Z20" s="41" t="b">
        <v>0</v>
      </c>
      <c r="AA20" s="41" t="b">
        <v>0</v>
      </c>
      <c r="AB20" s="41" t="b">
        <v>1</v>
      </c>
      <c r="AC20" s="41" t="b">
        <v>0</v>
      </c>
      <c r="AD20" s="41" t="s">
        <v>242</v>
      </c>
      <c r="AF20">
        <v>1</v>
      </c>
      <c r="AG20">
        <f>VLOOKUP(U20,afra_scale,2,FALSE)</f>
        <v>2000</v>
      </c>
    </row>
    <row r="21" spans="1:33" x14ac:dyDescent="0.25">
      <c r="A21" s="45"/>
      <c r="B21" s="45" t="s">
        <v>49</v>
      </c>
      <c r="C21" s="45">
        <v>9322281</v>
      </c>
      <c r="D21" s="45" t="s">
        <v>18</v>
      </c>
      <c r="E21" s="45" t="s">
        <v>302</v>
      </c>
      <c r="F21" s="45" t="s">
        <v>232</v>
      </c>
      <c r="G21" s="46">
        <v>46223</v>
      </c>
      <c r="H21" s="45" t="s">
        <v>252</v>
      </c>
      <c r="I21" s="45" t="s">
        <v>234</v>
      </c>
      <c r="J21" s="45"/>
      <c r="K21" s="45">
        <v>0</v>
      </c>
      <c r="L21" s="45" t="s">
        <v>236</v>
      </c>
      <c r="M21" s="45" t="s">
        <v>273</v>
      </c>
      <c r="N21" s="45" t="s">
        <v>259</v>
      </c>
      <c r="O21" s="45" t="s">
        <v>202</v>
      </c>
      <c r="P21" s="45" t="s">
        <v>238</v>
      </c>
      <c r="Q21" s="45">
        <v>306506</v>
      </c>
      <c r="R21" s="47">
        <v>2007</v>
      </c>
      <c r="S21" s="45" t="s">
        <v>255</v>
      </c>
      <c r="T21" s="45">
        <v>306.50599999999997</v>
      </c>
      <c r="U21" s="45" t="s">
        <v>18</v>
      </c>
      <c r="V21" s="45" t="s">
        <v>48</v>
      </c>
      <c r="W21" s="45" t="s">
        <v>241</v>
      </c>
      <c r="X21" s="45">
        <v>0</v>
      </c>
      <c r="Y21" s="45" t="b">
        <v>0</v>
      </c>
      <c r="Z21" s="45" t="b">
        <v>0</v>
      </c>
      <c r="AA21" s="45" t="b">
        <v>0</v>
      </c>
      <c r="AB21" s="45" t="b">
        <v>1</v>
      </c>
      <c r="AC21" s="45" t="b">
        <v>0</v>
      </c>
      <c r="AD21" s="45" t="s">
        <v>242</v>
      </c>
      <c r="AF21">
        <v>1</v>
      </c>
      <c r="AG21">
        <f>VLOOKUP(U21,afra_scale,2,FALSE)</f>
        <v>2000</v>
      </c>
    </row>
    <row r="22" spans="1:33" x14ac:dyDescent="0.25">
      <c r="B22" t="s">
        <v>304</v>
      </c>
      <c r="C22">
        <v>9853266</v>
      </c>
      <c r="D22" t="s">
        <v>466</v>
      </c>
      <c r="E22" t="s">
        <v>305</v>
      </c>
      <c r="F22" t="s">
        <v>232</v>
      </c>
      <c r="G22" s="2">
        <v>46223</v>
      </c>
      <c r="H22" t="s">
        <v>252</v>
      </c>
      <c r="I22" t="s">
        <v>234</v>
      </c>
      <c r="K22">
        <v>0</v>
      </c>
      <c r="L22" t="s">
        <v>236</v>
      </c>
      <c r="M22" t="s">
        <v>273</v>
      </c>
      <c r="N22" t="s">
        <v>259</v>
      </c>
      <c r="Q22">
        <v>109998</v>
      </c>
      <c r="R22" s="26">
        <v>2019</v>
      </c>
      <c r="S22" t="s">
        <v>247</v>
      </c>
      <c r="T22">
        <v>109.998</v>
      </c>
      <c r="U22" t="s">
        <v>306</v>
      </c>
      <c r="V22" t="s">
        <v>48</v>
      </c>
      <c r="W22" t="s">
        <v>241</v>
      </c>
      <c r="X22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s">
        <v>242</v>
      </c>
      <c r="AE22">
        <v>1</v>
      </c>
      <c r="AG22">
        <f>VLOOKUP(U22,afra_scale,2,FALSE)</f>
        <v>800</v>
      </c>
    </row>
    <row r="23" spans="1:33" x14ac:dyDescent="0.25">
      <c r="A23" s="41"/>
      <c r="B23" s="41" t="s">
        <v>482</v>
      </c>
      <c r="C23" s="41">
        <v>1024950</v>
      </c>
      <c r="D23" s="41" t="s">
        <v>466</v>
      </c>
      <c r="E23" s="41" t="s">
        <v>302</v>
      </c>
      <c r="F23" s="41" t="s">
        <v>232</v>
      </c>
      <c r="G23" s="42">
        <v>46222</v>
      </c>
      <c r="H23" s="41" t="s">
        <v>252</v>
      </c>
      <c r="I23" s="41" t="s">
        <v>234</v>
      </c>
      <c r="J23" s="41"/>
      <c r="K23" s="41">
        <v>0</v>
      </c>
      <c r="L23" s="41" t="s">
        <v>236</v>
      </c>
      <c r="M23" s="41" t="s">
        <v>483</v>
      </c>
      <c r="N23" s="41" t="s">
        <v>484</v>
      </c>
      <c r="O23" s="41" t="s">
        <v>14</v>
      </c>
      <c r="P23" s="41" t="s">
        <v>265</v>
      </c>
      <c r="Q23" s="41">
        <v>115026</v>
      </c>
      <c r="R23" s="43">
        <v>2025</v>
      </c>
      <c r="S23" s="41" t="s">
        <v>247</v>
      </c>
      <c r="T23" s="41">
        <v>115.026</v>
      </c>
      <c r="U23" s="41" t="s">
        <v>306</v>
      </c>
      <c r="V23" s="41" t="s">
        <v>48</v>
      </c>
      <c r="W23" s="41" t="s">
        <v>241</v>
      </c>
      <c r="X23" s="41">
        <v>0</v>
      </c>
      <c r="Y23" s="41" t="b">
        <v>0</v>
      </c>
      <c r="Z23" s="41" t="b">
        <v>0</v>
      </c>
      <c r="AA23" s="41" t="b">
        <v>0</v>
      </c>
      <c r="AB23" s="41" t="b">
        <v>1</v>
      </c>
      <c r="AC23" s="41" t="b">
        <v>0</v>
      </c>
      <c r="AD23" s="41" t="s">
        <v>242</v>
      </c>
      <c r="AF23">
        <v>1</v>
      </c>
      <c r="AG23">
        <f>VLOOKUP(U23,afra_scale,2,FALSE)</f>
        <v>800</v>
      </c>
    </row>
    <row r="24" spans="1:33" x14ac:dyDescent="0.25">
      <c r="A24" s="45"/>
      <c r="B24" s="45" t="s">
        <v>485</v>
      </c>
      <c r="C24" s="45">
        <v>9653422</v>
      </c>
      <c r="D24" s="45" t="s">
        <v>18</v>
      </c>
      <c r="E24" s="45" t="s">
        <v>287</v>
      </c>
      <c r="F24" s="45" t="s">
        <v>232</v>
      </c>
      <c r="G24" s="46">
        <v>46221</v>
      </c>
      <c r="H24" s="45" t="s">
        <v>252</v>
      </c>
      <c r="I24" s="45" t="s">
        <v>234</v>
      </c>
      <c r="J24" s="45"/>
      <c r="K24" s="45">
        <v>0</v>
      </c>
      <c r="L24" s="45" t="s">
        <v>236</v>
      </c>
      <c r="M24" s="45" t="s">
        <v>486</v>
      </c>
      <c r="N24" s="45"/>
      <c r="O24" s="45" t="s">
        <v>65</v>
      </c>
      <c r="P24" s="45" t="s">
        <v>66</v>
      </c>
      <c r="Q24" s="45">
        <v>317033</v>
      </c>
      <c r="R24" s="47">
        <v>2014</v>
      </c>
      <c r="S24" s="45" t="s">
        <v>255</v>
      </c>
      <c r="T24" s="45">
        <v>317.03300000000002</v>
      </c>
      <c r="U24" s="45" t="s">
        <v>18</v>
      </c>
      <c r="V24" s="45" t="s">
        <v>48</v>
      </c>
      <c r="W24" s="45" t="s">
        <v>241</v>
      </c>
      <c r="X24" s="45">
        <v>0</v>
      </c>
      <c r="Y24" s="45" t="b">
        <v>0</v>
      </c>
      <c r="Z24" s="45" t="b">
        <v>0</v>
      </c>
      <c r="AA24" s="45" t="b">
        <v>0</v>
      </c>
      <c r="AB24" s="45" t="b">
        <v>1</v>
      </c>
      <c r="AC24" s="45" t="b">
        <v>0</v>
      </c>
      <c r="AD24" s="45" t="s">
        <v>242</v>
      </c>
      <c r="AF24">
        <v>1</v>
      </c>
      <c r="AG24">
        <f>VLOOKUP(U24,afra_scale,2,FALSE)</f>
        <v>2000</v>
      </c>
    </row>
    <row r="25" spans="1:33" x14ac:dyDescent="0.25">
      <c r="B25" t="s">
        <v>21</v>
      </c>
      <c r="C25">
        <v>9419618</v>
      </c>
      <c r="D25" t="s">
        <v>18</v>
      </c>
      <c r="E25" t="s">
        <v>302</v>
      </c>
      <c r="F25" t="s">
        <v>232</v>
      </c>
      <c r="G25" s="2">
        <v>46220</v>
      </c>
      <c r="H25" t="s">
        <v>252</v>
      </c>
      <c r="I25" t="s">
        <v>234</v>
      </c>
      <c r="K25">
        <v>0</v>
      </c>
      <c r="L25" t="s">
        <v>236</v>
      </c>
      <c r="M25" t="s">
        <v>273</v>
      </c>
      <c r="N25" t="s">
        <v>259</v>
      </c>
      <c r="O25" t="s">
        <v>23</v>
      </c>
      <c r="P25" t="s">
        <v>307</v>
      </c>
      <c r="Q25">
        <v>313525</v>
      </c>
      <c r="R25" s="26">
        <v>2009</v>
      </c>
      <c r="S25" t="s">
        <v>255</v>
      </c>
      <c r="T25">
        <v>313.52499999999998</v>
      </c>
      <c r="U25" t="s">
        <v>18</v>
      </c>
      <c r="V25" t="s">
        <v>48</v>
      </c>
      <c r="W25" t="s">
        <v>241</v>
      </c>
      <c r="X25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s">
        <v>242</v>
      </c>
      <c r="AE25">
        <v>1</v>
      </c>
      <c r="AG25">
        <f>VLOOKUP(U25,afra_scale,2,FALSE)</f>
        <v>2000</v>
      </c>
    </row>
    <row r="26" spans="1:33" x14ac:dyDescent="0.25">
      <c r="A26" s="41"/>
      <c r="B26" s="41" t="s">
        <v>487</v>
      </c>
      <c r="C26" s="41">
        <v>9377420</v>
      </c>
      <c r="D26" s="41" t="s">
        <v>18</v>
      </c>
      <c r="E26" s="41" t="s">
        <v>302</v>
      </c>
      <c r="F26" s="41" t="s">
        <v>232</v>
      </c>
      <c r="G26" s="42">
        <v>46219</v>
      </c>
      <c r="H26" s="41" t="s">
        <v>252</v>
      </c>
      <c r="I26" s="41" t="s">
        <v>234</v>
      </c>
      <c r="J26" s="41"/>
      <c r="K26" s="41">
        <v>0</v>
      </c>
      <c r="L26" s="41" t="s">
        <v>236</v>
      </c>
      <c r="M26" s="41" t="s">
        <v>488</v>
      </c>
      <c r="N26" s="41" t="s">
        <v>303</v>
      </c>
      <c r="O26" s="41" t="s">
        <v>426</v>
      </c>
      <c r="P26" s="41" t="s">
        <v>271</v>
      </c>
      <c r="Q26" s="41">
        <v>302550</v>
      </c>
      <c r="R26" s="43">
        <v>2011</v>
      </c>
      <c r="S26" s="41" t="s">
        <v>239</v>
      </c>
      <c r="T26" s="41">
        <v>302.55</v>
      </c>
      <c r="U26" s="41" t="s">
        <v>18</v>
      </c>
      <c r="V26" s="41" t="s">
        <v>48</v>
      </c>
      <c r="W26" s="41" t="s">
        <v>241</v>
      </c>
      <c r="X26" s="41">
        <v>0</v>
      </c>
      <c r="Y26" s="41" t="b">
        <v>0</v>
      </c>
      <c r="Z26" s="41" t="b">
        <v>0</v>
      </c>
      <c r="AA26" s="41" t="b">
        <v>0</v>
      </c>
      <c r="AB26" s="41" t="b">
        <v>1</v>
      </c>
      <c r="AC26" s="41" t="b">
        <v>0</v>
      </c>
      <c r="AD26" s="41" t="s">
        <v>242</v>
      </c>
      <c r="AF26">
        <v>1</v>
      </c>
      <c r="AG26">
        <f>VLOOKUP(U26,afra_scale,2,FALSE)</f>
        <v>2000</v>
      </c>
    </row>
    <row r="27" spans="1:33" x14ac:dyDescent="0.25">
      <c r="B27" t="s">
        <v>56</v>
      </c>
      <c r="C27">
        <v>9406166</v>
      </c>
      <c r="D27" t="s">
        <v>18</v>
      </c>
      <c r="E27" t="s">
        <v>489</v>
      </c>
      <c r="F27" t="s">
        <v>232</v>
      </c>
      <c r="G27" s="2">
        <v>46218</v>
      </c>
      <c r="H27" t="s">
        <v>252</v>
      </c>
      <c r="I27" t="s">
        <v>234</v>
      </c>
      <c r="K27">
        <v>0</v>
      </c>
      <c r="L27" t="s">
        <v>236</v>
      </c>
      <c r="M27" t="s">
        <v>237</v>
      </c>
      <c r="N27" t="s">
        <v>238</v>
      </c>
      <c r="Q27">
        <v>299999</v>
      </c>
      <c r="R27" s="26">
        <v>2011</v>
      </c>
      <c r="S27" t="s">
        <v>239</v>
      </c>
      <c r="T27">
        <v>299.99900000000002</v>
      </c>
      <c r="U27" t="s">
        <v>18</v>
      </c>
      <c r="V27" t="s">
        <v>48</v>
      </c>
      <c r="W27" t="s">
        <v>241</v>
      </c>
      <c r="X27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s">
        <v>242</v>
      </c>
      <c r="AE27">
        <v>1</v>
      </c>
      <c r="AG27">
        <f>VLOOKUP(U27,afra_scale,2,FALSE)</f>
        <v>2000</v>
      </c>
    </row>
    <row r="28" spans="1:33" x14ac:dyDescent="0.25">
      <c r="A28" s="45"/>
      <c r="B28" s="45" t="s">
        <v>490</v>
      </c>
      <c r="C28" s="45">
        <v>9595008</v>
      </c>
      <c r="D28" s="45" t="s">
        <v>466</v>
      </c>
      <c r="E28" s="45" t="s">
        <v>287</v>
      </c>
      <c r="F28" s="45" t="s">
        <v>232</v>
      </c>
      <c r="G28" s="46">
        <v>46217</v>
      </c>
      <c r="H28" s="45" t="s">
        <v>252</v>
      </c>
      <c r="I28" s="45" t="s">
        <v>234</v>
      </c>
      <c r="J28" s="45"/>
      <c r="K28" s="45">
        <v>0</v>
      </c>
      <c r="L28" s="45" t="s">
        <v>236</v>
      </c>
      <c r="M28" s="45" t="s">
        <v>491</v>
      </c>
      <c r="N28" s="45" t="s">
        <v>390</v>
      </c>
      <c r="O28" s="45"/>
      <c r="P28" s="45"/>
      <c r="Q28" s="45">
        <v>110761</v>
      </c>
      <c r="R28" s="47">
        <v>2012</v>
      </c>
      <c r="S28" s="45" t="s">
        <v>255</v>
      </c>
      <c r="T28" s="45">
        <v>110.761</v>
      </c>
      <c r="U28" s="45" t="s">
        <v>306</v>
      </c>
      <c r="V28" s="45" t="s">
        <v>48</v>
      </c>
      <c r="W28" s="45" t="s">
        <v>241</v>
      </c>
      <c r="X28" s="45">
        <v>0</v>
      </c>
      <c r="Y28" s="45" t="b">
        <v>0</v>
      </c>
      <c r="Z28" s="45" t="b">
        <v>0</v>
      </c>
      <c r="AA28" s="45" t="b">
        <v>0</v>
      </c>
      <c r="AB28" s="45" t="b">
        <v>1</v>
      </c>
      <c r="AC28" s="45" t="b">
        <v>0</v>
      </c>
      <c r="AD28" s="45" t="s">
        <v>242</v>
      </c>
      <c r="AF28">
        <v>1</v>
      </c>
      <c r="AG28">
        <f>VLOOKUP(U28,afra_scale,2,FALSE)</f>
        <v>800</v>
      </c>
    </row>
    <row r="29" spans="1:33" x14ac:dyDescent="0.25">
      <c r="B29" t="s">
        <v>304</v>
      </c>
      <c r="C29">
        <v>9853266</v>
      </c>
      <c r="D29" t="s">
        <v>466</v>
      </c>
      <c r="E29" t="s">
        <v>305</v>
      </c>
      <c r="F29" t="s">
        <v>232</v>
      </c>
      <c r="G29" s="2">
        <v>46217</v>
      </c>
      <c r="H29" t="s">
        <v>252</v>
      </c>
      <c r="I29" t="s">
        <v>234</v>
      </c>
      <c r="K29">
        <v>0</v>
      </c>
      <c r="L29" t="s">
        <v>236</v>
      </c>
      <c r="M29" t="s">
        <v>492</v>
      </c>
      <c r="N29" t="s">
        <v>270</v>
      </c>
      <c r="O29" t="s">
        <v>202</v>
      </c>
      <c r="P29" t="s">
        <v>238</v>
      </c>
      <c r="Q29">
        <v>109998</v>
      </c>
      <c r="R29" s="26">
        <v>2019</v>
      </c>
      <c r="S29" t="s">
        <v>247</v>
      </c>
      <c r="T29">
        <v>109.998</v>
      </c>
      <c r="U29" t="s">
        <v>306</v>
      </c>
      <c r="V29" t="s">
        <v>48</v>
      </c>
      <c r="W29" t="s">
        <v>241</v>
      </c>
      <c r="X29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s">
        <v>242</v>
      </c>
      <c r="AE29">
        <v>1</v>
      </c>
      <c r="AG29">
        <f>VLOOKUP(U29,afra_scale,2,FALSE)</f>
        <v>800</v>
      </c>
    </row>
    <row r="30" spans="1:33" x14ac:dyDescent="0.25">
      <c r="A30" s="41"/>
      <c r="B30" s="41" t="s">
        <v>493</v>
      </c>
      <c r="C30" s="41">
        <v>1087524</v>
      </c>
      <c r="D30" s="41" t="s">
        <v>18</v>
      </c>
      <c r="E30" s="41" t="s">
        <v>302</v>
      </c>
      <c r="F30" s="41" t="s">
        <v>232</v>
      </c>
      <c r="G30" s="42">
        <v>46216</v>
      </c>
      <c r="H30" s="41" t="s">
        <v>252</v>
      </c>
      <c r="I30" s="41" t="s">
        <v>234</v>
      </c>
      <c r="J30" s="41"/>
      <c r="K30" s="41">
        <v>0</v>
      </c>
      <c r="L30" s="41" t="s">
        <v>236</v>
      </c>
      <c r="M30" s="41" t="s">
        <v>494</v>
      </c>
      <c r="N30" s="41" t="s">
        <v>254</v>
      </c>
      <c r="O30" s="41" t="s">
        <v>23</v>
      </c>
      <c r="P30" s="41" t="s">
        <v>307</v>
      </c>
      <c r="Q30" s="41">
        <v>306000</v>
      </c>
      <c r="R30" s="43">
        <v>2026</v>
      </c>
      <c r="S30" s="41" t="s">
        <v>247</v>
      </c>
      <c r="T30" s="41">
        <v>306</v>
      </c>
      <c r="U30" s="41" t="s">
        <v>18</v>
      </c>
      <c r="V30" s="41" t="s">
        <v>48</v>
      </c>
      <c r="W30" s="41" t="s">
        <v>241</v>
      </c>
      <c r="X30" s="41">
        <v>0</v>
      </c>
      <c r="Y30" s="41" t="b">
        <v>0</v>
      </c>
      <c r="Z30" s="41" t="b">
        <v>0</v>
      </c>
      <c r="AA30" s="41" t="b">
        <v>0</v>
      </c>
      <c r="AB30" s="41" t="b">
        <v>1</v>
      </c>
      <c r="AC30" s="41" t="b">
        <v>0</v>
      </c>
      <c r="AD30" s="41" t="s">
        <v>242</v>
      </c>
      <c r="AF30">
        <v>1</v>
      </c>
      <c r="AG30">
        <f>VLOOKUP(U30,afra_scale,2,FALSE)</f>
        <v>2000</v>
      </c>
    </row>
    <row r="31" spans="1:33" x14ac:dyDescent="0.25">
      <c r="A31" s="45"/>
      <c r="B31" s="45" t="s">
        <v>495</v>
      </c>
      <c r="C31" s="45">
        <v>9534793</v>
      </c>
      <c r="D31" s="45" t="s">
        <v>18</v>
      </c>
      <c r="E31" s="45" t="s">
        <v>287</v>
      </c>
      <c r="F31" s="45" t="s">
        <v>232</v>
      </c>
      <c r="G31" s="46">
        <v>46216</v>
      </c>
      <c r="H31" s="45" t="s">
        <v>252</v>
      </c>
      <c r="I31" s="45" t="s">
        <v>234</v>
      </c>
      <c r="J31" s="45"/>
      <c r="K31" s="45">
        <v>0</v>
      </c>
      <c r="L31" s="45" t="s">
        <v>236</v>
      </c>
      <c r="M31" s="45" t="s">
        <v>486</v>
      </c>
      <c r="N31" s="45"/>
      <c r="O31" s="45" t="s">
        <v>65</v>
      </c>
      <c r="P31" s="45" t="s">
        <v>66</v>
      </c>
      <c r="Q31" s="45">
        <v>319660</v>
      </c>
      <c r="R31" s="47">
        <v>2011</v>
      </c>
      <c r="S31" s="45" t="s">
        <v>255</v>
      </c>
      <c r="T31" s="45">
        <v>319.66000000000003</v>
      </c>
      <c r="U31" s="45" t="s">
        <v>18</v>
      </c>
      <c r="V31" s="45" t="s">
        <v>48</v>
      </c>
      <c r="W31" s="45" t="s">
        <v>241</v>
      </c>
      <c r="X31" s="45">
        <v>0</v>
      </c>
      <c r="Y31" s="45" t="b">
        <v>0</v>
      </c>
      <c r="Z31" s="45" t="b">
        <v>0</v>
      </c>
      <c r="AA31" s="45" t="b">
        <v>0</v>
      </c>
      <c r="AB31" s="45" t="b">
        <v>1</v>
      </c>
      <c r="AC31" s="45" t="b">
        <v>0</v>
      </c>
      <c r="AD31" s="45" t="s">
        <v>242</v>
      </c>
      <c r="AF31">
        <v>1</v>
      </c>
      <c r="AG31">
        <f>VLOOKUP(U31,afra_scale,2,FALSE)</f>
        <v>2000</v>
      </c>
    </row>
    <row r="32" spans="1:33" x14ac:dyDescent="0.25">
      <c r="B32" t="s">
        <v>63</v>
      </c>
      <c r="C32">
        <v>9534779</v>
      </c>
      <c r="D32" t="s">
        <v>18</v>
      </c>
      <c r="E32" t="s">
        <v>287</v>
      </c>
      <c r="F32" t="s">
        <v>232</v>
      </c>
      <c r="G32" s="2">
        <v>46216</v>
      </c>
      <c r="H32" t="s">
        <v>252</v>
      </c>
      <c r="I32" t="s">
        <v>234</v>
      </c>
      <c r="K32">
        <v>0</v>
      </c>
      <c r="L32" t="s">
        <v>236</v>
      </c>
      <c r="M32" t="s">
        <v>273</v>
      </c>
      <c r="N32" t="s">
        <v>259</v>
      </c>
      <c r="O32" t="s">
        <v>65</v>
      </c>
      <c r="P32" t="s">
        <v>66</v>
      </c>
      <c r="Q32">
        <v>319761</v>
      </c>
      <c r="R32" s="26">
        <v>2010</v>
      </c>
      <c r="S32" t="s">
        <v>255</v>
      </c>
      <c r="T32">
        <v>319.76100000000002</v>
      </c>
      <c r="U32" t="s">
        <v>18</v>
      </c>
      <c r="V32" t="s">
        <v>48</v>
      </c>
      <c r="W32" t="s">
        <v>241</v>
      </c>
      <c r="X32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s">
        <v>242</v>
      </c>
      <c r="AE32">
        <v>1</v>
      </c>
      <c r="AG32">
        <f>VLOOKUP(U32,afra_scale,2,FALSE)</f>
        <v>2000</v>
      </c>
    </row>
    <row r="33" spans="2:33" x14ac:dyDescent="0.25">
      <c r="B33" t="s">
        <v>172</v>
      </c>
      <c r="C33">
        <v>9516947</v>
      </c>
      <c r="D33" t="s">
        <v>18</v>
      </c>
      <c r="E33" t="s">
        <v>302</v>
      </c>
      <c r="F33" t="s">
        <v>232</v>
      </c>
      <c r="G33" s="2">
        <v>46216</v>
      </c>
      <c r="H33" t="s">
        <v>252</v>
      </c>
      <c r="I33" t="s">
        <v>234</v>
      </c>
      <c r="K33">
        <v>0</v>
      </c>
      <c r="L33" t="s">
        <v>236</v>
      </c>
      <c r="M33" t="s">
        <v>496</v>
      </c>
      <c r="N33" t="s">
        <v>298</v>
      </c>
      <c r="O33" t="s">
        <v>23</v>
      </c>
      <c r="P33" t="s">
        <v>307</v>
      </c>
      <c r="Q33">
        <v>319611</v>
      </c>
      <c r="R33" s="26">
        <v>2016</v>
      </c>
      <c r="S33" t="s">
        <v>247</v>
      </c>
      <c r="T33">
        <v>319.61099999999999</v>
      </c>
      <c r="U33" t="s">
        <v>18</v>
      </c>
      <c r="V33" t="s">
        <v>48</v>
      </c>
      <c r="W33" t="s">
        <v>241</v>
      </c>
      <c r="X33">
        <v>0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  <c r="AD33" t="s">
        <v>242</v>
      </c>
      <c r="AE33">
        <v>1</v>
      </c>
      <c r="AG33">
        <f>VLOOKUP(U33,afra_scale,2,FALSE)</f>
        <v>2000</v>
      </c>
    </row>
    <row r="34" spans="2:33" x14ac:dyDescent="0.25">
      <c r="B34" t="s">
        <v>77</v>
      </c>
      <c r="C34">
        <v>9389021</v>
      </c>
      <c r="D34" t="s">
        <v>18</v>
      </c>
      <c r="E34" t="s">
        <v>302</v>
      </c>
      <c r="F34" t="s">
        <v>232</v>
      </c>
      <c r="G34" s="2">
        <v>46215</v>
      </c>
      <c r="H34" t="s">
        <v>252</v>
      </c>
      <c r="I34" t="s">
        <v>234</v>
      </c>
      <c r="K34">
        <v>0</v>
      </c>
      <c r="L34" t="s">
        <v>236</v>
      </c>
      <c r="M34" t="s">
        <v>486</v>
      </c>
      <c r="O34" t="s">
        <v>23</v>
      </c>
      <c r="P34" t="s">
        <v>307</v>
      </c>
      <c r="Q34">
        <v>299999</v>
      </c>
      <c r="R34" s="26">
        <v>2009</v>
      </c>
      <c r="S34" t="s">
        <v>255</v>
      </c>
      <c r="T34">
        <v>299.99900000000002</v>
      </c>
      <c r="U34" t="s">
        <v>18</v>
      </c>
      <c r="V34" t="s">
        <v>48</v>
      </c>
      <c r="W34" t="s">
        <v>241</v>
      </c>
      <c r="X34">
        <v>0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s">
        <v>242</v>
      </c>
      <c r="AE34">
        <v>1</v>
      </c>
      <c r="AG34">
        <f>VLOOKUP(U34,afra_scale,2,FALSE)</f>
        <v>2000</v>
      </c>
    </row>
    <row r="35" spans="2:33" x14ac:dyDescent="0.25">
      <c r="B35" t="s">
        <v>38</v>
      </c>
      <c r="C35">
        <v>9854507</v>
      </c>
      <c r="D35" t="s">
        <v>18</v>
      </c>
      <c r="E35" t="s">
        <v>302</v>
      </c>
      <c r="F35" t="s">
        <v>232</v>
      </c>
      <c r="G35" s="2">
        <v>46215</v>
      </c>
      <c r="H35" t="s">
        <v>252</v>
      </c>
      <c r="I35" t="s">
        <v>234</v>
      </c>
      <c r="K35">
        <v>0</v>
      </c>
      <c r="L35" t="s">
        <v>236</v>
      </c>
      <c r="M35" t="s">
        <v>237</v>
      </c>
      <c r="N35" t="s">
        <v>238</v>
      </c>
      <c r="O35" t="s">
        <v>202</v>
      </c>
      <c r="P35" t="s">
        <v>238</v>
      </c>
      <c r="Q35">
        <v>299995</v>
      </c>
      <c r="R35" s="26">
        <v>2019</v>
      </c>
      <c r="S35" t="s">
        <v>255</v>
      </c>
      <c r="T35">
        <v>299.995</v>
      </c>
      <c r="U35" t="s">
        <v>18</v>
      </c>
      <c r="V35" t="s">
        <v>48</v>
      </c>
      <c r="W35" t="s">
        <v>241</v>
      </c>
      <c r="X35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s">
        <v>242</v>
      </c>
      <c r="AE35">
        <v>1</v>
      </c>
      <c r="AG35">
        <f>VLOOKUP(U35,afra_scale,2,FALSE)</f>
        <v>2000</v>
      </c>
    </row>
    <row r="36" spans="2:33" x14ac:dyDescent="0.25">
      <c r="B36" t="s">
        <v>187</v>
      </c>
      <c r="C36">
        <v>9329796</v>
      </c>
      <c r="D36" t="s">
        <v>18</v>
      </c>
      <c r="E36" t="s">
        <v>250</v>
      </c>
      <c r="F36" t="s">
        <v>232</v>
      </c>
      <c r="G36" s="2">
        <v>46215</v>
      </c>
      <c r="H36" t="s">
        <v>252</v>
      </c>
      <c r="I36" t="s">
        <v>234</v>
      </c>
      <c r="K36">
        <v>0</v>
      </c>
      <c r="L36" t="s">
        <v>236</v>
      </c>
      <c r="M36" t="s">
        <v>237</v>
      </c>
      <c r="N36" t="s">
        <v>238</v>
      </c>
      <c r="O36" t="s">
        <v>166</v>
      </c>
      <c r="P36" t="s">
        <v>271</v>
      </c>
      <c r="Q36">
        <v>300866</v>
      </c>
      <c r="R36" s="26">
        <v>2006</v>
      </c>
      <c r="S36" t="s">
        <v>239</v>
      </c>
      <c r="T36">
        <v>300.86599999999999</v>
      </c>
      <c r="U36" t="s">
        <v>18</v>
      </c>
      <c r="V36" t="s">
        <v>48</v>
      </c>
      <c r="W36" t="s">
        <v>241</v>
      </c>
      <c r="X36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s">
        <v>242</v>
      </c>
      <c r="AE36">
        <v>1</v>
      </c>
      <c r="AG36">
        <f>VLOOKUP(U36,afra_scale,2,FALSE)</f>
        <v>2000</v>
      </c>
    </row>
  </sheetData>
  <autoFilter ref="B1:AD36" xr:uid="{5EA84E51-DEFE-437C-880A-5EA97149077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E89C-ED98-4FE8-9366-064694B2838B}">
  <dimension ref="C2:D5"/>
  <sheetViews>
    <sheetView workbookViewId="0">
      <selection activeCell="C2" sqref="C2:D5"/>
    </sheetView>
  </sheetViews>
  <sheetFormatPr defaultRowHeight="15" x14ac:dyDescent="0.25"/>
  <cols>
    <col min="4" max="4" width="10.5703125" customWidth="1"/>
  </cols>
  <sheetData>
    <row r="2" spans="3:4" x14ac:dyDescent="0.25">
      <c r="C2" t="s">
        <v>514</v>
      </c>
      <c r="D2" t="s">
        <v>513</v>
      </c>
    </row>
    <row r="3" spans="3:4" x14ac:dyDescent="0.25">
      <c r="C3" t="s">
        <v>18</v>
      </c>
      <c r="D3">
        <v>2000</v>
      </c>
    </row>
    <row r="4" spans="3:4" x14ac:dyDescent="0.25">
      <c r="C4" t="s">
        <v>306</v>
      </c>
      <c r="D4">
        <v>800</v>
      </c>
    </row>
    <row r="5" spans="3:4" x14ac:dyDescent="0.25">
      <c r="C5" t="s">
        <v>476</v>
      </c>
      <c r="D5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SoH</vt:lpstr>
      <vt:lpstr>bab</vt:lpstr>
      <vt:lpstr>Sheet2</vt:lpstr>
      <vt:lpstr>Sheet1</vt:lpstr>
      <vt:lpstr>Sheet3</vt:lpstr>
      <vt:lpstr>entries</vt:lpstr>
      <vt:lpstr>mapping</vt:lpstr>
      <vt:lpstr>afra_scale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Gaitan</dc:creator>
  <cp:lastModifiedBy>Luis Carlos Gaitan</cp:lastModifiedBy>
  <dcterms:created xsi:type="dcterms:W3CDTF">2026-07-13T16:29:19Z</dcterms:created>
  <dcterms:modified xsi:type="dcterms:W3CDTF">2026-08-06T11:44:22Z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2026-07-13T16:29:24Z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ec302311-a76e-4d47-bdb2-f537e3ae027e</vt:lpwstr>
  </property>
  <property fmtid="{D5CDD505-2E9C-101B-9397-08002B2CF9AE}" pid="7" name="MSIP_Label_defa4170-0d19-0005-0004-bc88714345d2_ActionId">
    <vt:lpwstr>6524c4c8-d5dd-4032-a33e-6818b409aaa7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