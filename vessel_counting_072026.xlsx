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ainglobalcom-my.sharepoint.com/personal/luiscarlos_gaitan_jainglobal_com/Documents/Coding/vessel_crossing/"/>
    </mc:Choice>
  </mc:AlternateContent>
  <xr:revisionPtr revIDLastSave="731" documentId="8_{ACBAE674-F7E3-4718-8201-9F85458D862D}" xr6:coauthVersionLast="47" xr6:coauthVersionMax="47" xr10:uidLastSave="{C08539BA-B7C6-41FC-A77C-189B957910D7}"/>
  <bookViews>
    <workbookView minimized="1" xWindow="2250" yWindow="2250" windowWidth="43200" windowHeight="17145" xr2:uid="{AD02B413-0D1C-4968-9BB9-B945211DCBC0}"/>
  </bookViews>
  <sheets>
    <sheet name="Sheet4" sheetId="1" r:id="rId1"/>
    <sheet name="Sheet2" sheetId="2" r:id="rId2"/>
  </sheets>
  <definedNames>
    <definedName name="_xlnm._FilterDatabase" localSheetId="0" hidden="1">Sheet4!$B$2:$M$87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21" i="2" l="1"/>
  <c r="H20" i="2"/>
  <c r="H17" i="2"/>
  <c r="H15" i="2"/>
  <c r="H14" i="2"/>
  <c r="H12" i="2"/>
  <c r="U31" i="1"/>
  <c r="U55" i="1"/>
</calcChain>
</file>

<file path=xl/sharedStrings.xml><?xml version="1.0" encoding="utf-8"?>
<sst xmlns="http://schemas.openxmlformats.org/spreadsheetml/2006/main" count="665" uniqueCount="201">
  <si>
    <t>vessel_name</t>
  </si>
  <si>
    <t>controller</t>
  </si>
  <si>
    <t>loading_port</t>
  </si>
  <si>
    <t>entered_soh</t>
  </si>
  <si>
    <t>loading_date</t>
  </si>
  <si>
    <t>grade</t>
  </si>
  <si>
    <t>last_seen(days)</t>
  </si>
  <si>
    <t>exited_soh</t>
  </si>
  <si>
    <t>in/out</t>
  </si>
  <si>
    <t>discharged</t>
  </si>
  <si>
    <t>last_loading_state</t>
  </si>
  <si>
    <t>Track</t>
  </si>
  <si>
    <t>KARAN</t>
  </si>
  <si>
    <t>Bahri</t>
  </si>
  <si>
    <t>Ras Tanura</t>
  </si>
  <si>
    <t>Arab Heavy</t>
  </si>
  <si>
    <t>out</t>
  </si>
  <si>
    <t>laden</t>
  </si>
  <si>
    <t>VLCC</t>
  </si>
  <si>
    <t>ZAYNAH</t>
  </si>
  <si>
    <t>Arab</t>
  </si>
  <si>
    <t>NISSOS HERACLEA</t>
  </si>
  <si>
    <t>Kyklades</t>
  </si>
  <si>
    <t>Al Basrah</t>
  </si>
  <si>
    <t>Basrah</t>
  </si>
  <si>
    <t>re-entered for another loading</t>
  </si>
  <si>
    <t>Sohar Light</t>
  </si>
  <si>
    <t>NISSOS KEA</t>
  </si>
  <si>
    <t>Halul Island</t>
  </si>
  <si>
    <t>QASBA</t>
  </si>
  <si>
    <t>AMAD</t>
  </si>
  <si>
    <t>MANIFA</t>
  </si>
  <si>
    <t>BASRAH ENERGY</t>
  </si>
  <si>
    <t>ADNOC</t>
  </si>
  <si>
    <t>in</t>
  </si>
  <si>
    <t>800 kb</t>
  </si>
  <si>
    <t>y</t>
  </si>
  <si>
    <t>Floating, no more info</t>
  </si>
  <si>
    <t>DAS</t>
  </si>
  <si>
    <t>NAVIG8 ASIA PTE LTD</t>
  </si>
  <si>
    <t>Zirku Island</t>
  </si>
  <si>
    <t>Zakum</t>
  </si>
  <si>
    <t>2 mb</t>
  </si>
  <si>
    <t>ANGOLA B</t>
  </si>
  <si>
    <t>Das Island</t>
  </si>
  <si>
    <t>Das</t>
  </si>
  <si>
    <t>AL BAHYAH</t>
  </si>
  <si>
    <t>Fujairah</t>
  </si>
  <si>
    <t>ballast</t>
  </si>
  <si>
    <t>FRANCE C</t>
  </si>
  <si>
    <t>1.5 mb</t>
  </si>
  <si>
    <t>JALADI</t>
  </si>
  <si>
    <t>NISSOS TIGANI</t>
  </si>
  <si>
    <t>ETC</t>
  </si>
  <si>
    <t>Ain Sukhna</t>
  </si>
  <si>
    <t>1 mb</t>
  </si>
  <si>
    <t>GRAND LADY</t>
  </si>
  <si>
    <t>Eastmed</t>
  </si>
  <si>
    <t>?</t>
  </si>
  <si>
    <t>HAFEET</t>
  </si>
  <si>
    <t>Umm Lulu</t>
  </si>
  <si>
    <t>Khor</t>
  </si>
  <si>
    <t>MOMBASA B</t>
  </si>
  <si>
    <t>DAR SALWA</t>
  </si>
  <si>
    <t>KPC</t>
  </si>
  <si>
    <t>Mina Al-Ahmadi</t>
  </si>
  <si>
    <t>Kuwait</t>
  </si>
  <si>
    <t>NISALAH</t>
  </si>
  <si>
    <t>Okinawa</t>
  </si>
  <si>
    <t>UQAB</t>
  </si>
  <si>
    <t>Sinopec</t>
  </si>
  <si>
    <t>Juaymah</t>
  </si>
  <si>
    <t>BAHRAIN PROSPERITY</t>
  </si>
  <si>
    <t>AL JABRIYAH II</t>
  </si>
  <si>
    <t>SINGAPORE LOYALTY</t>
  </si>
  <si>
    <t>ZhenHua Oil</t>
  </si>
  <si>
    <t>Yantai</t>
  </si>
  <si>
    <t>ARGENTINA B</t>
  </si>
  <si>
    <t>FUJAIRAH ENERGY</t>
  </si>
  <si>
    <t>CAMEROON PROSPERITY</t>
  </si>
  <si>
    <t>PTT</t>
  </si>
  <si>
    <t>Zirku island</t>
  </si>
  <si>
    <t xml:space="preserve">Prevously loaded and transfer at </t>
  </si>
  <si>
    <t>AL FUNTAS</t>
  </si>
  <si>
    <t>Kuwait Energy</t>
  </si>
  <si>
    <t>CYPRUS PROSPERITY</t>
  </si>
  <si>
    <t>TOGO PROSPERITY</t>
  </si>
  <si>
    <t>Dubai Light</t>
  </si>
  <si>
    <t>Murban</t>
  </si>
  <si>
    <t>KUWAIT PROSPERITY</t>
  </si>
  <si>
    <t>Sinokor</t>
  </si>
  <si>
    <t>LILA VADINAR</t>
  </si>
  <si>
    <t>IOC</t>
  </si>
  <si>
    <t>FSO Qatar Petroleum Al Shaheen</t>
  </si>
  <si>
    <t>Shaheen</t>
  </si>
  <si>
    <t>ECUADOR PROSPERITY</t>
  </si>
  <si>
    <t>Basrah Heavy</t>
  </si>
  <si>
    <t>BELGIUM B</t>
  </si>
  <si>
    <t>CONGO PROSPERITY</t>
  </si>
  <si>
    <t>Basrah Med</t>
  </si>
  <si>
    <t>DOMINCA PROSPERITY</t>
  </si>
  <si>
    <t>ROTTERDAM ENERGY</t>
  </si>
  <si>
    <t>COSTA RICA PROSPERITY</t>
  </si>
  <si>
    <t>Trafigura</t>
  </si>
  <si>
    <t>BARBADOS PROSPERITY</t>
  </si>
  <si>
    <t>Mercuria</t>
  </si>
  <si>
    <t>localtion shows</t>
  </si>
  <si>
    <t>SANAM</t>
  </si>
  <si>
    <t>SERIFOS</t>
  </si>
  <si>
    <t>AEOLOS MANAGEMENT SA</t>
  </si>
  <si>
    <t>Zhanjiang</t>
  </si>
  <si>
    <t>Qatar Mar</t>
  </si>
  <si>
    <t>KIARA M</t>
  </si>
  <si>
    <t>Arctic Voyager Incorporated</t>
  </si>
  <si>
    <t>ATARAKTOS</t>
  </si>
  <si>
    <t>Aramco</t>
  </si>
  <si>
    <t>COLOMBIA PROSPERITY</t>
  </si>
  <si>
    <t>EGYPT PROSPERITY</t>
  </si>
  <si>
    <t>DELOS</t>
  </si>
  <si>
    <t>Qingdao Huangdao</t>
  </si>
  <si>
    <t>SPAIN B</t>
  </si>
  <si>
    <t>timestamp</t>
  </si>
  <si>
    <t>FINLAND PROSPERITY</t>
  </si>
  <si>
    <t>PERU PROSPERITY</t>
  </si>
  <si>
    <t>Easter Asia</t>
  </si>
  <si>
    <t>SEEB</t>
  </si>
  <si>
    <t>SURINAME PROSPERITY</t>
  </si>
  <si>
    <t>HELGA</t>
  </si>
  <si>
    <t>COSCO</t>
  </si>
  <si>
    <t>Maran Tankers Management</t>
  </si>
  <si>
    <t>Ocean Trinity</t>
  </si>
  <si>
    <t>??</t>
  </si>
  <si>
    <t>VLCC was bought by undisclosed investors on march 2026</t>
  </si>
  <si>
    <t>struck</t>
  </si>
  <si>
    <t>MARAN ANTILOPE</t>
  </si>
  <si>
    <t>WEDYAN</t>
  </si>
  <si>
    <t xml:space="preserve">OUTSIDE </t>
  </si>
  <si>
    <t>MANAGE TO EXIT</t>
  </si>
  <si>
    <t>STRUCK</t>
  </si>
  <si>
    <t>HAVEN'T SEEN IN A WHILE</t>
  </si>
  <si>
    <t>Vessel</t>
  </si>
  <si>
    <t>Capacity (bbl)</t>
  </si>
  <si>
    <t>location_approx</t>
  </si>
  <si>
    <t>New Amorgos</t>
  </si>
  <si>
    <t>Off Al-bashra</t>
  </si>
  <si>
    <t>New Andros</t>
  </si>
  <si>
    <t>Off fujairah</t>
  </si>
  <si>
    <t>New Dynasty</t>
  </si>
  <si>
    <t>New Giant</t>
  </si>
  <si>
    <t>Off siri island</t>
  </si>
  <si>
    <t>indicating Al Bashrah</t>
  </si>
  <si>
    <t>inactive</t>
  </si>
  <si>
    <t>New Diamond</t>
  </si>
  <si>
    <t>New Friendship</t>
  </si>
  <si>
    <t>Off Gibraltar</t>
  </si>
  <si>
    <t>Cape Balder</t>
  </si>
  <si>
    <t>New Inspiration</t>
  </si>
  <si>
    <t>New Legend</t>
  </si>
  <si>
    <t>Reaching Suez Canal</t>
  </si>
  <si>
    <t>New Paros</t>
  </si>
  <si>
    <t>New Vision</t>
  </si>
  <si>
    <t>Off the coast of wales</t>
  </si>
  <si>
    <t>Paros</t>
  </si>
  <si>
    <t>Off ust luga</t>
  </si>
  <si>
    <t>Star I</t>
  </si>
  <si>
    <t>Tinagu</t>
  </si>
  <si>
    <t>Trident Hope</t>
  </si>
  <si>
    <t>Off malasya coast</t>
  </si>
  <si>
    <t>Qatar Land</t>
  </si>
  <si>
    <t>Mesaieed</t>
  </si>
  <si>
    <t>NOT LOADED - INSIDE</t>
  </si>
  <si>
    <t>LOADED - INSIDE</t>
  </si>
  <si>
    <t>SCHEDULED TO LOAD - OUTSIDE</t>
  </si>
  <si>
    <t>AL SAMHA</t>
  </si>
  <si>
    <t>Ruwais</t>
  </si>
  <si>
    <t>NEW GIANT</t>
  </si>
  <si>
    <t>ROMANIAN PROSPERITY</t>
  </si>
  <si>
    <t>New Shipping Ltd</t>
  </si>
  <si>
    <t>Jebel Dhanna</t>
  </si>
  <si>
    <t>IMOLA</t>
  </si>
  <si>
    <t>EVALEND SHIPPING CO SA</t>
  </si>
  <si>
    <t>SOUTH AFRICA PROSPERITY</t>
  </si>
  <si>
    <t>Quantity</t>
  </si>
  <si>
    <t>BRUNEI PROSPERITY</t>
  </si>
  <si>
    <t>GERMANY B</t>
  </si>
  <si>
    <t>x</t>
  </si>
  <si>
    <t>Floating storage</t>
  </si>
  <si>
    <t>ST1</t>
  </si>
  <si>
    <t>SHT2</t>
  </si>
  <si>
    <t>AL RIQQA</t>
  </si>
  <si>
    <t>Ras Laffan</t>
  </si>
  <si>
    <t>Qatar Co</t>
  </si>
  <si>
    <t>KIKU</t>
  </si>
  <si>
    <t>Prima Energy Ltd</t>
  </si>
  <si>
    <t>SG  Holdings Ltd</t>
  </si>
  <si>
    <t>STALLION</t>
  </si>
  <si>
    <t>700 kb</t>
  </si>
  <si>
    <t>GEM NO.2</t>
  </si>
  <si>
    <t>Global Energy Maritime</t>
  </si>
  <si>
    <t>Arab Lt.</t>
  </si>
  <si>
    <t>Italics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</si>
</sst>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9"/>
      <color rgb="FF03071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3" tint="0.499984740745262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8">
    <xf numFmtId="0" fontId="0" fillId="0" borderId="0" xfId="0"/>
    <xf numFmtId="0" fontId="1" fillId="0" borderId="0" xfId="0" applyFont="1"/>
    <xf numFmtId="14" fontId="0" fillId="0" borderId="0" xfId="0" applyNumberFormat="1"/>
    <xf numFmtId="0" fontId="0" fillId="2" borderId="0" xfId="0" applyFill="1"/>
    <xf numFmtId="0" fontId="0" fillId="0" borderId="0" xfId="0" applyFill="1"/>
    <xf numFmtId="14" fontId="0" fillId="0" borderId="0" xfId="0" applyNumberFormat="1" applyFill="1"/>
    <xf numFmtId="0" fontId="1" fillId="0" borderId="1" xfId="0" applyFont="1" applyBorder="1"/>
    <xf numFmtId="22" fontId="0" fillId="0" borderId="0" xfId="0" applyNumberFormat="1"/>
    <xf numFmtId="0" fontId="0" fillId="3" borderId="0" xfId="0" applyFill="1"/>
    <xf numFmtId="14" fontId="0" fillId="3" borderId="0" xfId="0" applyNumberFormat="1" applyFill="1"/>
    <xf numFmtId="0" fontId="0" fillId="0" borderId="2" xfId="0" applyBorder="1"/>
    <xf numFmtId="0" fontId="0" fillId="4" borderId="0" xfId="0" applyFill="1"/>
    <xf numFmtId="14" fontId="0" fillId="4" borderId="0" xfId="0" applyNumberFormat="1" applyFill="1"/>
    <xf numFmtId="0" fontId="0" fillId="5" borderId="0" xfId="0" applyFill="1"/>
    <xf numFmtId="14" fontId="0" fillId="5" borderId="0" xfId="0" applyNumberFormat="1" applyFill="1"/>
    <xf numFmtId="0" fontId="2" fillId="2" borderId="0" xfId="1" applyFill="1" applyBorder="1" applyAlignment="1">
      <alignment vertical="top" indent="1"/>
    </xf>
    <xf numFmtId="3" fontId="4" fillId="2" borderId="0" xfId="0" applyNumberFormat="1" applyFont="1" applyFill="1" applyAlignment="1">
      <alignment vertical="top" indent="1"/>
    </xf>
    <xf numFmtId="0" fontId="2" fillId="6" borderId="0" xfId="1" applyFill="1" applyBorder="1" applyAlignment="1">
      <alignment vertical="top" indent="1"/>
    </xf>
    <xf numFmtId="3" fontId="4" fillId="7" borderId="0" xfId="0" applyNumberFormat="1" applyFont="1" applyFill="1" applyAlignment="1">
      <alignment vertical="top" indent="1"/>
    </xf>
    <xf numFmtId="3" fontId="4" fillId="6" borderId="0" xfId="0" applyNumberFormat="1" applyFont="1" applyFill="1" applyAlignment="1">
      <alignment vertical="top" indent="1"/>
    </xf>
    <xf numFmtId="0" fontId="0" fillId="8" borderId="0" xfId="0" applyFill="1"/>
    <xf numFmtId="14" fontId="0" fillId="8" borderId="0" xfId="0" applyNumberFormat="1" applyFill="1"/>
    <xf numFmtId="0" fontId="3" fillId="0" borderId="0" xfId="0" applyFont="1" applyFill="1"/>
    <xf numFmtId="14" fontId="3" fillId="0" borderId="0" xfId="0" applyNumberFormat="1" applyFont="1" applyFill="1"/>
    <xf numFmtId="0" fontId="3" fillId="0" borderId="3" xfId="0" applyFont="1" applyFill="1" applyBorder="1"/>
    <xf numFmtId="0" fontId="3" fillId="0" borderId="4" xfId="0" applyFont="1" applyFill="1" applyBorder="1"/>
    <xf numFmtId="14" fontId="3" fillId="0" borderId="4" xfId="0" applyNumberFormat="1" applyFont="1" applyFill="1" applyBorder="1"/>
    <xf numFmtId="0" fontId="3" fillId="0" borderId="5" xfId="0" applyFont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1514475</xdr:colOff>
      <xdr:row>1</xdr:row>
      <xdr:rowOff>19050</xdr:rowOff>
    </xdr:from>
    <xdr:to>
      <xdr:col>27</xdr:col>
      <xdr:colOff>304800</xdr:colOff>
      <xdr:row>7</xdr:row>
      <xdr:rowOff>28575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55D3ABB-55B6-4F81-871F-CC4F7DB661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278600" y="209550"/>
          <a:ext cx="2190750" cy="1152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terminal.kpler.com/map/vessel/70731?fields=vessel,product&amp;products=1368&amp;vessels=86586" TargetMode="External"/><Relationship Id="rId13" Type="http://schemas.openxmlformats.org/officeDocument/2006/relationships/hyperlink" Target="https://terminal.kpler.com/map/vessel/69818?fields=vessel,product&amp;products=1368&amp;vessels=86586" TargetMode="External"/><Relationship Id="rId3" Type="http://schemas.openxmlformats.org/officeDocument/2006/relationships/hyperlink" Target="https://terminal.kpler.com/map/vessel/73886?fields=vessel,product&amp;products=1368&amp;vessels=86586" TargetMode="External"/><Relationship Id="rId7" Type="http://schemas.openxmlformats.org/officeDocument/2006/relationships/hyperlink" Target="https://terminal.kpler.com/map/vessel/86586?fields=vessel,product&amp;products=1368&amp;vessels=86586" TargetMode="External"/><Relationship Id="rId12" Type="http://schemas.openxmlformats.org/officeDocument/2006/relationships/hyperlink" Target="https://terminal.kpler.com/map/vessel/73984?fields=vessel,product&amp;products=1368&amp;vessels=86586" TargetMode="External"/><Relationship Id="rId2" Type="http://schemas.openxmlformats.org/officeDocument/2006/relationships/hyperlink" Target="https://terminal.kpler.com/map/vessel/78282?fields=vessel,product&amp;products=1368&amp;vessels=86586" TargetMode="External"/><Relationship Id="rId1" Type="http://schemas.openxmlformats.org/officeDocument/2006/relationships/hyperlink" Target="https://terminal.kpler.com/map/vessel/68579?fields=vessel,product&amp;products=1368&amp;vessels=86586" TargetMode="External"/><Relationship Id="rId6" Type="http://schemas.openxmlformats.org/officeDocument/2006/relationships/hyperlink" Target="https://terminal.kpler.com/map/vessel/71252?fields=vessel,product&amp;products=1368&amp;vessels=86586" TargetMode="External"/><Relationship Id="rId11" Type="http://schemas.openxmlformats.org/officeDocument/2006/relationships/hyperlink" Target="https://terminal.kpler.com/map/vessel/101948?fields=vessel,product&amp;products=1368&amp;vessels=86586" TargetMode="External"/><Relationship Id="rId5" Type="http://schemas.openxmlformats.org/officeDocument/2006/relationships/hyperlink" Target="https://terminal.kpler.com/map/vessel/71392?fields=vessel,product&amp;products=1368&amp;vessels=86586" TargetMode="External"/><Relationship Id="rId15" Type="http://schemas.openxmlformats.org/officeDocument/2006/relationships/hyperlink" Target="https://terminal.kpler.com/map/vessel/72446?fields=vessel,product&amp;products=1368&amp;vessels=86586" TargetMode="External"/><Relationship Id="rId10" Type="http://schemas.openxmlformats.org/officeDocument/2006/relationships/hyperlink" Target="https://terminal.kpler.com/map/vessel/68633?fields=vessel,product&amp;products=1368&amp;vessels=86586" TargetMode="External"/><Relationship Id="rId4" Type="http://schemas.openxmlformats.org/officeDocument/2006/relationships/hyperlink" Target="https://terminal.kpler.com/map/vessel/68734?fields=vessel,product&amp;products=1368&amp;vessels=86586" TargetMode="External"/><Relationship Id="rId9" Type="http://schemas.openxmlformats.org/officeDocument/2006/relationships/hyperlink" Target="https://terminal.kpler.com/map/vessel/70290?fields=vessel,product&amp;products=1368&amp;vessels=86586" TargetMode="External"/><Relationship Id="rId14" Type="http://schemas.openxmlformats.org/officeDocument/2006/relationships/hyperlink" Target="https://terminal.kpler.com/map/vessel/71394?fields=vessel,product&amp;products=1368&amp;vessels=8658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28AF1-A5E7-4779-9634-4965A885E745}">
  <dimension ref="A1:Y87"/>
  <sheetViews>
    <sheetView tabSelected="1" workbookViewId="0">
      <selection activeCell="F24" sqref="F24"/>
    </sheetView>
  </sheetViews>
  <sheetFormatPr defaultRowHeight="15" x14ac:dyDescent="0.25"/>
  <cols>
    <col min="2" max="2" width="22.7109375" bestFit="1" customWidth="1"/>
    <col min="3" max="3" width="10.7109375" customWidth="1"/>
    <col min="4" max="4" width="12.140625" bestFit="1" customWidth="1"/>
    <col min="5" max="5" width="14.5703125" bestFit="1" customWidth="1"/>
    <col min="6" max="6" width="14.7109375" bestFit="1" customWidth="1"/>
    <col min="8" max="8" width="15.28515625" bestFit="1" customWidth="1"/>
    <col min="9" max="9" width="15.28515625" customWidth="1"/>
    <col min="12" max="12" width="17.42578125" bestFit="1" customWidth="1"/>
    <col min="21" max="21" width="15.5703125" bestFit="1" customWidth="1"/>
    <col min="24" max="24" width="23.5703125" bestFit="1" customWidth="1"/>
  </cols>
  <sheetData>
    <row r="1" spans="1:25" x14ac:dyDescent="0.25">
      <c r="H1" s="2"/>
    </row>
    <row r="2" spans="1:25" x14ac:dyDescent="0.25">
      <c r="B2" s="6" t="s">
        <v>0</v>
      </c>
      <c r="C2" s="6" t="s">
        <v>1</v>
      </c>
      <c r="D2" s="6" t="s">
        <v>2</v>
      </c>
      <c r="E2" s="6" t="s">
        <v>3</v>
      </c>
      <c r="F2" s="6" t="s">
        <v>4</v>
      </c>
      <c r="G2" s="6" t="s">
        <v>5</v>
      </c>
      <c r="H2" s="6" t="s">
        <v>6</v>
      </c>
      <c r="I2" s="6" t="s">
        <v>7</v>
      </c>
      <c r="J2" s="6" t="s">
        <v>8</v>
      </c>
      <c r="K2" s="6" t="s">
        <v>9</v>
      </c>
      <c r="L2" s="6" t="s">
        <v>10</v>
      </c>
      <c r="M2" s="1" t="s">
        <v>182</v>
      </c>
      <c r="O2" s="1" t="s">
        <v>11</v>
      </c>
      <c r="U2" s="1" t="s">
        <v>121</v>
      </c>
    </row>
    <row r="3" spans="1:25" x14ac:dyDescent="0.25">
      <c r="B3" t="s">
        <v>12</v>
      </c>
      <c r="C3" t="s">
        <v>13</v>
      </c>
      <c r="D3" t="s">
        <v>14</v>
      </c>
      <c r="E3" s="2">
        <v>46196</v>
      </c>
      <c r="F3" s="2">
        <v>46199</v>
      </c>
      <c r="G3" t="s">
        <v>15</v>
      </c>
      <c r="I3" s="2">
        <v>46205</v>
      </c>
      <c r="J3" t="s">
        <v>16</v>
      </c>
      <c r="L3" t="s">
        <v>17</v>
      </c>
      <c r="M3" t="s">
        <v>18</v>
      </c>
      <c r="U3" s="7">
        <v>46216.786058796293</v>
      </c>
      <c r="X3" t="s">
        <v>170</v>
      </c>
      <c r="Y3" s="8"/>
    </row>
    <row r="4" spans="1:25" x14ac:dyDescent="0.25">
      <c r="B4" t="s">
        <v>19</v>
      </c>
      <c r="C4" t="s">
        <v>13</v>
      </c>
      <c r="D4" t="s">
        <v>14</v>
      </c>
      <c r="E4" s="2">
        <v>46196</v>
      </c>
      <c r="F4" s="2">
        <v>46198</v>
      </c>
      <c r="G4" t="s">
        <v>20</v>
      </c>
      <c r="I4" s="2">
        <v>46202</v>
      </c>
      <c r="J4" t="s">
        <v>16</v>
      </c>
      <c r="L4" t="s">
        <v>17</v>
      </c>
      <c r="M4" t="s">
        <v>18</v>
      </c>
      <c r="U4" s="7">
        <v>46216.786058796293</v>
      </c>
      <c r="X4" t="s">
        <v>172</v>
      </c>
      <c r="Y4" s="20"/>
    </row>
    <row r="5" spans="1:25" x14ac:dyDescent="0.25">
      <c r="B5" t="s">
        <v>21</v>
      </c>
      <c r="C5" t="s">
        <v>22</v>
      </c>
      <c r="D5" t="s">
        <v>23</v>
      </c>
      <c r="E5" s="2">
        <v>46196</v>
      </c>
      <c r="F5" s="2">
        <v>46197</v>
      </c>
      <c r="G5" t="s">
        <v>24</v>
      </c>
      <c r="I5" s="2">
        <v>46202</v>
      </c>
      <c r="J5" t="s">
        <v>25</v>
      </c>
      <c r="K5" t="s">
        <v>26</v>
      </c>
      <c r="M5" t="s">
        <v>18</v>
      </c>
      <c r="U5" s="7">
        <v>46216.786058796293</v>
      </c>
      <c r="X5" t="s">
        <v>171</v>
      </c>
      <c r="Y5" s="13"/>
    </row>
    <row r="6" spans="1:25" x14ac:dyDescent="0.25">
      <c r="B6" t="s">
        <v>27</v>
      </c>
      <c r="C6" t="s">
        <v>22</v>
      </c>
      <c r="D6" t="s">
        <v>28</v>
      </c>
      <c r="E6" s="2"/>
      <c r="F6" s="2"/>
      <c r="I6" s="2">
        <v>46202</v>
      </c>
      <c r="J6" t="s">
        <v>25</v>
      </c>
      <c r="M6" t="s">
        <v>18</v>
      </c>
      <c r="U6" s="7">
        <v>46216.786058796293</v>
      </c>
      <c r="X6" t="s">
        <v>137</v>
      </c>
      <c r="Y6" s="11"/>
    </row>
    <row r="7" spans="1:25" x14ac:dyDescent="0.25">
      <c r="B7" t="s">
        <v>29</v>
      </c>
      <c r="C7" t="s">
        <v>13</v>
      </c>
      <c r="D7" t="s">
        <v>14</v>
      </c>
      <c r="E7" s="2">
        <v>46196</v>
      </c>
      <c r="F7" s="2">
        <v>46200</v>
      </c>
      <c r="G7" t="s">
        <v>20</v>
      </c>
      <c r="I7" s="2">
        <v>46205</v>
      </c>
      <c r="J7" t="s">
        <v>16</v>
      </c>
      <c r="L7" t="s">
        <v>17</v>
      </c>
      <c r="M7" t="s">
        <v>18</v>
      </c>
      <c r="U7" s="7">
        <v>46216.786058796293</v>
      </c>
      <c r="X7" t="s">
        <v>138</v>
      </c>
      <c r="Y7" s="10"/>
    </row>
    <row r="8" spans="1:25" x14ac:dyDescent="0.25">
      <c r="B8" t="s">
        <v>30</v>
      </c>
      <c r="C8" t="s">
        <v>13</v>
      </c>
      <c r="D8" t="s">
        <v>14</v>
      </c>
      <c r="E8" s="2">
        <v>46196</v>
      </c>
      <c r="F8" s="2">
        <v>46198</v>
      </c>
      <c r="G8" t="s">
        <v>20</v>
      </c>
      <c r="I8" s="2">
        <v>46205</v>
      </c>
      <c r="J8" t="s">
        <v>16</v>
      </c>
      <c r="L8" t="s">
        <v>17</v>
      </c>
      <c r="M8" t="s">
        <v>18</v>
      </c>
      <c r="U8" s="7">
        <v>46216.786058796293</v>
      </c>
      <c r="X8" t="s">
        <v>139</v>
      </c>
      <c r="Y8" s="22" t="s">
        <v>200</v>
      </c>
    </row>
    <row r="9" spans="1:25" x14ac:dyDescent="0.25">
      <c r="B9" t="s">
        <v>31</v>
      </c>
      <c r="C9" t="s">
        <v>13</v>
      </c>
      <c r="D9" t="s">
        <v>14</v>
      </c>
      <c r="E9" s="2"/>
      <c r="F9" s="2">
        <v>46200</v>
      </c>
      <c r="G9" t="s">
        <v>20</v>
      </c>
      <c r="I9" s="2">
        <v>46205</v>
      </c>
      <c r="J9" t="s">
        <v>16</v>
      </c>
      <c r="L9" t="s">
        <v>17</v>
      </c>
      <c r="M9" t="s">
        <v>18</v>
      </c>
      <c r="U9" s="7">
        <v>46216.786058796293</v>
      </c>
    </row>
    <row r="10" spans="1:25" x14ac:dyDescent="0.25">
      <c r="A10" t="s">
        <v>185</v>
      </c>
      <c r="B10" s="22" t="s">
        <v>32</v>
      </c>
      <c r="C10" s="22" t="s">
        <v>33</v>
      </c>
      <c r="D10" s="22"/>
      <c r="E10" s="23"/>
      <c r="F10" s="23"/>
      <c r="G10" s="22"/>
      <c r="H10" s="22">
        <v>17</v>
      </c>
      <c r="I10" s="23"/>
      <c r="J10" s="22" t="s">
        <v>34</v>
      </c>
      <c r="K10" s="22"/>
      <c r="L10" s="22" t="s">
        <v>17</v>
      </c>
      <c r="M10" s="22" t="s">
        <v>35</v>
      </c>
      <c r="O10" t="s">
        <v>36</v>
      </c>
      <c r="Q10" t="s">
        <v>37</v>
      </c>
      <c r="U10" s="7">
        <v>46216.786058796293</v>
      </c>
      <c r="X10" t="s">
        <v>136</v>
      </c>
    </row>
    <row r="11" spans="1:25" x14ac:dyDescent="0.25">
      <c r="B11" s="22" t="s">
        <v>38</v>
      </c>
      <c r="C11" s="22" t="s">
        <v>39</v>
      </c>
      <c r="D11" s="22" t="s">
        <v>40</v>
      </c>
      <c r="E11" s="23">
        <v>46199</v>
      </c>
      <c r="F11" s="23">
        <v>46200</v>
      </c>
      <c r="G11" s="22" t="s">
        <v>41</v>
      </c>
      <c r="H11" s="22">
        <v>6</v>
      </c>
      <c r="I11" s="23">
        <v>46202</v>
      </c>
      <c r="J11" s="22" t="s">
        <v>25</v>
      </c>
      <c r="K11" s="22"/>
      <c r="L11" s="22" t="s">
        <v>17</v>
      </c>
      <c r="M11" s="22" t="s">
        <v>42</v>
      </c>
      <c r="U11" s="7">
        <v>46216.786058796293</v>
      </c>
    </row>
    <row r="12" spans="1:25" x14ac:dyDescent="0.25">
      <c r="B12" s="22" t="s">
        <v>43</v>
      </c>
      <c r="C12" s="22" t="s">
        <v>33</v>
      </c>
      <c r="D12" s="22" t="s">
        <v>44</v>
      </c>
      <c r="E12" s="23">
        <v>46199</v>
      </c>
      <c r="F12" s="23">
        <v>46200</v>
      </c>
      <c r="G12" s="22" t="s">
        <v>45</v>
      </c>
      <c r="H12" s="22">
        <v>12</v>
      </c>
      <c r="I12" s="23">
        <v>46204</v>
      </c>
      <c r="J12" s="22" t="s">
        <v>25</v>
      </c>
      <c r="K12" s="22"/>
      <c r="L12" s="22" t="s">
        <v>17</v>
      </c>
      <c r="M12" s="22" t="s">
        <v>42</v>
      </c>
      <c r="U12" s="7">
        <v>46216.786058796293</v>
      </c>
    </row>
    <row r="13" spans="1:25" x14ac:dyDescent="0.25">
      <c r="A13" t="s">
        <v>133</v>
      </c>
      <c r="B13" s="24" t="s">
        <v>46</v>
      </c>
      <c r="C13" s="25" t="s">
        <v>39</v>
      </c>
      <c r="D13" s="25" t="s">
        <v>40</v>
      </c>
      <c r="E13" s="26">
        <v>46201</v>
      </c>
      <c r="F13" s="26">
        <v>46202</v>
      </c>
      <c r="G13" s="25" t="s">
        <v>41</v>
      </c>
      <c r="H13" s="25">
        <v>6</v>
      </c>
      <c r="I13" s="26">
        <v>46204</v>
      </c>
      <c r="J13" s="25" t="s">
        <v>16</v>
      </c>
      <c r="K13" s="25" t="s">
        <v>47</v>
      </c>
      <c r="L13" s="25" t="s">
        <v>48</v>
      </c>
      <c r="M13" s="27" t="s">
        <v>18</v>
      </c>
      <c r="U13" s="7">
        <v>46216.786058796293</v>
      </c>
    </row>
    <row r="14" spans="1:25" x14ac:dyDescent="0.25">
      <c r="B14" s="22" t="s">
        <v>49</v>
      </c>
      <c r="C14" s="22" t="s">
        <v>33</v>
      </c>
      <c r="D14" s="22" t="s">
        <v>44</v>
      </c>
      <c r="E14" s="23">
        <v>46200</v>
      </c>
      <c r="F14" s="23">
        <v>46201</v>
      </c>
      <c r="G14" s="22" t="s">
        <v>45</v>
      </c>
      <c r="H14" s="22">
        <v>12</v>
      </c>
      <c r="I14" s="23">
        <v>46204</v>
      </c>
      <c r="J14" s="22" t="s">
        <v>16</v>
      </c>
      <c r="K14" s="22"/>
      <c r="L14" s="22" t="s">
        <v>17</v>
      </c>
      <c r="M14" s="22" t="s">
        <v>50</v>
      </c>
      <c r="U14" s="7">
        <v>46216.786058796293</v>
      </c>
    </row>
    <row r="15" spans="1:25" x14ac:dyDescent="0.25">
      <c r="B15" t="s">
        <v>51</v>
      </c>
      <c r="C15" t="s">
        <v>13</v>
      </c>
      <c r="D15" t="s">
        <v>14</v>
      </c>
      <c r="E15" s="2">
        <v>46201</v>
      </c>
      <c r="F15" s="2">
        <v>46203</v>
      </c>
      <c r="G15" t="s">
        <v>20</v>
      </c>
      <c r="I15" s="2">
        <v>46206</v>
      </c>
      <c r="J15" t="s">
        <v>16</v>
      </c>
      <c r="L15" t="s">
        <v>17</v>
      </c>
      <c r="M15" t="s">
        <v>42</v>
      </c>
      <c r="U15" s="7">
        <v>46216.786058796293</v>
      </c>
    </row>
    <row r="16" spans="1:25" x14ac:dyDescent="0.25">
      <c r="B16" t="s">
        <v>52</v>
      </c>
      <c r="C16" t="s">
        <v>53</v>
      </c>
      <c r="D16" t="s">
        <v>23</v>
      </c>
      <c r="E16" s="2">
        <v>46198</v>
      </c>
      <c r="F16" s="2">
        <v>46202</v>
      </c>
      <c r="G16" t="s">
        <v>24</v>
      </c>
      <c r="I16" s="2">
        <v>46207</v>
      </c>
      <c r="J16" t="s">
        <v>16</v>
      </c>
      <c r="K16" t="s">
        <v>54</v>
      </c>
      <c r="L16" t="s">
        <v>17</v>
      </c>
      <c r="M16" t="s">
        <v>55</v>
      </c>
      <c r="U16" s="7">
        <v>46216.786058796293</v>
      </c>
    </row>
    <row r="17" spans="1:21" x14ac:dyDescent="0.25">
      <c r="A17" t="s">
        <v>185</v>
      </c>
      <c r="B17" s="22" t="s">
        <v>189</v>
      </c>
      <c r="C17" s="22" t="s">
        <v>64</v>
      </c>
      <c r="D17" s="22" t="s">
        <v>65</v>
      </c>
      <c r="E17" s="22"/>
      <c r="F17" s="23">
        <v>46188</v>
      </c>
      <c r="G17" s="22" t="s">
        <v>66</v>
      </c>
      <c r="H17" s="22">
        <v>30</v>
      </c>
      <c r="I17" s="22"/>
      <c r="J17" s="22" t="s">
        <v>34</v>
      </c>
      <c r="K17" s="22"/>
      <c r="L17" s="22" t="s">
        <v>17</v>
      </c>
      <c r="M17" s="22" t="s">
        <v>42</v>
      </c>
    </row>
    <row r="18" spans="1:21" x14ac:dyDescent="0.25">
      <c r="A18" t="s">
        <v>185</v>
      </c>
      <c r="B18" s="22" t="s">
        <v>63</v>
      </c>
      <c r="C18" s="22" t="s">
        <v>64</v>
      </c>
      <c r="D18" s="22" t="s">
        <v>65</v>
      </c>
      <c r="E18" s="22"/>
      <c r="F18" s="23">
        <v>46203</v>
      </c>
      <c r="G18" s="22" t="s">
        <v>66</v>
      </c>
      <c r="H18" s="22">
        <v>30</v>
      </c>
      <c r="I18" s="22"/>
      <c r="J18" s="22" t="s">
        <v>34</v>
      </c>
      <c r="K18" s="22"/>
      <c r="L18" s="22" t="s">
        <v>17</v>
      </c>
      <c r="M18" s="22" t="s">
        <v>42</v>
      </c>
    </row>
    <row r="19" spans="1:21" x14ac:dyDescent="0.25">
      <c r="A19" t="s">
        <v>185</v>
      </c>
      <c r="B19" s="22" t="s">
        <v>56</v>
      </c>
      <c r="C19" s="22" t="s">
        <v>57</v>
      </c>
      <c r="D19" s="22" t="s">
        <v>23</v>
      </c>
      <c r="E19" s="23"/>
      <c r="F19" s="23">
        <v>46203</v>
      </c>
      <c r="G19" s="22" t="s">
        <v>24</v>
      </c>
      <c r="H19" s="22">
        <v>30</v>
      </c>
      <c r="I19" s="23"/>
      <c r="J19" s="22" t="s">
        <v>34</v>
      </c>
      <c r="K19" s="22"/>
      <c r="L19" s="22" t="s">
        <v>48</v>
      </c>
      <c r="M19" s="22" t="s">
        <v>18</v>
      </c>
      <c r="U19" s="7">
        <v>46216.786058796293</v>
      </c>
    </row>
    <row r="20" spans="1:21" x14ac:dyDescent="0.25">
      <c r="B20" s="22" t="s">
        <v>59</v>
      </c>
      <c r="C20" s="22" t="s">
        <v>39</v>
      </c>
      <c r="D20" s="22" t="s">
        <v>60</v>
      </c>
      <c r="E20" s="23"/>
      <c r="F20" s="23">
        <v>46204</v>
      </c>
      <c r="G20" s="22" t="s">
        <v>60</v>
      </c>
      <c r="H20" s="22">
        <v>8</v>
      </c>
      <c r="I20" s="23">
        <v>46208</v>
      </c>
      <c r="J20" s="22" t="s">
        <v>16</v>
      </c>
      <c r="K20" s="22" t="s">
        <v>61</v>
      </c>
      <c r="L20" s="22" t="s">
        <v>17</v>
      </c>
      <c r="M20" s="22" t="s">
        <v>42</v>
      </c>
      <c r="U20" s="7">
        <v>46216.786058796293</v>
      </c>
    </row>
    <row r="21" spans="1:21" x14ac:dyDescent="0.25">
      <c r="A21" t="s">
        <v>133</v>
      </c>
      <c r="B21" s="24" t="s">
        <v>62</v>
      </c>
      <c r="C21" s="25" t="s">
        <v>90</v>
      </c>
      <c r="D21" s="25" t="s">
        <v>40</v>
      </c>
      <c r="E21" s="26"/>
      <c r="F21" s="26">
        <v>46203</v>
      </c>
      <c r="G21" s="25" t="s">
        <v>41</v>
      </c>
      <c r="H21" s="25">
        <v>10</v>
      </c>
      <c r="I21" s="26">
        <v>46206</v>
      </c>
      <c r="J21" s="25" t="s">
        <v>16</v>
      </c>
      <c r="K21" s="25" t="s">
        <v>47</v>
      </c>
      <c r="L21" s="25" t="s">
        <v>17</v>
      </c>
      <c r="M21" s="27" t="s">
        <v>42</v>
      </c>
      <c r="R21" t="s">
        <v>33</v>
      </c>
      <c r="U21" s="7">
        <v>46216.786058796293</v>
      </c>
    </row>
    <row r="22" spans="1:21" x14ac:dyDescent="0.25">
      <c r="B22" s="22" t="s">
        <v>63</v>
      </c>
      <c r="C22" s="22" t="s">
        <v>64</v>
      </c>
      <c r="D22" s="22" t="s">
        <v>65</v>
      </c>
      <c r="E22" s="23"/>
      <c r="F22" s="23">
        <v>46203</v>
      </c>
      <c r="G22" s="22" t="s">
        <v>66</v>
      </c>
      <c r="H22" s="22">
        <v>30</v>
      </c>
      <c r="I22" s="23"/>
      <c r="J22" s="22" t="s">
        <v>58</v>
      </c>
      <c r="K22" s="22" t="s">
        <v>26</v>
      </c>
      <c r="L22" s="22" t="s">
        <v>17</v>
      </c>
      <c r="M22" s="22" t="s">
        <v>42</v>
      </c>
      <c r="U22" s="7">
        <v>46216.786058796293</v>
      </c>
    </row>
    <row r="23" spans="1:21" x14ac:dyDescent="0.25">
      <c r="B23" s="11" t="s">
        <v>67</v>
      </c>
      <c r="C23" s="11" t="s">
        <v>13</v>
      </c>
      <c r="D23" s="11" t="s">
        <v>14</v>
      </c>
      <c r="E23" s="12"/>
      <c r="F23" s="12">
        <v>46203</v>
      </c>
      <c r="G23" s="11" t="s">
        <v>20</v>
      </c>
      <c r="H23" s="11"/>
      <c r="I23" s="12">
        <v>46206</v>
      </c>
      <c r="J23" s="11" t="s">
        <v>16</v>
      </c>
      <c r="K23" s="11" t="s">
        <v>68</v>
      </c>
      <c r="L23" s="11" t="s">
        <v>17</v>
      </c>
      <c r="M23" s="11" t="s">
        <v>42</v>
      </c>
      <c r="U23" s="7">
        <v>46216.786058796293</v>
      </c>
    </row>
    <row r="24" spans="1:21" x14ac:dyDescent="0.25">
      <c r="B24" s="11" t="s">
        <v>69</v>
      </c>
      <c r="C24" s="11" t="s">
        <v>70</v>
      </c>
      <c r="D24" s="11" t="s">
        <v>71</v>
      </c>
      <c r="E24" s="12">
        <v>46200</v>
      </c>
      <c r="F24" s="12">
        <v>46203</v>
      </c>
      <c r="G24" s="11" t="s">
        <v>20</v>
      </c>
      <c r="H24" s="11"/>
      <c r="I24" s="12">
        <v>46207</v>
      </c>
      <c r="J24" s="11" t="s">
        <v>16</v>
      </c>
      <c r="K24" s="11" t="s">
        <v>68</v>
      </c>
      <c r="L24" s="11" t="s">
        <v>17</v>
      </c>
      <c r="M24" s="11" t="s">
        <v>42</v>
      </c>
      <c r="U24" s="7">
        <v>46216.786058796293</v>
      </c>
    </row>
    <row r="25" spans="1:21" x14ac:dyDescent="0.25">
      <c r="B25" s="22" t="s">
        <v>72</v>
      </c>
      <c r="C25" s="22" t="s">
        <v>33</v>
      </c>
      <c r="D25" s="22" t="s">
        <v>40</v>
      </c>
      <c r="E25" s="23"/>
      <c r="F25" s="23">
        <v>46209</v>
      </c>
      <c r="G25" s="22" t="s">
        <v>41</v>
      </c>
      <c r="H25" s="22">
        <v>3</v>
      </c>
      <c r="I25" s="23">
        <v>46213</v>
      </c>
      <c r="J25" s="22" t="s">
        <v>16</v>
      </c>
      <c r="K25" s="22" t="s">
        <v>47</v>
      </c>
      <c r="L25" s="22" t="s">
        <v>17</v>
      </c>
      <c r="M25" s="22" t="s">
        <v>42</v>
      </c>
      <c r="U25" s="7">
        <v>46216.786058796293</v>
      </c>
    </row>
    <row r="26" spans="1:21" x14ac:dyDescent="0.25">
      <c r="B26" s="22" t="s">
        <v>73</v>
      </c>
      <c r="C26" s="22" t="s">
        <v>64</v>
      </c>
      <c r="D26" s="22" t="s">
        <v>65</v>
      </c>
      <c r="E26" s="23"/>
      <c r="F26" s="23">
        <v>46204</v>
      </c>
      <c r="G26" s="22" t="s">
        <v>66</v>
      </c>
      <c r="H26" s="22">
        <v>60</v>
      </c>
      <c r="I26" s="23"/>
      <c r="J26" s="22" t="s">
        <v>58</v>
      </c>
      <c r="K26" s="22" t="s">
        <v>26</v>
      </c>
      <c r="L26" s="22" t="s">
        <v>48</v>
      </c>
      <c r="M26" s="22" t="s">
        <v>18</v>
      </c>
      <c r="U26" s="7">
        <v>46216.786058796293</v>
      </c>
    </row>
    <row r="27" spans="1:21" x14ac:dyDescent="0.25">
      <c r="A27" t="s">
        <v>185</v>
      </c>
      <c r="B27" s="13" t="s">
        <v>74</v>
      </c>
      <c r="C27" s="13" t="s">
        <v>75</v>
      </c>
      <c r="D27" s="13" t="s">
        <v>23</v>
      </c>
      <c r="E27" s="14"/>
      <c r="F27" s="14">
        <v>46201</v>
      </c>
      <c r="G27" s="13" t="s">
        <v>24</v>
      </c>
      <c r="H27" s="13"/>
      <c r="I27" s="13"/>
      <c r="J27" s="13" t="s">
        <v>34</v>
      </c>
      <c r="K27" s="13" t="s">
        <v>76</v>
      </c>
      <c r="L27" s="13" t="s">
        <v>17</v>
      </c>
      <c r="M27" s="13" t="s">
        <v>42</v>
      </c>
      <c r="O27" t="s">
        <v>36</v>
      </c>
      <c r="U27" s="7">
        <v>46216.786058796293</v>
      </c>
    </row>
    <row r="28" spans="1:21" x14ac:dyDescent="0.25">
      <c r="B28" t="s">
        <v>77</v>
      </c>
      <c r="C28" t="s">
        <v>90</v>
      </c>
      <c r="D28" t="s">
        <v>44</v>
      </c>
      <c r="E28" s="2">
        <v>46202</v>
      </c>
      <c r="F28" s="2">
        <v>46204</v>
      </c>
      <c r="G28" t="s">
        <v>45</v>
      </c>
      <c r="I28" s="2">
        <v>46208</v>
      </c>
      <c r="J28" t="s">
        <v>25</v>
      </c>
      <c r="K28" t="s">
        <v>61</v>
      </c>
      <c r="L28" t="s">
        <v>48</v>
      </c>
      <c r="M28" t="s">
        <v>18</v>
      </c>
      <c r="R28" t="s">
        <v>33</v>
      </c>
      <c r="U28" s="7">
        <v>46216.786058796293</v>
      </c>
    </row>
    <row r="29" spans="1:21" x14ac:dyDescent="0.25">
      <c r="A29" t="s">
        <v>185</v>
      </c>
      <c r="B29" s="22" t="s">
        <v>135</v>
      </c>
      <c r="C29" s="22" t="s">
        <v>13</v>
      </c>
      <c r="D29" s="22" t="s">
        <v>14</v>
      </c>
      <c r="E29" s="23">
        <v>46200</v>
      </c>
      <c r="F29" s="23">
        <v>46204</v>
      </c>
      <c r="G29" s="22" t="s">
        <v>20</v>
      </c>
      <c r="H29" s="22">
        <v>12</v>
      </c>
      <c r="I29" s="22"/>
      <c r="J29" s="22" t="s">
        <v>34</v>
      </c>
      <c r="K29" s="22"/>
      <c r="L29" s="22" t="s">
        <v>17</v>
      </c>
      <c r="M29" s="22" t="s">
        <v>42</v>
      </c>
      <c r="O29" t="s">
        <v>36</v>
      </c>
      <c r="U29" s="7">
        <v>46216.786058796293</v>
      </c>
    </row>
    <row r="30" spans="1:21" x14ac:dyDescent="0.25">
      <c r="A30" t="s">
        <v>185</v>
      </c>
      <c r="B30" s="13" t="s">
        <v>78</v>
      </c>
      <c r="C30" s="13" t="s">
        <v>33</v>
      </c>
      <c r="D30" s="13" t="s">
        <v>23</v>
      </c>
      <c r="E30" s="14"/>
      <c r="F30" s="14">
        <v>46212</v>
      </c>
      <c r="G30" s="13" t="s">
        <v>24</v>
      </c>
      <c r="H30" s="13"/>
      <c r="I30" s="13"/>
      <c r="J30" s="13" t="s">
        <v>34</v>
      </c>
      <c r="K30" s="13"/>
      <c r="L30" s="13" t="s">
        <v>17</v>
      </c>
      <c r="M30" s="13" t="s">
        <v>42</v>
      </c>
      <c r="O30" t="s">
        <v>36</v>
      </c>
      <c r="U30" s="7">
        <v>46216.786058796293</v>
      </c>
    </row>
    <row r="31" spans="1:21" x14ac:dyDescent="0.25">
      <c r="A31" t="s">
        <v>185</v>
      </c>
      <c r="B31" s="22" t="s">
        <v>79</v>
      </c>
      <c r="C31" s="22" t="s">
        <v>80</v>
      </c>
      <c r="D31" s="22" t="s">
        <v>81</v>
      </c>
      <c r="E31" s="23">
        <v>46206</v>
      </c>
      <c r="F31" s="23">
        <v>46207</v>
      </c>
      <c r="G31" s="22" t="s">
        <v>41</v>
      </c>
      <c r="H31" s="22">
        <v>10</v>
      </c>
      <c r="I31" s="22"/>
      <c r="J31" s="22" t="s">
        <v>34</v>
      </c>
      <c r="K31" s="22"/>
      <c r="L31" s="22" t="s">
        <v>17</v>
      </c>
      <c r="M31" s="22" t="s">
        <v>42</v>
      </c>
      <c r="O31" t="s">
        <v>36</v>
      </c>
      <c r="Q31" t="s">
        <v>82</v>
      </c>
      <c r="U31" s="7">
        <f ca="1">+NOW()</f>
        <v>46218.629221064817</v>
      </c>
    </row>
    <row r="32" spans="1:21" x14ac:dyDescent="0.25">
      <c r="B32" s="22" t="s">
        <v>83</v>
      </c>
      <c r="C32" s="22" t="s">
        <v>84</v>
      </c>
      <c r="D32" s="22" t="s">
        <v>65</v>
      </c>
      <c r="E32" s="23"/>
      <c r="F32" s="23"/>
      <c r="G32" s="22" t="s">
        <v>66</v>
      </c>
      <c r="H32" s="22">
        <v>60</v>
      </c>
      <c r="I32" s="23">
        <v>46210</v>
      </c>
      <c r="J32" s="22" t="s">
        <v>58</v>
      </c>
      <c r="K32" s="22" t="s">
        <v>26</v>
      </c>
      <c r="L32" s="22" t="s">
        <v>48</v>
      </c>
      <c r="M32" s="22" t="s">
        <v>18</v>
      </c>
      <c r="U32" s="7">
        <v>46216.786058796293</v>
      </c>
    </row>
    <row r="33" spans="1:21" x14ac:dyDescent="0.25">
      <c r="B33" s="4" t="s">
        <v>85</v>
      </c>
      <c r="C33" s="4" t="s">
        <v>33</v>
      </c>
      <c r="D33" s="4" t="s">
        <v>44</v>
      </c>
      <c r="E33" s="4"/>
      <c r="F33" s="5">
        <v>46207</v>
      </c>
      <c r="G33" s="4" t="s">
        <v>45</v>
      </c>
      <c r="H33" s="4"/>
      <c r="I33" s="5">
        <v>46210</v>
      </c>
      <c r="J33" s="4" t="s">
        <v>16</v>
      </c>
      <c r="K33" s="4" t="s">
        <v>47</v>
      </c>
      <c r="L33" s="4" t="s">
        <v>48</v>
      </c>
      <c r="M33" s="4" t="s">
        <v>18</v>
      </c>
      <c r="U33" s="7">
        <v>46216.786058796293</v>
      </c>
    </row>
    <row r="34" spans="1:21" x14ac:dyDescent="0.25">
      <c r="B34" s="22" t="s">
        <v>38</v>
      </c>
      <c r="C34" s="22" t="s">
        <v>39</v>
      </c>
      <c r="D34" s="22" t="s">
        <v>40</v>
      </c>
      <c r="E34" s="23"/>
      <c r="F34" s="23">
        <v>46207</v>
      </c>
      <c r="G34" s="22" t="s">
        <v>41</v>
      </c>
      <c r="H34" s="22">
        <v>6</v>
      </c>
      <c r="I34" s="23">
        <v>46202</v>
      </c>
      <c r="J34" s="22" t="s">
        <v>16</v>
      </c>
      <c r="K34" s="22" t="s">
        <v>47</v>
      </c>
      <c r="L34" s="22" t="s">
        <v>17</v>
      </c>
      <c r="M34" s="22" t="s">
        <v>42</v>
      </c>
      <c r="U34" s="7">
        <v>46216.786058796293</v>
      </c>
    </row>
    <row r="35" spans="1:21" x14ac:dyDescent="0.25">
      <c r="A35" t="s">
        <v>185</v>
      </c>
      <c r="B35" s="22" t="s">
        <v>86</v>
      </c>
      <c r="C35" s="22" t="s">
        <v>33</v>
      </c>
      <c r="D35" s="22" t="s">
        <v>87</v>
      </c>
      <c r="E35" s="23">
        <v>46204</v>
      </c>
      <c r="F35" s="23">
        <v>46206</v>
      </c>
      <c r="G35" s="22" t="s">
        <v>88</v>
      </c>
      <c r="H35" s="22">
        <v>6</v>
      </c>
      <c r="I35" s="23">
        <v>46210</v>
      </c>
      <c r="J35" s="22" t="s">
        <v>34</v>
      </c>
      <c r="K35" s="22" t="s">
        <v>47</v>
      </c>
      <c r="L35" s="22" t="s">
        <v>17</v>
      </c>
      <c r="M35" s="22" t="s">
        <v>42</v>
      </c>
      <c r="U35" s="7">
        <v>46216.786058796293</v>
      </c>
    </row>
    <row r="36" spans="1:21" x14ac:dyDescent="0.25">
      <c r="A36" t="s">
        <v>185</v>
      </c>
      <c r="B36" s="22" t="s">
        <v>89</v>
      </c>
      <c r="C36" s="22" t="s">
        <v>90</v>
      </c>
      <c r="D36" s="22" t="s">
        <v>23</v>
      </c>
      <c r="E36" s="23"/>
      <c r="F36" s="23">
        <v>46206</v>
      </c>
      <c r="G36" s="22" t="s">
        <v>24</v>
      </c>
      <c r="H36" s="22">
        <v>4</v>
      </c>
      <c r="I36" s="23"/>
      <c r="J36" s="22" t="s">
        <v>34</v>
      </c>
      <c r="K36" s="22"/>
      <c r="L36" s="22" t="s">
        <v>17</v>
      </c>
      <c r="M36" s="22" t="s">
        <v>42</v>
      </c>
      <c r="O36" t="s">
        <v>36</v>
      </c>
      <c r="U36" s="7">
        <v>46216.786058796293</v>
      </c>
    </row>
    <row r="37" spans="1:21" x14ac:dyDescent="0.25">
      <c r="B37" s="4" t="s">
        <v>91</v>
      </c>
      <c r="C37" s="4" t="s">
        <v>92</v>
      </c>
      <c r="D37" s="4" t="s">
        <v>65</v>
      </c>
      <c r="E37" s="5"/>
      <c r="F37" s="5">
        <v>46207</v>
      </c>
      <c r="G37" s="4" t="s">
        <v>66</v>
      </c>
      <c r="H37" s="4"/>
      <c r="I37" s="5">
        <v>46212</v>
      </c>
      <c r="J37" s="4" t="s">
        <v>16</v>
      </c>
      <c r="K37" s="4" t="s">
        <v>26</v>
      </c>
      <c r="L37" s="4" t="s">
        <v>48</v>
      </c>
      <c r="M37" s="4" t="s">
        <v>18</v>
      </c>
      <c r="U37" s="7">
        <v>46216.786058796293</v>
      </c>
    </row>
    <row r="38" spans="1:21" x14ac:dyDescent="0.25">
      <c r="B38" s="4" t="s">
        <v>21</v>
      </c>
      <c r="C38" s="4" t="s">
        <v>22</v>
      </c>
      <c r="D38" s="4" t="s">
        <v>93</v>
      </c>
      <c r="E38" s="5">
        <v>46207</v>
      </c>
      <c r="F38" s="5">
        <v>46208</v>
      </c>
      <c r="G38" s="4" t="s">
        <v>94</v>
      </c>
      <c r="H38" s="4"/>
      <c r="I38" s="5">
        <v>46213</v>
      </c>
      <c r="J38" s="4" t="s">
        <v>16</v>
      </c>
      <c r="K38" s="4" t="s">
        <v>26</v>
      </c>
      <c r="L38" s="4" t="s">
        <v>48</v>
      </c>
      <c r="M38" s="4" t="s">
        <v>18</v>
      </c>
      <c r="U38" s="7">
        <v>46216.786058796293</v>
      </c>
    </row>
    <row r="39" spans="1:21" x14ac:dyDescent="0.25">
      <c r="A39" t="s">
        <v>185</v>
      </c>
      <c r="B39" s="22" t="s">
        <v>95</v>
      </c>
      <c r="C39" s="22" t="s">
        <v>90</v>
      </c>
      <c r="D39" s="22" t="s">
        <v>23</v>
      </c>
      <c r="E39" s="23">
        <v>46202</v>
      </c>
      <c r="F39" s="23">
        <v>46206</v>
      </c>
      <c r="G39" s="22" t="s">
        <v>96</v>
      </c>
      <c r="H39" s="22">
        <v>3</v>
      </c>
      <c r="I39" s="23"/>
      <c r="J39" s="22" t="s">
        <v>34</v>
      </c>
      <c r="K39" s="22"/>
      <c r="L39" s="22" t="s">
        <v>17</v>
      </c>
      <c r="M39" s="22" t="s">
        <v>42</v>
      </c>
      <c r="O39" t="s">
        <v>36</v>
      </c>
      <c r="U39" s="7">
        <v>46216.786058796293</v>
      </c>
    </row>
    <row r="40" spans="1:21" x14ac:dyDescent="0.25">
      <c r="B40" s="22" t="s">
        <v>97</v>
      </c>
      <c r="C40" s="22" t="s">
        <v>90</v>
      </c>
      <c r="D40" s="22" t="s">
        <v>71</v>
      </c>
      <c r="E40" s="23">
        <v>46195</v>
      </c>
      <c r="F40" s="23">
        <v>46209</v>
      </c>
      <c r="G40" s="22" t="s">
        <v>20</v>
      </c>
      <c r="H40" s="22">
        <v>2</v>
      </c>
      <c r="I40" s="23">
        <v>46214</v>
      </c>
      <c r="J40" s="22" t="s">
        <v>16</v>
      </c>
      <c r="K40" s="22"/>
      <c r="L40" s="22" t="s">
        <v>17</v>
      </c>
      <c r="M40" s="22" t="s">
        <v>42</v>
      </c>
      <c r="U40" s="7">
        <v>46216.786058796293</v>
      </c>
    </row>
    <row r="41" spans="1:21" x14ac:dyDescent="0.25">
      <c r="B41" s="22" t="s">
        <v>72</v>
      </c>
      <c r="C41" s="22" t="s">
        <v>90</v>
      </c>
      <c r="D41" s="22" t="s">
        <v>40</v>
      </c>
      <c r="E41" s="23"/>
      <c r="F41" s="23">
        <v>46209</v>
      </c>
      <c r="G41" s="22" t="s">
        <v>41</v>
      </c>
      <c r="H41" s="22">
        <v>3</v>
      </c>
      <c r="I41" s="23">
        <v>46214</v>
      </c>
      <c r="J41" s="22" t="s">
        <v>16</v>
      </c>
      <c r="K41" s="22" t="s">
        <v>47</v>
      </c>
      <c r="L41" s="22" t="s">
        <v>17</v>
      </c>
      <c r="M41" s="22" t="s">
        <v>42</v>
      </c>
      <c r="R41" t="s">
        <v>33</v>
      </c>
      <c r="U41" s="7">
        <v>46216.786058796293</v>
      </c>
    </row>
    <row r="42" spans="1:21" x14ac:dyDescent="0.25">
      <c r="A42" t="s">
        <v>185</v>
      </c>
      <c r="B42" s="22" t="s">
        <v>98</v>
      </c>
      <c r="C42" s="22" t="s">
        <v>90</v>
      </c>
      <c r="D42" s="22" t="s">
        <v>23</v>
      </c>
      <c r="E42" s="23"/>
      <c r="F42" s="23">
        <v>46206</v>
      </c>
      <c r="G42" s="22" t="s">
        <v>99</v>
      </c>
      <c r="H42" s="22">
        <v>3</v>
      </c>
      <c r="I42" s="23"/>
      <c r="J42" s="22" t="s">
        <v>34</v>
      </c>
      <c r="K42" s="22"/>
      <c r="L42" s="22" t="s">
        <v>17</v>
      </c>
      <c r="M42" s="22" t="s">
        <v>42</v>
      </c>
      <c r="O42" t="s">
        <v>36</v>
      </c>
      <c r="U42" s="7">
        <v>46216.786058796293</v>
      </c>
    </row>
    <row r="43" spans="1:21" x14ac:dyDescent="0.25">
      <c r="A43" t="s">
        <v>185</v>
      </c>
      <c r="B43" s="13" t="s">
        <v>100</v>
      </c>
      <c r="C43" s="13" t="s">
        <v>90</v>
      </c>
      <c r="D43" s="13" t="s">
        <v>14</v>
      </c>
      <c r="E43" s="14"/>
      <c r="F43" s="14">
        <v>46211</v>
      </c>
      <c r="G43" s="13" t="s">
        <v>20</v>
      </c>
      <c r="H43" s="13"/>
      <c r="I43" s="14"/>
      <c r="J43" s="13" t="s">
        <v>34</v>
      </c>
      <c r="K43" s="13"/>
      <c r="L43" s="13" t="s">
        <v>17</v>
      </c>
      <c r="M43" s="13" t="s">
        <v>42</v>
      </c>
      <c r="R43" t="s">
        <v>103</v>
      </c>
      <c r="U43" s="7">
        <v>46216.786058796293</v>
      </c>
    </row>
    <row r="44" spans="1:21" x14ac:dyDescent="0.25">
      <c r="A44" t="s">
        <v>185</v>
      </c>
      <c r="B44" s="22" t="s">
        <v>102</v>
      </c>
      <c r="C44" s="22" t="s">
        <v>90</v>
      </c>
      <c r="D44" s="22" t="s">
        <v>23</v>
      </c>
      <c r="E44" s="23"/>
      <c r="F44" s="23">
        <v>46209</v>
      </c>
      <c r="G44" s="22" t="s">
        <v>99</v>
      </c>
      <c r="H44" s="22">
        <v>2</v>
      </c>
      <c r="I44" s="23"/>
      <c r="J44" s="22" t="s">
        <v>34</v>
      </c>
      <c r="K44" s="22"/>
      <c r="L44" s="22" t="s">
        <v>17</v>
      </c>
      <c r="M44" s="22" t="s">
        <v>42</v>
      </c>
      <c r="O44" t="s">
        <v>36</v>
      </c>
      <c r="U44" s="7">
        <v>46216.786058796293</v>
      </c>
    </row>
    <row r="45" spans="1:21" x14ac:dyDescent="0.25">
      <c r="A45" s="4" t="s">
        <v>185</v>
      </c>
      <c r="B45" s="13" t="s">
        <v>104</v>
      </c>
      <c r="C45" s="13" t="s">
        <v>90</v>
      </c>
      <c r="D45" s="13" t="s">
        <v>23</v>
      </c>
      <c r="E45" s="14"/>
      <c r="F45" s="14">
        <v>46207</v>
      </c>
      <c r="G45" s="13" t="s">
        <v>24</v>
      </c>
      <c r="H45" s="13"/>
      <c r="I45" s="13"/>
      <c r="J45" s="13" t="s">
        <v>34</v>
      </c>
      <c r="K45" s="13"/>
      <c r="L45" s="13" t="s">
        <v>17</v>
      </c>
      <c r="M45" s="13" t="s">
        <v>42</v>
      </c>
      <c r="N45" s="4"/>
      <c r="O45" t="s">
        <v>36</v>
      </c>
      <c r="R45" t="s">
        <v>105</v>
      </c>
      <c r="T45" t="s">
        <v>106</v>
      </c>
      <c r="U45" s="7">
        <v>46216.786058796293</v>
      </c>
    </row>
    <row r="46" spans="1:21" x14ac:dyDescent="0.25">
      <c r="A46" t="s">
        <v>185</v>
      </c>
      <c r="B46" s="22" t="s">
        <v>107</v>
      </c>
      <c r="C46" s="22" t="s">
        <v>13</v>
      </c>
      <c r="D46" s="22" t="s">
        <v>71</v>
      </c>
      <c r="E46" s="23">
        <v>46210</v>
      </c>
      <c r="F46" s="23">
        <v>46211</v>
      </c>
      <c r="G46" s="22" t="s">
        <v>20</v>
      </c>
      <c r="H46" s="22">
        <v>5</v>
      </c>
      <c r="I46" s="23"/>
      <c r="J46" s="22" t="s">
        <v>34</v>
      </c>
      <c r="K46" s="22"/>
      <c r="L46" s="22" t="s">
        <v>17</v>
      </c>
      <c r="M46" s="22" t="s">
        <v>42</v>
      </c>
      <c r="O46" t="s">
        <v>36</v>
      </c>
      <c r="U46" s="7">
        <v>46216.786058796293</v>
      </c>
    </row>
    <row r="47" spans="1:21" s="4" customFormat="1" x14ac:dyDescent="0.25">
      <c r="B47" s="11" t="s">
        <v>108</v>
      </c>
      <c r="C47" s="11" t="s">
        <v>109</v>
      </c>
      <c r="D47" s="11" t="s">
        <v>28</v>
      </c>
      <c r="E47" s="12">
        <v>46209</v>
      </c>
      <c r="F47" s="12">
        <v>46210</v>
      </c>
      <c r="G47" s="11" t="s">
        <v>111</v>
      </c>
      <c r="H47" s="11"/>
      <c r="I47" s="12">
        <v>46215</v>
      </c>
      <c r="J47" s="11" t="s">
        <v>16</v>
      </c>
      <c r="K47" s="11" t="s">
        <v>110</v>
      </c>
      <c r="L47" s="11" t="s">
        <v>17</v>
      </c>
      <c r="M47" s="11" t="s">
        <v>50</v>
      </c>
      <c r="U47" s="7">
        <v>46216.786058796293</v>
      </c>
    </row>
    <row r="48" spans="1:21" s="4" customFormat="1" x14ac:dyDescent="0.25">
      <c r="A48" s="4" t="s">
        <v>185</v>
      </c>
      <c r="B48" s="22" t="s">
        <v>112</v>
      </c>
      <c r="C48" s="22" t="s">
        <v>113</v>
      </c>
      <c r="D48" s="22" t="s">
        <v>23</v>
      </c>
      <c r="E48" s="23"/>
      <c r="F48" s="23">
        <v>46573</v>
      </c>
      <c r="G48" s="22" t="s">
        <v>24</v>
      </c>
      <c r="H48" s="22">
        <v>5</v>
      </c>
      <c r="I48" s="23"/>
      <c r="J48" s="22" t="s">
        <v>34</v>
      </c>
      <c r="K48" s="22"/>
      <c r="L48" s="22" t="s">
        <v>17</v>
      </c>
      <c r="M48" s="22" t="s">
        <v>42</v>
      </c>
      <c r="O48" t="s">
        <v>36</v>
      </c>
      <c r="P48"/>
      <c r="U48" s="7">
        <v>46216.786058796293</v>
      </c>
    </row>
    <row r="49" spans="1:21" x14ac:dyDescent="0.25">
      <c r="A49" s="4" t="s">
        <v>185</v>
      </c>
      <c r="B49" s="22" t="s">
        <v>116</v>
      </c>
      <c r="C49" s="22" t="s">
        <v>90</v>
      </c>
      <c r="D49" s="22" t="s">
        <v>71</v>
      </c>
      <c r="E49" s="22"/>
      <c r="F49" s="23">
        <v>46211</v>
      </c>
      <c r="G49" s="22" t="s">
        <v>20</v>
      </c>
      <c r="H49" s="22">
        <v>3</v>
      </c>
      <c r="I49" s="22"/>
      <c r="J49" s="22" t="s">
        <v>34</v>
      </c>
      <c r="K49" s="22"/>
      <c r="L49" s="22" t="s">
        <v>17</v>
      </c>
      <c r="M49" s="22" t="s">
        <v>42</v>
      </c>
      <c r="O49" t="s">
        <v>36</v>
      </c>
      <c r="U49" s="7">
        <v>46216.786058796293</v>
      </c>
    </row>
    <row r="50" spans="1:21" x14ac:dyDescent="0.25">
      <c r="U50" s="7">
        <v>46216.786058796293</v>
      </c>
    </row>
    <row r="51" spans="1:21" x14ac:dyDescent="0.25">
      <c r="U51" s="7">
        <v>46216.786058796293</v>
      </c>
    </row>
    <row r="52" spans="1:21" x14ac:dyDescent="0.25">
      <c r="A52" t="s">
        <v>185</v>
      </c>
      <c r="B52" s="13" t="s">
        <v>120</v>
      </c>
      <c r="C52" s="13" t="s">
        <v>90</v>
      </c>
      <c r="D52" s="13" t="s">
        <v>71</v>
      </c>
      <c r="E52" s="14">
        <v>46204</v>
      </c>
      <c r="F52" s="14">
        <v>46215</v>
      </c>
      <c r="G52" s="13" t="s">
        <v>20</v>
      </c>
      <c r="H52" s="13"/>
      <c r="I52" s="13"/>
      <c r="J52" s="13" t="s">
        <v>34</v>
      </c>
      <c r="K52" s="13"/>
      <c r="L52" s="13" t="s">
        <v>17</v>
      </c>
      <c r="M52" s="13" t="s">
        <v>55</v>
      </c>
      <c r="O52" t="s">
        <v>36</v>
      </c>
      <c r="U52" s="7">
        <v>46216.786058796293</v>
      </c>
    </row>
    <row r="53" spans="1:21" x14ac:dyDescent="0.25">
      <c r="A53" t="s">
        <v>185</v>
      </c>
      <c r="B53" s="13" t="s">
        <v>101</v>
      </c>
      <c r="C53" s="13" t="s">
        <v>33</v>
      </c>
      <c r="D53" s="13" t="s">
        <v>40</v>
      </c>
      <c r="E53" s="14">
        <v>46215</v>
      </c>
      <c r="F53" s="14">
        <v>46216</v>
      </c>
      <c r="G53" s="13" t="s">
        <v>41</v>
      </c>
      <c r="H53" s="13"/>
      <c r="I53" s="13"/>
      <c r="J53" s="13" t="s">
        <v>34</v>
      </c>
      <c r="K53" s="13"/>
      <c r="L53" s="13" t="s">
        <v>17</v>
      </c>
      <c r="M53" s="13" t="s">
        <v>42</v>
      </c>
      <c r="O53" t="s">
        <v>36</v>
      </c>
      <c r="U53" s="7">
        <v>46216.786058796293</v>
      </c>
    </row>
    <row r="54" spans="1:21" x14ac:dyDescent="0.25">
      <c r="A54" t="s">
        <v>185</v>
      </c>
      <c r="B54" s="13" t="s">
        <v>117</v>
      </c>
      <c r="C54" s="13" t="s">
        <v>90</v>
      </c>
      <c r="D54" s="13" t="s">
        <v>23</v>
      </c>
      <c r="E54" s="13"/>
      <c r="F54" s="14">
        <v>46211</v>
      </c>
      <c r="G54" s="13" t="s">
        <v>24</v>
      </c>
      <c r="H54" s="13">
        <v>2</v>
      </c>
      <c r="I54" s="13"/>
      <c r="J54" s="13" t="s">
        <v>34</v>
      </c>
      <c r="K54" s="13"/>
      <c r="L54" s="13" t="s">
        <v>17</v>
      </c>
      <c r="M54" s="13" t="s">
        <v>42</v>
      </c>
      <c r="O54" t="s">
        <v>36</v>
      </c>
      <c r="U54" s="7">
        <v>46216.786058796293</v>
      </c>
    </row>
    <row r="55" spans="1:21" x14ac:dyDescent="0.25">
      <c r="A55" t="s">
        <v>185</v>
      </c>
      <c r="B55" s="13" t="s">
        <v>27</v>
      </c>
      <c r="C55" s="13" t="s">
        <v>22</v>
      </c>
      <c r="D55" s="13" t="s">
        <v>169</v>
      </c>
      <c r="E55" s="14">
        <v>46212</v>
      </c>
      <c r="F55" s="14">
        <v>46217</v>
      </c>
      <c r="G55" s="13" t="s">
        <v>168</v>
      </c>
      <c r="H55" s="13"/>
      <c r="I55" s="13"/>
      <c r="J55" s="13" t="s">
        <v>34</v>
      </c>
      <c r="K55" s="13"/>
      <c r="L55" s="13" t="s">
        <v>17</v>
      </c>
      <c r="M55" s="13" t="s">
        <v>42</v>
      </c>
      <c r="O55" t="s">
        <v>36</v>
      </c>
      <c r="U55" s="7">
        <f ca="1">+NOW()</f>
        <v>46218.629221064817</v>
      </c>
    </row>
    <row r="56" spans="1:21" x14ac:dyDescent="0.25">
      <c r="U56" s="7"/>
    </row>
    <row r="57" spans="1:21" x14ac:dyDescent="0.25">
      <c r="E57" s="2"/>
      <c r="U57" s="7"/>
    </row>
    <row r="58" spans="1:21" x14ac:dyDescent="0.25">
      <c r="B58" s="20" t="s">
        <v>134</v>
      </c>
      <c r="C58" s="20" t="s">
        <v>129</v>
      </c>
      <c r="D58" s="20" t="s">
        <v>14</v>
      </c>
      <c r="E58" s="21"/>
      <c r="F58" s="21">
        <v>46217</v>
      </c>
      <c r="G58" s="20" t="s">
        <v>20</v>
      </c>
      <c r="H58" s="20">
        <v>12</v>
      </c>
      <c r="I58" s="20"/>
      <c r="J58" s="20" t="s">
        <v>16</v>
      </c>
      <c r="K58" s="20" t="s">
        <v>124</v>
      </c>
      <c r="L58" s="20" t="s">
        <v>48</v>
      </c>
      <c r="M58" s="20" t="s">
        <v>18</v>
      </c>
      <c r="O58" t="s">
        <v>36</v>
      </c>
      <c r="R58" t="s">
        <v>33</v>
      </c>
      <c r="U58" s="7">
        <v>46216.786058796293</v>
      </c>
    </row>
    <row r="59" spans="1:21" x14ac:dyDescent="0.25">
      <c r="B59" s="20" t="s">
        <v>125</v>
      </c>
      <c r="C59" s="20" t="s">
        <v>128</v>
      </c>
      <c r="D59" s="20" t="s">
        <v>14</v>
      </c>
      <c r="E59" s="21"/>
      <c r="F59" s="21">
        <v>46217</v>
      </c>
      <c r="G59" s="20" t="s">
        <v>20</v>
      </c>
      <c r="H59" s="20"/>
      <c r="I59" s="20"/>
      <c r="J59" s="20" t="s">
        <v>16</v>
      </c>
      <c r="K59" s="20" t="s">
        <v>124</v>
      </c>
      <c r="L59" s="20" t="s">
        <v>48</v>
      </c>
      <c r="M59" s="20" t="s">
        <v>18</v>
      </c>
      <c r="O59" t="s">
        <v>36</v>
      </c>
      <c r="U59" s="7">
        <v>46216.786058796293</v>
      </c>
    </row>
    <row r="60" spans="1:21" x14ac:dyDescent="0.25">
      <c r="O60" t="s">
        <v>36</v>
      </c>
      <c r="U60" s="7">
        <v>46216.786058796293</v>
      </c>
    </row>
    <row r="61" spans="1:21" x14ac:dyDescent="0.25">
      <c r="O61" t="s">
        <v>36</v>
      </c>
      <c r="U61" s="7">
        <v>46216.786058796293</v>
      </c>
    </row>
    <row r="62" spans="1:21" x14ac:dyDescent="0.25">
      <c r="A62" t="s">
        <v>185</v>
      </c>
      <c r="B62" s="8" t="s">
        <v>173</v>
      </c>
      <c r="C62" s="8" t="s">
        <v>33</v>
      </c>
      <c r="D62" s="8" t="s">
        <v>174</v>
      </c>
      <c r="E62" s="9"/>
      <c r="F62" s="9">
        <v>46218</v>
      </c>
      <c r="G62" s="8" t="s">
        <v>88</v>
      </c>
      <c r="H62" s="8"/>
      <c r="I62" s="8"/>
      <c r="J62" s="8" t="s">
        <v>34</v>
      </c>
      <c r="K62" s="8"/>
      <c r="L62" s="8" t="s">
        <v>48</v>
      </c>
      <c r="M62" s="8" t="s">
        <v>18</v>
      </c>
      <c r="O62" t="s">
        <v>36</v>
      </c>
      <c r="R62" t="s">
        <v>130</v>
      </c>
      <c r="T62" t="s">
        <v>132</v>
      </c>
      <c r="U62" s="7">
        <v>46216.786058796293</v>
      </c>
    </row>
    <row r="63" spans="1:21" x14ac:dyDescent="0.25">
      <c r="A63" t="s">
        <v>185</v>
      </c>
      <c r="B63" s="8" t="s">
        <v>175</v>
      </c>
      <c r="C63" s="8" t="s">
        <v>177</v>
      </c>
      <c r="D63" s="8" t="s">
        <v>23</v>
      </c>
      <c r="E63" s="9">
        <v>46216</v>
      </c>
      <c r="F63" s="9">
        <v>46218</v>
      </c>
      <c r="G63" s="8" t="s">
        <v>24</v>
      </c>
      <c r="H63" s="8"/>
      <c r="I63" s="8"/>
      <c r="J63" s="8" t="s">
        <v>34</v>
      </c>
      <c r="K63" s="8"/>
      <c r="L63" s="8" t="s">
        <v>48</v>
      </c>
      <c r="M63" s="8" t="s">
        <v>18</v>
      </c>
      <c r="U63" s="7">
        <v>46218.434509143517</v>
      </c>
    </row>
    <row r="64" spans="1:21" x14ac:dyDescent="0.25">
      <c r="A64" t="s">
        <v>185</v>
      </c>
      <c r="B64" s="8" t="s">
        <v>176</v>
      </c>
      <c r="C64" s="8" t="s">
        <v>90</v>
      </c>
      <c r="D64" s="8" t="s">
        <v>178</v>
      </c>
      <c r="E64" s="9">
        <v>46162</v>
      </c>
      <c r="F64" s="9">
        <v>46218</v>
      </c>
      <c r="G64" s="8" t="s">
        <v>88</v>
      </c>
      <c r="H64" s="8">
        <v>4</v>
      </c>
      <c r="I64" s="8"/>
      <c r="J64" s="8" t="s">
        <v>34</v>
      </c>
      <c r="K64" s="8"/>
      <c r="L64" s="8" t="s">
        <v>48</v>
      </c>
      <c r="M64" s="8" t="s">
        <v>18</v>
      </c>
    </row>
    <row r="65" spans="1:21" x14ac:dyDescent="0.25">
      <c r="A65" t="s">
        <v>185</v>
      </c>
      <c r="B65" s="8" t="s">
        <v>179</v>
      </c>
      <c r="C65" s="8" t="s">
        <v>180</v>
      </c>
      <c r="D65" s="8" t="s">
        <v>23</v>
      </c>
      <c r="E65" s="9">
        <v>46153</v>
      </c>
      <c r="F65" s="9">
        <v>46218</v>
      </c>
      <c r="G65" s="8" t="s">
        <v>24</v>
      </c>
      <c r="H65" s="8"/>
      <c r="I65" s="8"/>
      <c r="J65" s="8" t="s">
        <v>34</v>
      </c>
      <c r="K65" s="8"/>
      <c r="L65" s="8" t="s">
        <v>48</v>
      </c>
      <c r="M65" s="8" t="s">
        <v>18</v>
      </c>
    </row>
    <row r="66" spans="1:21" x14ac:dyDescent="0.25">
      <c r="A66" t="s">
        <v>185</v>
      </c>
      <c r="B66" s="8" t="s">
        <v>181</v>
      </c>
      <c r="C66" s="8" t="s">
        <v>90</v>
      </c>
      <c r="D66" s="8" t="s">
        <v>23</v>
      </c>
      <c r="E66" s="9">
        <v>46195</v>
      </c>
      <c r="F66" s="9">
        <v>46218</v>
      </c>
      <c r="G66" s="8" t="s">
        <v>24</v>
      </c>
      <c r="H66" s="8"/>
      <c r="I66" s="8"/>
      <c r="J66" s="8" t="s">
        <v>34</v>
      </c>
      <c r="K66" s="8"/>
      <c r="L66" s="8" t="s">
        <v>48</v>
      </c>
      <c r="M66" s="8" t="s">
        <v>18</v>
      </c>
      <c r="R66" t="s">
        <v>103</v>
      </c>
      <c r="U66" s="7">
        <v>46218.434526620367</v>
      </c>
    </row>
    <row r="67" spans="1:21" x14ac:dyDescent="0.25">
      <c r="A67" t="s">
        <v>185</v>
      </c>
      <c r="B67" s="8" t="s">
        <v>183</v>
      </c>
      <c r="C67" s="8" t="s">
        <v>90</v>
      </c>
      <c r="D67" s="8" t="s">
        <v>23</v>
      </c>
      <c r="E67" s="9">
        <v>46208</v>
      </c>
      <c r="F67" s="9">
        <v>46218</v>
      </c>
      <c r="G67" s="8" t="s">
        <v>24</v>
      </c>
      <c r="H67" s="8"/>
      <c r="I67" s="8"/>
      <c r="J67" s="8" t="s">
        <v>34</v>
      </c>
      <c r="K67" s="8"/>
      <c r="L67" s="8" t="s">
        <v>48</v>
      </c>
      <c r="M67" s="8" t="s">
        <v>18</v>
      </c>
      <c r="U67" s="7"/>
    </row>
    <row r="68" spans="1:21" x14ac:dyDescent="0.25">
      <c r="A68" t="s">
        <v>185</v>
      </c>
      <c r="B68" s="8" t="s">
        <v>184</v>
      </c>
      <c r="C68" s="8" t="s">
        <v>90</v>
      </c>
      <c r="D68" s="8" t="s">
        <v>23</v>
      </c>
      <c r="E68" s="9">
        <v>46205</v>
      </c>
      <c r="F68" s="9">
        <v>46219</v>
      </c>
      <c r="G68" s="8" t="s">
        <v>24</v>
      </c>
      <c r="H68" s="8"/>
      <c r="I68" s="8"/>
      <c r="J68" s="8" t="s">
        <v>34</v>
      </c>
      <c r="K68" s="8"/>
      <c r="L68" s="8" t="s">
        <v>48</v>
      </c>
      <c r="M68" s="8" t="s">
        <v>18</v>
      </c>
      <c r="U68" s="7"/>
    </row>
    <row r="69" spans="1:21" x14ac:dyDescent="0.25">
      <c r="A69" t="s">
        <v>185</v>
      </c>
      <c r="B69" s="8" t="s">
        <v>77</v>
      </c>
      <c r="C69" s="8" t="s">
        <v>90</v>
      </c>
      <c r="D69" s="8" t="s">
        <v>23</v>
      </c>
      <c r="E69" s="9">
        <v>46215</v>
      </c>
      <c r="F69" s="9">
        <v>46220</v>
      </c>
      <c r="G69" s="8" t="s">
        <v>24</v>
      </c>
      <c r="H69" s="8">
        <v>3</v>
      </c>
      <c r="I69" s="8"/>
      <c r="J69" s="8" t="s">
        <v>34</v>
      </c>
      <c r="K69" s="8"/>
      <c r="L69" s="8" t="s">
        <v>48</v>
      </c>
      <c r="M69" s="8" t="s">
        <v>18</v>
      </c>
      <c r="O69" t="s">
        <v>36</v>
      </c>
      <c r="U69" s="7">
        <v>46218.434562731483</v>
      </c>
    </row>
    <row r="70" spans="1:21" x14ac:dyDescent="0.25">
      <c r="A70" t="s">
        <v>185</v>
      </c>
      <c r="B70" s="8" t="s">
        <v>122</v>
      </c>
      <c r="C70" s="8" t="s">
        <v>90</v>
      </c>
      <c r="D70" s="8" t="s">
        <v>14</v>
      </c>
      <c r="E70" s="9">
        <v>46204</v>
      </c>
      <c r="F70" s="9">
        <v>46220</v>
      </c>
      <c r="G70" s="8" t="s">
        <v>20</v>
      </c>
      <c r="H70" s="8"/>
      <c r="I70" s="8"/>
      <c r="J70" s="8" t="s">
        <v>34</v>
      </c>
      <c r="K70" s="8"/>
      <c r="L70" s="8" t="s">
        <v>48</v>
      </c>
      <c r="M70" s="8" t="s">
        <v>18</v>
      </c>
      <c r="O70" t="s">
        <v>36</v>
      </c>
      <c r="U70" s="7">
        <v>46218.434562731483</v>
      </c>
    </row>
    <row r="71" spans="1:21" x14ac:dyDescent="0.25">
      <c r="A71" t="s">
        <v>185</v>
      </c>
      <c r="B71" s="8" t="s">
        <v>123</v>
      </c>
      <c r="C71" s="8" t="s">
        <v>90</v>
      </c>
      <c r="D71" s="8" t="s">
        <v>14</v>
      </c>
      <c r="E71" s="9">
        <v>46206</v>
      </c>
      <c r="F71" s="9">
        <v>46220</v>
      </c>
      <c r="G71" s="8" t="s">
        <v>20</v>
      </c>
      <c r="H71" s="8"/>
      <c r="I71" s="8"/>
      <c r="J71" s="8" t="s">
        <v>34</v>
      </c>
      <c r="K71" s="8"/>
      <c r="L71" s="8" t="s">
        <v>48</v>
      </c>
      <c r="M71" s="8" t="s">
        <v>18</v>
      </c>
      <c r="O71" t="s">
        <v>36</v>
      </c>
      <c r="U71" s="7">
        <v>46218.434562731483</v>
      </c>
    </row>
    <row r="72" spans="1:21" x14ac:dyDescent="0.25">
      <c r="A72" t="s">
        <v>185</v>
      </c>
      <c r="B72" s="8" t="s">
        <v>126</v>
      </c>
      <c r="C72" s="8" t="s">
        <v>90</v>
      </c>
      <c r="D72" s="8" t="s">
        <v>23</v>
      </c>
      <c r="E72" s="9"/>
      <c r="F72" s="9">
        <v>46220</v>
      </c>
      <c r="G72" s="8" t="s">
        <v>24</v>
      </c>
      <c r="H72" s="8"/>
      <c r="I72" s="8"/>
      <c r="J72" s="8" t="s">
        <v>34</v>
      </c>
      <c r="K72" s="8"/>
      <c r="L72" s="8" t="s">
        <v>48</v>
      </c>
      <c r="M72" s="8" t="s">
        <v>18</v>
      </c>
      <c r="O72" t="s">
        <v>36</v>
      </c>
      <c r="U72" s="7">
        <v>46218.434562731483</v>
      </c>
    </row>
    <row r="73" spans="1:21" x14ac:dyDescent="0.25">
      <c r="B73" s="20" t="s">
        <v>127</v>
      </c>
      <c r="C73" s="20" t="s">
        <v>131</v>
      </c>
      <c r="D73" s="20" t="s">
        <v>23</v>
      </c>
      <c r="E73" s="21"/>
      <c r="F73" s="21">
        <v>46220</v>
      </c>
      <c r="G73" s="20" t="s">
        <v>24</v>
      </c>
      <c r="H73" s="20"/>
      <c r="I73" s="20"/>
      <c r="J73" s="20" t="s">
        <v>16</v>
      </c>
      <c r="K73" s="20"/>
      <c r="L73" s="20" t="s">
        <v>48</v>
      </c>
      <c r="M73" s="20" t="s">
        <v>18</v>
      </c>
      <c r="O73" t="s">
        <v>36</v>
      </c>
      <c r="U73" s="7">
        <v>46218.434562847222</v>
      </c>
    </row>
    <row r="74" spans="1:21" x14ac:dyDescent="0.25">
      <c r="A74" t="s">
        <v>185</v>
      </c>
      <c r="B74" s="8" t="s">
        <v>192</v>
      </c>
      <c r="C74" s="8" t="s">
        <v>193</v>
      </c>
      <c r="D74" s="8" t="s">
        <v>190</v>
      </c>
      <c r="E74" s="9">
        <v>46214</v>
      </c>
      <c r="F74" s="9">
        <v>46218</v>
      </c>
      <c r="G74" s="8" t="s">
        <v>191</v>
      </c>
      <c r="H74" s="8"/>
      <c r="I74" s="8"/>
      <c r="J74" s="8" t="s">
        <v>34</v>
      </c>
      <c r="K74" s="8"/>
      <c r="L74" s="8" t="s">
        <v>48</v>
      </c>
      <c r="M74" s="8" t="s">
        <v>18</v>
      </c>
      <c r="U74" s="7"/>
    </row>
    <row r="75" spans="1:21" x14ac:dyDescent="0.25">
      <c r="A75" t="s">
        <v>185</v>
      </c>
      <c r="B75" s="13" t="s">
        <v>195</v>
      </c>
      <c r="C75" s="13" t="s">
        <v>194</v>
      </c>
      <c r="D75" s="13"/>
      <c r="E75" s="13"/>
      <c r="F75" s="14"/>
      <c r="G75" s="13"/>
      <c r="H75" s="13"/>
      <c r="I75" s="13"/>
      <c r="J75" s="13" t="s">
        <v>34</v>
      </c>
      <c r="K75" s="13"/>
      <c r="L75" s="13" t="s">
        <v>17</v>
      </c>
      <c r="M75" s="13" t="s">
        <v>196</v>
      </c>
      <c r="U75" s="7"/>
    </row>
    <row r="76" spans="1:21" x14ac:dyDescent="0.25">
      <c r="A76" t="s">
        <v>185</v>
      </c>
      <c r="B76" s="13" t="s">
        <v>197</v>
      </c>
      <c r="C76" s="13" t="s">
        <v>198</v>
      </c>
      <c r="D76" s="13" t="s">
        <v>71</v>
      </c>
      <c r="E76" s="14"/>
      <c r="F76" s="14">
        <v>46088</v>
      </c>
      <c r="G76" s="13" t="s">
        <v>199</v>
      </c>
      <c r="H76" s="13"/>
      <c r="I76" s="13"/>
      <c r="J76" s="13" t="s">
        <v>34</v>
      </c>
      <c r="K76" s="13"/>
      <c r="L76" s="13" t="s">
        <v>17</v>
      </c>
      <c r="M76" s="13" t="s">
        <v>42</v>
      </c>
      <c r="U76" s="7"/>
    </row>
    <row r="78" spans="1:21" x14ac:dyDescent="0.25">
      <c r="B78" s="11" t="s">
        <v>114</v>
      </c>
      <c r="C78" s="11" t="s">
        <v>115</v>
      </c>
      <c r="D78" s="11" t="s">
        <v>14</v>
      </c>
      <c r="E78" s="12"/>
      <c r="F78" s="12">
        <v>46210</v>
      </c>
      <c r="G78" s="11" t="s">
        <v>20</v>
      </c>
      <c r="H78" s="11"/>
      <c r="I78" s="12">
        <v>46218</v>
      </c>
      <c r="J78" s="11" t="s">
        <v>16</v>
      </c>
      <c r="K78" s="11"/>
      <c r="L78" s="11" t="s">
        <v>17</v>
      </c>
      <c r="M78" s="11" t="s">
        <v>55</v>
      </c>
    </row>
    <row r="79" spans="1:21" x14ac:dyDescent="0.25">
      <c r="B79" s="11" t="s">
        <v>118</v>
      </c>
      <c r="C79" s="11" t="s">
        <v>13</v>
      </c>
      <c r="D79" s="11" t="s">
        <v>71</v>
      </c>
      <c r="E79" s="12">
        <v>46211</v>
      </c>
      <c r="F79" s="12">
        <v>46214</v>
      </c>
      <c r="G79" s="11" t="s">
        <v>20</v>
      </c>
      <c r="H79" s="11"/>
      <c r="I79" s="12">
        <v>46217</v>
      </c>
      <c r="J79" s="11" t="s">
        <v>16</v>
      </c>
      <c r="K79" s="11" t="s">
        <v>119</v>
      </c>
      <c r="L79" s="11" t="s">
        <v>17</v>
      </c>
      <c r="M79" s="11" t="s">
        <v>42</v>
      </c>
    </row>
    <row r="86" spans="1:2" x14ac:dyDescent="0.25">
      <c r="A86" t="s">
        <v>186</v>
      </c>
      <c r="B86" t="s">
        <v>188</v>
      </c>
    </row>
    <row r="87" spans="1:2" x14ac:dyDescent="0.25">
      <c r="A87" t="s">
        <v>186</v>
      </c>
      <c r="B87" t="s">
        <v>187</v>
      </c>
    </row>
  </sheetData>
  <autoFilter ref="B2:M87" xr:uid="{8D528AF1-A5E7-4779-9634-4965A885E745}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4567E-3661-4FF2-878F-6408B0BD57B7}">
  <dimension ref="C7:I22"/>
  <sheetViews>
    <sheetView workbookViewId="0">
      <selection activeCell="G23" sqref="G23"/>
    </sheetView>
  </sheetViews>
  <sheetFormatPr defaultRowHeight="15" x14ac:dyDescent="0.25"/>
  <cols>
    <col min="4" max="4" width="16.42578125" bestFit="1" customWidth="1"/>
    <col min="5" max="5" width="11.7109375" bestFit="1" customWidth="1"/>
    <col min="6" max="6" width="20" bestFit="1" customWidth="1"/>
  </cols>
  <sheetData>
    <row r="7" spans="3:9" x14ac:dyDescent="0.25">
      <c r="D7" t="s">
        <v>140</v>
      </c>
      <c r="E7" t="s">
        <v>141</v>
      </c>
      <c r="F7" t="s">
        <v>142</v>
      </c>
      <c r="G7" t="s">
        <v>10</v>
      </c>
      <c r="H7" t="s">
        <v>6</v>
      </c>
    </row>
    <row r="8" spans="3:9" x14ac:dyDescent="0.25">
      <c r="D8" s="15" t="s">
        <v>143</v>
      </c>
      <c r="E8" s="16">
        <v>761476</v>
      </c>
      <c r="F8" s="3" t="s">
        <v>144</v>
      </c>
      <c r="G8" s="3" t="s">
        <v>48</v>
      </c>
      <c r="H8" s="3"/>
    </row>
    <row r="9" spans="3:9" x14ac:dyDescent="0.25">
      <c r="D9" s="15" t="s">
        <v>145</v>
      </c>
      <c r="E9" s="16">
        <v>2120654</v>
      </c>
      <c r="F9" s="3" t="s">
        <v>146</v>
      </c>
      <c r="G9" s="3" t="s">
        <v>48</v>
      </c>
      <c r="H9" s="3"/>
    </row>
    <row r="10" spans="3:9" x14ac:dyDescent="0.25">
      <c r="D10" s="15" t="s">
        <v>147</v>
      </c>
      <c r="E10" s="16">
        <v>2102231</v>
      </c>
      <c r="F10" s="3" t="s">
        <v>144</v>
      </c>
      <c r="G10" s="3" t="s">
        <v>17</v>
      </c>
      <c r="H10" s="3"/>
    </row>
    <row r="11" spans="3:9" x14ac:dyDescent="0.25">
      <c r="D11" s="15" t="s">
        <v>148</v>
      </c>
      <c r="E11" s="16">
        <v>2165192</v>
      </c>
      <c r="F11" s="3" t="s">
        <v>149</v>
      </c>
      <c r="G11" s="3" t="s">
        <v>48</v>
      </c>
      <c r="H11" s="3"/>
      <c r="I11" t="s">
        <v>150</v>
      </c>
    </row>
    <row r="12" spans="3:9" x14ac:dyDescent="0.25">
      <c r="C12" t="s">
        <v>151</v>
      </c>
      <c r="D12" s="17" t="s">
        <v>152</v>
      </c>
      <c r="E12" s="18">
        <v>2043081</v>
      </c>
      <c r="F12" t="s">
        <v>58</v>
      </c>
      <c r="G12" t="s">
        <v>48</v>
      </c>
      <c r="H12">
        <f>2*30</f>
        <v>60</v>
      </c>
    </row>
    <row r="13" spans="3:9" x14ac:dyDescent="0.25">
      <c r="D13" s="17" t="s">
        <v>153</v>
      </c>
      <c r="E13" s="18">
        <v>712724</v>
      </c>
      <c r="F13" t="s">
        <v>154</v>
      </c>
      <c r="G13" t="s">
        <v>48</v>
      </c>
    </row>
    <row r="14" spans="3:9" x14ac:dyDescent="0.25">
      <c r="C14" t="s">
        <v>151</v>
      </c>
      <c r="D14" s="17" t="s">
        <v>155</v>
      </c>
      <c r="E14" s="19">
        <v>1053738</v>
      </c>
      <c r="F14" t="s">
        <v>58</v>
      </c>
      <c r="G14" t="s">
        <v>48</v>
      </c>
      <c r="H14">
        <f>4*30</f>
        <v>120</v>
      </c>
    </row>
    <row r="15" spans="3:9" x14ac:dyDescent="0.25">
      <c r="C15" t="s">
        <v>151</v>
      </c>
      <c r="D15" s="17" t="s">
        <v>156</v>
      </c>
      <c r="E15" s="18">
        <v>2034666</v>
      </c>
      <c r="F15" t="s">
        <v>58</v>
      </c>
      <c r="G15" t="s">
        <v>48</v>
      </c>
      <c r="H15">
        <f>2*30</f>
        <v>60</v>
      </c>
    </row>
    <row r="16" spans="3:9" x14ac:dyDescent="0.25">
      <c r="D16" s="17" t="s">
        <v>157</v>
      </c>
      <c r="E16" s="19">
        <v>1053738</v>
      </c>
      <c r="F16" t="s">
        <v>158</v>
      </c>
      <c r="G16" t="s">
        <v>48</v>
      </c>
    </row>
    <row r="17" spans="3:8" x14ac:dyDescent="0.25">
      <c r="C17" t="s">
        <v>151</v>
      </c>
      <c r="D17" s="17" t="s">
        <v>159</v>
      </c>
      <c r="E17" s="18">
        <v>733914</v>
      </c>
      <c r="F17" t="s">
        <v>58</v>
      </c>
      <c r="G17" t="s">
        <v>58</v>
      </c>
      <c r="H17">
        <f>5*365</f>
        <v>1825</v>
      </c>
    </row>
    <row r="18" spans="3:8" x14ac:dyDescent="0.25">
      <c r="D18" s="17" t="s">
        <v>160</v>
      </c>
      <c r="E18" s="19">
        <v>1074168</v>
      </c>
      <c r="F18" t="s">
        <v>161</v>
      </c>
      <c r="G18" t="s">
        <v>17</v>
      </c>
    </row>
    <row r="19" spans="3:8" x14ac:dyDescent="0.25">
      <c r="D19" s="17" t="s">
        <v>162</v>
      </c>
      <c r="E19" s="18">
        <v>729536</v>
      </c>
      <c r="F19" t="s">
        <v>163</v>
      </c>
      <c r="G19" t="s">
        <v>48</v>
      </c>
    </row>
    <row r="20" spans="3:8" x14ac:dyDescent="0.25">
      <c r="C20" t="s">
        <v>151</v>
      </c>
      <c r="D20" s="17" t="s">
        <v>164</v>
      </c>
      <c r="E20" s="19">
        <v>773986</v>
      </c>
      <c r="F20" t="s">
        <v>58</v>
      </c>
      <c r="G20" t="s">
        <v>58</v>
      </c>
      <c r="H20">
        <f>4*365</f>
        <v>1460</v>
      </c>
    </row>
    <row r="21" spans="3:8" x14ac:dyDescent="0.25">
      <c r="D21" s="17" t="s">
        <v>165</v>
      </c>
      <c r="E21" s="18">
        <v>2102231</v>
      </c>
      <c r="F21" t="s">
        <v>58</v>
      </c>
      <c r="G21" t="s">
        <v>48</v>
      </c>
      <c r="H21">
        <f>6*30</f>
        <v>180</v>
      </c>
    </row>
    <row r="22" spans="3:8" x14ac:dyDescent="0.25">
      <c r="D22" s="17" t="s">
        <v>166</v>
      </c>
      <c r="E22" s="19">
        <v>712692</v>
      </c>
      <c r="F22" t="s">
        <v>167</v>
      </c>
      <c r="G22" t="s">
        <v>17</v>
      </c>
    </row>
  </sheetData>
  <hyperlinks>
    <hyperlink ref="D14" r:id="rId1" display="https://terminal.kpler.com/map/vessel/68579?fields=vessel,product&amp;products=1368&amp;vessels=86586" xr:uid="{2C1222EF-0106-4713-897C-0A2C4BC3C39F}"/>
    <hyperlink ref="D8" r:id="rId2" display="https://terminal.kpler.com/map/vessel/78282?fields=vessel,product&amp;products=1368&amp;vessels=86586" xr:uid="{EA664657-402F-429A-B2D1-7A2818BF7F9F}"/>
    <hyperlink ref="D9" r:id="rId3" display="https://terminal.kpler.com/map/vessel/73886?fields=vessel,product&amp;products=1368&amp;vessels=86586" xr:uid="{0CD2F29B-F4E8-42BB-B7E0-AFB9DDF2BEA2}"/>
    <hyperlink ref="D12" r:id="rId4" display="https://terminal.kpler.com/map/vessel/68734?fields=vessel,product&amp;products=1368&amp;vessels=86586" xr:uid="{7DB65DD0-E81B-4028-ADB4-826D69E1A652}"/>
    <hyperlink ref="D10" r:id="rId5" display="https://terminal.kpler.com/map/vessel/71392?fields=vessel,product&amp;products=1368&amp;vessels=86586" xr:uid="{7AD193CE-54E0-4A3A-99A3-4F4EB82255B6}"/>
    <hyperlink ref="D13" r:id="rId6" display="https://terminal.kpler.com/map/vessel/71252?fields=vessel,product&amp;products=1368&amp;vessels=86586" xr:uid="{B6E85CF6-8E48-4E5A-9555-AF0A1DA6E6CB}"/>
    <hyperlink ref="D11" r:id="rId7" display="https://terminal.kpler.com/map/vessel/86586?fields=vessel,product&amp;products=1368&amp;vessels=86586" xr:uid="{5675C0FB-1429-4735-B6F3-D3E52E4120AB}"/>
    <hyperlink ref="D15" r:id="rId8" display="https://terminal.kpler.com/map/vessel/70731?fields=vessel,product&amp;products=1368&amp;vessels=86586" xr:uid="{EB1934F6-3C3E-4AD0-AD3C-183390425999}"/>
    <hyperlink ref="D16" r:id="rId9" display="https://terminal.kpler.com/map/vessel/70290?fields=vessel,product&amp;products=1368&amp;vessels=86586" xr:uid="{115F6D8E-C6CB-47DF-A7B6-FF7ABD0D0A92}"/>
    <hyperlink ref="D17" r:id="rId10" display="https://terminal.kpler.com/map/vessel/68633?fields=vessel,product&amp;products=1368&amp;vessels=86586" xr:uid="{EB1EFB1B-EDA8-4151-8B8C-C4B360EF56C8}"/>
    <hyperlink ref="D18" r:id="rId11" display="https://terminal.kpler.com/map/vessel/101948?fields=vessel,product&amp;products=1368&amp;vessels=86586" xr:uid="{BCB3B58B-B549-4448-95E5-7D9811CA61D7}"/>
    <hyperlink ref="D19" r:id="rId12" display="https://terminal.kpler.com/map/vessel/73984?fields=vessel,product&amp;products=1368&amp;vessels=86586" xr:uid="{E9758572-EC45-4936-9C65-84B1EE608BBF}"/>
    <hyperlink ref="D20" r:id="rId13" display="https://terminal.kpler.com/map/vessel/69818?fields=vessel,product&amp;products=1368&amp;vessels=86586" xr:uid="{28DFFD11-7843-43C5-BCFE-082C2ADD3AF8}"/>
    <hyperlink ref="D21" r:id="rId14" display="https://terminal.kpler.com/map/vessel/71394?fields=vessel,product&amp;products=1368&amp;vessels=86586" xr:uid="{9DAD4A2D-F6ED-4A24-9745-CF9C3CBFB306}"/>
    <hyperlink ref="D22" r:id="rId15" display="https://terminal.kpler.com/map/vessel/72446?fields=vessel,product&amp;products=1368&amp;vessels=86586" xr:uid="{13AFDA83-79F8-4CF8-8D47-90542F06429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Sheet4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Carlos Gaitan</dc:creator>
  <cp:lastModifiedBy>Luis Carlos Gaitan</cp:lastModifiedBy>
  <dcterms:created xsi:type="dcterms:W3CDTF">2026-07-13T16:29:19Z</dcterms:created>
  <dcterms:modified xsi:type="dcterms:W3CDTF">2026-07-15T14:06:05Z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2026-07-13T16:29:24Z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ec302311-a76e-4d47-bdb2-f537e3ae027e</vt:lpwstr>
  </property>
  <property fmtid="{D5CDD505-2E9C-101B-9397-08002B2CF9AE}" pid="7" name="MSIP_Label_defa4170-0d19-0005-0004-bc88714345d2_ActionId">
    <vt:lpwstr>6524c4c8-d5dd-4032-a33e-6818b409aaa7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